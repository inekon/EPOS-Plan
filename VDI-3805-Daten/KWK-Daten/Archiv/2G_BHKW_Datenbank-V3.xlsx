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irkEngelmann\Documents\KWK-Daten\"/>
    </mc:Choice>
  </mc:AlternateContent>
  <xr:revisionPtr revIDLastSave="0" documentId="8_{B6E5B0E4-320E-4788-9CFC-293176D6367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_BHKW" sheetId="1" r:id="rId1"/>
    <sheet name="Energieträger" sheetId="3" r:id="rId2"/>
    <sheet name="Legende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6" i="1" l="1"/>
  <c r="J35" i="1"/>
  <c r="J34" i="1"/>
  <c r="J33" i="1"/>
  <c r="J32" i="1"/>
  <c r="J3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2G-Daten</author>
    <author>DB</author>
    <author>Dirk Engelmann</author>
  </authors>
  <commentList>
    <comment ref="J1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Modullaenge im Datenblatt nicht lesbar -&gt; Grundflaeche nicht ermittelbar</t>
        </r>
      </text>
    </comment>
    <comment ref="M17" authorId="1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Grenzwert in mg/kWh (bezogen auf Brennwert Hs); 2G-Werte in mg/Nm3</t>
        </r>
      </text>
    </comment>
    <comment ref="M18" authorId="1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Grenzwert in mg/kWh (bezogen auf Brennwert Hs); 2G-Werte in mg/Nm3</t>
        </r>
      </text>
    </comment>
    <comment ref="M19" authorId="1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Grenzwert in mg/kWh (bezogen auf Brennwert Hs); 2G-Werte in mg/Nm3</t>
        </r>
      </text>
    </comment>
    <comment ref="M20" authorId="1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Grenzwert in mg/kWh (bezogen auf Brennwert Hs); 2G-Werte in mg/Nm3</t>
        </r>
      </text>
    </comment>
    <comment ref="M21" authorId="1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Grenzwert in mg/kWh (bezogen auf Brennwert Hs); 2G-Werte in mg/Nm3</t>
        </r>
      </text>
    </comment>
    <comment ref="M22" authorId="1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Grenzwert in mg/kWh (bezogen auf Brennwert Hs); 2G-Werte in mg/Nm3</t>
        </r>
      </text>
    </comment>
    <comment ref="M23" authorId="1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XRGI 25: Emissionen im Datenblatt nur in kg/MWh angegeben; XRGI 15 BIOGENIC: CO &lt; TA-Luft</t>
        </r>
      </text>
    </comment>
    <comment ref="B24" authorId="1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el. Wirkungsgrad wg. Degradation nicht fest ausgewiesen; VL/RL = Auslegungspunkt 67/30 C</t>
        </r>
      </text>
    </comment>
    <comment ref="B25" authorId="1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Wirkungsgrad = Herstellerangabe (ErP); andere Hersteller teils Hi-bezogen</t>
        </r>
      </text>
    </comment>
    <comment ref="B26" authorId="1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el. Wirkungsgrad Hi; Wartungsintervall 9000 Bh</t>
        </r>
      </text>
    </comment>
    <comment ref="B27" authorId="1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el. Wirkungsgrad Hi (Stufe 3); Wartungsintervall 7000-11000 Bh</t>
        </r>
      </text>
    </comment>
    <comment ref="B28" authorId="1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Englisches Datenblatt desselben Geraets (Dachs Gen2 G5.5)</t>
        </r>
      </text>
    </comment>
    <comment ref="B29" authorId="1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el. Wirkungsgrad Hi 37,7%; Zusatz-Brennwertkessel 4,8-20 kW (26 kW WW)</t>
        </r>
      </text>
    </comment>
    <comment ref="B30" authorId="1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Pel 10-20 kW, Pth 29-44 kW (Maximalwerte); Gewicht 807 kg</t>
        </r>
      </text>
    </comment>
    <comment ref="B31" authorId="2" shapeId="0" xr:uid="{57DF64CD-6884-49B9-8647-508D472C4D0B}">
      <text>
        <r>
          <rPr>
            <b/>
            <sz val="9"/>
            <color indexed="81"/>
            <rFont val="Segoe UI"/>
          </rPr>
          <t>Dirk Engelmann:</t>
        </r>
        <r>
          <rPr>
            <sz val="9"/>
            <color indexed="81"/>
            <rFont val="Segoe UI"/>
          </rPr>
          <t xml:space="preserve">
Quelle: 2G/MTU Technisches Datenblatt TD_0431_L64_1519_50_500_DE_SI V2 (P003520413), 25.06.2021. Werte bei 100% Last.</t>
        </r>
      </text>
    </comment>
    <comment ref="E31" authorId="2" shapeId="0" xr:uid="{6D19287A-79AD-4E82-B343-0F0891CD708C}">
      <text>
        <r>
          <rPr>
            <b/>
            <sz val="9"/>
            <color indexed="81"/>
            <rFont val="Segoe UI"/>
          </rPr>
          <t>Dirk Engelmann:</t>
        </r>
        <r>
          <rPr>
            <sz val="9"/>
            <color indexed="81"/>
            <rFont val="Segoe UI"/>
          </rPr>
          <t xml:space="preserve">
Thermische Leistung gesamt bei Auslegungstemp. (Tol. +/-8%)</t>
        </r>
      </text>
    </comment>
    <comment ref="J31" authorId="2" shapeId="0" xr:uid="{B1AF38E6-A128-49F7-9035-E5F8A3EE949E}">
      <text>
        <r>
          <rPr>
            <b/>
            <sz val="9"/>
            <color indexed="81"/>
            <rFont val="Segoe UI"/>
          </rPr>
          <t>Dirk Engelmann:</t>
        </r>
        <r>
          <rPr>
            <sz val="9"/>
            <color indexed="81"/>
            <rFont val="Segoe UI"/>
          </rPr>
          <t xml:space="preserve">
Grundflaeche aus Aggregatabmessungen L~4800 x B~1900 mm</t>
        </r>
      </text>
    </comment>
    <comment ref="M31" authorId="2" shapeId="0" xr:uid="{74CAECA5-5C96-409D-9FF0-3C2D7920800A}">
      <text>
        <r>
          <rPr>
            <b/>
            <sz val="9"/>
            <color indexed="81"/>
            <rFont val="Segoe UI"/>
          </rPr>
          <t>Dirk Engelmann:</t>
        </r>
        <r>
          <rPr>
            <sz val="9"/>
            <color indexed="81"/>
            <rFont val="Segoe UI"/>
          </rPr>
          <t xml:space="preserve">
NOx &lt; 500 mg/m3 i.N. (trocken, 5% O2)</t>
        </r>
      </text>
    </comment>
    <comment ref="O31" authorId="2" shapeId="0" xr:uid="{C838E486-9FF1-49A2-B569-8D3533257E75}">
      <text>
        <r>
          <rPr>
            <b/>
            <sz val="9"/>
            <color indexed="81"/>
            <rFont val="Segoe UI"/>
          </rPr>
          <t>Dirk Engelmann:</t>
        </r>
        <r>
          <rPr>
            <sz val="9"/>
            <color indexed="81"/>
            <rFont val="Segoe UI"/>
          </rPr>
          <t xml:space="preserve">
CO &lt; 1000 mg/m3 i.N. (trocken, 5% O2)</t>
        </r>
      </text>
    </comment>
    <comment ref="B32" authorId="2" shapeId="0" xr:uid="{97442C77-E54B-484B-83B7-09031E7E4A1E}">
      <text>
        <r>
          <rPr>
            <b/>
            <sz val="9"/>
            <color indexed="81"/>
            <rFont val="Segoe UI"/>
          </rPr>
          <t>Dirk Engelmann:</t>
        </r>
        <r>
          <rPr>
            <sz val="9"/>
            <color indexed="81"/>
            <rFont val="Segoe UI"/>
          </rPr>
          <t xml:space="preserve">
Quelle: 2G/MTU Technisches Datenblatt (P003520447). Werte bei 100% Last.</t>
        </r>
      </text>
    </comment>
    <comment ref="J32" authorId="2" shapeId="0" xr:uid="{B14FE1E3-D2C1-4B9D-92F7-124B0EAD8D74}">
      <text>
        <r>
          <rPr>
            <b/>
            <sz val="9"/>
            <color indexed="81"/>
            <rFont val="Segoe UI"/>
          </rPr>
          <t>Dirk Engelmann:</t>
        </r>
        <r>
          <rPr>
            <sz val="9"/>
            <color indexed="81"/>
            <rFont val="Segoe UI"/>
          </rPr>
          <t xml:space="preserve">
Grundflaeche aus Aggregatabmessungen L~5500 x B~2100 mm</t>
        </r>
      </text>
    </comment>
    <comment ref="M32" authorId="2" shapeId="0" xr:uid="{3ECB2397-6FFC-42CD-97D8-31699E2084E6}">
      <text>
        <r>
          <rPr>
            <b/>
            <sz val="9"/>
            <color indexed="81"/>
            <rFont val="Segoe UI"/>
          </rPr>
          <t>Dirk Engelmann:</t>
        </r>
        <r>
          <rPr>
            <sz val="9"/>
            <color indexed="81"/>
            <rFont val="Segoe UI"/>
          </rPr>
          <t xml:space="preserve">
NOx &lt; 500 mg/m3 i.N. (trocken, 5% O2)</t>
        </r>
      </text>
    </comment>
    <comment ref="O32" authorId="2" shapeId="0" xr:uid="{A8091AC5-0094-4441-86B9-F6DFB9BDD574}">
      <text>
        <r>
          <rPr>
            <b/>
            <sz val="9"/>
            <color indexed="81"/>
            <rFont val="Segoe UI"/>
          </rPr>
          <t>Dirk Engelmann:</t>
        </r>
        <r>
          <rPr>
            <sz val="9"/>
            <color indexed="81"/>
            <rFont val="Segoe UI"/>
          </rPr>
          <t xml:space="preserve">
CO &lt; 1000 mg/m3 i.N. (trocken, 5% O2)</t>
        </r>
      </text>
    </comment>
    <comment ref="B33" authorId="2" shapeId="0" xr:uid="{05D2B9C0-8157-48A0-9745-885D18EC08DD}">
      <text>
        <r>
          <rPr>
            <b/>
            <sz val="9"/>
            <color indexed="81"/>
            <rFont val="Segoe UI"/>
          </rPr>
          <t>Dirk Engelmann:</t>
        </r>
        <r>
          <rPr>
            <sz val="9"/>
            <color indexed="81"/>
            <rFont val="Segoe UI"/>
          </rPr>
          <t xml:space="preserve">
Quelle: 2G/MTU Technisches Datenblatt (P003520557). Werte bei 100% Last.</t>
        </r>
      </text>
    </comment>
    <comment ref="J33" authorId="2" shapeId="0" xr:uid="{4B6FA356-B69C-4D6A-BE6B-9AE2F81E6FA7}">
      <text>
        <r>
          <rPr>
            <b/>
            <sz val="9"/>
            <color indexed="81"/>
            <rFont val="Segoe UI"/>
          </rPr>
          <t>Dirk Engelmann:</t>
        </r>
        <r>
          <rPr>
            <sz val="9"/>
            <color indexed="81"/>
            <rFont val="Segoe UI"/>
          </rPr>
          <t xml:space="preserve">
Grundflaeche aus Aggregatabmessungen L~6200 x B~2100 mm</t>
        </r>
      </text>
    </comment>
    <comment ref="M33" authorId="2" shapeId="0" xr:uid="{62DA39D4-F270-4B96-B706-180BA8421DC1}">
      <text>
        <r>
          <rPr>
            <b/>
            <sz val="9"/>
            <color indexed="81"/>
            <rFont val="Segoe UI"/>
          </rPr>
          <t>Dirk Engelmann:</t>
        </r>
        <r>
          <rPr>
            <sz val="9"/>
            <color indexed="81"/>
            <rFont val="Segoe UI"/>
          </rPr>
          <t xml:space="preserve">
NOx &lt; 500 mg/m3 i.N. (trocken, 5% O2)</t>
        </r>
      </text>
    </comment>
    <comment ref="O33" authorId="2" shapeId="0" xr:uid="{B383E47E-6B6F-4616-957C-2E6A4314572C}">
      <text>
        <r>
          <rPr>
            <b/>
            <sz val="9"/>
            <color indexed="81"/>
            <rFont val="Segoe UI"/>
          </rPr>
          <t>Dirk Engelmann:</t>
        </r>
        <r>
          <rPr>
            <sz val="9"/>
            <color indexed="81"/>
            <rFont val="Segoe UI"/>
          </rPr>
          <t xml:space="preserve">
CO &lt; 1000 mg/m3 i.N. (trocken, 5% O2)</t>
        </r>
      </text>
    </comment>
    <comment ref="B34" authorId="2" shapeId="0" xr:uid="{EABA94F5-D1A0-4DD9-B091-927B3680D237}">
      <text>
        <r>
          <rPr>
            <b/>
            <sz val="9"/>
            <color indexed="81"/>
            <rFont val="Segoe UI"/>
          </rPr>
          <t>Dirk Engelmann:</t>
        </r>
        <r>
          <rPr>
            <sz val="9"/>
            <color indexed="81"/>
            <rFont val="Segoe UI"/>
          </rPr>
          <t xml:space="preserve">
Quelle: 2G Technisches Datenblatt avus 1000plus (P003521036). Werte bei 100% Last. Hinweis: abweichende Neuspezifikation zur bestehenden Zeile 14.</t>
        </r>
      </text>
    </comment>
    <comment ref="E34" authorId="2" shapeId="0" xr:uid="{AF594EAB-00A2-43A9-9A4A-CB2C8F4D5668}">
      <text>
        <r>
          <rPr>
            <b/>
            <sz val="9"/>
            <color indexed="81"/>
            <rFont val="Segoe UI"/>
          </rPr>
          <t>Dirk Engelmann:</t>
        </r>
        <r>
          <rPr>
            <sz val="9"/>
            <color indexed="81"/>
            <rFont val="Segoe UI"/>
          </rPr>
          <t xml:space="preserve">
Nutzbare thermische Leistung</t>
        </r>
      </text>
    </comment>
    <comment ref="J34" authorId="2" shapeId="0" xr:uid="{1858F408-8F04-404D-9BAA-190A9C5E7B34}">
      <text>
        <r>
          <rPr>
            <b/>
            <sz val="9"/>
            <color indexed="81"/>
            <rFont val="Segoe UI"/>
          </rPr>
          <t>Dirk Engelmann:</t>
        </r>
        <r>
          <rPr>
            <sz val="9"/>
            <color indexed="81"/>
            <rFont val="Segoe UI"/>
          </rPr>
          <t xml:space="preserve">
Grundflaeche Modul L 6295 x B 1675 mm (ohne Schaltschraenke)</t>
        </r>
      </text>
    </comment>
    <comment ref="M34" authorId="2" shapeId="0" xr:uid="{0ACE527A-69A3-4757-A270-2E01860BAC28}">
      <text>
        <r>
          <rPr>
            <b/>
            <sz val="9"/>
            <color indexed="81"/>
            <rFont val="Segoe UI"/>
          </rPr>
          <t>Dirk Engelmann:</t>
        </r>
        <r>
          <rPr>
            <sz val="9"/>
            <color indexed="81"/>
            <rFont val="Segoe UI"/>
          </rPr>
          <t xml:space="preserve">
NOx ohne/mit Kat &lt; 0,5 g/Nm3 = 500 mg/Nm3</t>
        </r>
      </text>
    </comment>
    <comment ref="O34" authorId="2" shapeId="0" xr:uid="{2641436C-D1B2-4D37-ABD7-5495B2CC402C}">
      <text>
        <r>
          <rPr>
            <b/>
            <sz val="9"/>
            <color indexed="81"/>
            <rFont val="Segoe UI"/>
          </rPr>
          <t>Dirk Engelmann:</t>
        </r>
        <r>
          <rPr>
            <sz val="9"/>
            <color indexed="81"/>
            <rFont val="Segoe UI"/>
          </rPr>
          <t xml:space="preserve">
CO ohne Kat &lt; 1 g/Nm3 (1000 mg); mit Kat &lt; 0,25 g/Nm3 (250 mg)</t>
        </r>
      </text>
    </comment>
    <comment ref="B35" authorId="2" shapeId="0" xr:uid="{A12726E8-77F9-467E-A561-636F13E7693F}">
      <text>
        <r>
          <rPr>
            <b/>
            <sz val="9"/>
            <color indexed="81"/>
            <rFont val="Segoe UI"/>
          </rPr>
          <t>Dirk Engelmann:</t>
        </r>
        <r>
          <rPr>
            <sz val="9"/>
            <color indexed="81"/>
            <rFont val="Segoe UI"/>
          </rPr>
          <t xml:space="preserve">
Quelle: 2G Technisches Datenblatt avus 500plus (P003521147). Werte bei 100% Last. Hinweis: abweichende Neuspezifikation zur bestehenden Zeile 16.</t>
        </r>
      </text>
    </comment>
    <comment ref="E35" authorId="2" shapeId="0" xr:uid="{481525C0-6FF2-4A54-9862-3739F1BE10DD}">
      <text>
        <r>
          <rPr>
            <b/>
            <sz val="9"/>
            <color indexed="81"/>
            <rFont val="Segoe UI"/>
          </rPr>
          <t>Dirk Engelmann:</t>
        </r>
        <r>
          <rPr>
            <sz val="9"/>
            <color indexed="81"/>
            <rFont val="Segoe UI"/>
          </rPr>
          <t xml:space="preserve">
Nutzbare thermische Leistung</t>
        </r>
      </text>
    </comment>
    <comment ref="J35" authorId="2" shapeId="0" xr:uid="{8BF06B14-0BB0-4A26-AB38-E2843B0C6BA0}">
      <text>
        <r>
          <rPr>
            <b/>
            <sz val="9"/>
            <color indexed="81"/>
            <rFont val="Segoe UI"/>
          </rPr>
          <t>Dirk Engelmann:</t>
        </r>
        <r>
          <rPr>
            <sz val="9"/>
            <color indexed="81"/>
            <rFont val="Segoe UI"/>
          </rPr>
          <t xml:space="preserve">
Grundflaeche Modul L 4545 x B 1310 mm (ohne Schaltschraenke)</t>
        </r>
      </text>
    </comment>
    <comment ref="M35" authorId="2" shapeId="0" xr:uid="{5419D05E-F15A-49F1-8334-514D582FB40A}">
      <text>
        <r>
          <rPr>
            <b/>
            <sz val="9"/>
            <color indexed="81"/>
            <rFont val="Segoe UI"/>
          </rPr>
          <t>Dirk Engelmann:</t>
        </r>
        <r>
          <rPr>
            <sz val="9"/>
            <color indexed="81"/>
            <rFont val="Segoe UI"/>
          </rPr>
          <t xml:space="preserve">
NOx ohne/mit Kat &lt; 0,5 g/Nm3 = 500 mg/Nm3</t>
        </r>
      </text>
    </comment>
    <comment ref="O35" authorId="2" shapeId="0" xr:uid="{6E407B7C-B2C4-4E7A-9A75-2892C20FC51E}">
      <text>
        <r>
          <rPr>
            <b/>
            <sz val="9"/>
            <color indexed="81"/>
            <rFont val="Segoe UI"/>
          </rPr>
          <t>Dirk Engelmann:</t>
        </r>
        <r>
          <rPr>
            <sz val="9"/>
            <color indexed="81"/>
            <rFont val="Segoe UI"/>
          </rPr>
          <t xml:space="preserve">
CO ohne Kat &lt; 1 g/Nm3 (1000 mg); mit Kat &lt; 0,25 g/Nm3 (250 mg)</t>
        </r>
      </text>
    </comment>
    <comment ref="B36" authorId="2" shapeId="0" xr:uid="{ED7CA7A2-354E-43AE-AA9A-1603170D574D}">
      <text>
        <r>
          <rPr>
            <b/>
            <sz val="9"/>
            <color indexed="81"/>
            <rFont val="Segoe UI"/>
          </rPr>
          <t>Dirk Engelmann:</t>
        </r>
        <r>
          <rPr>
            <sz val="9"/>
            <color indexed="81"/>
            <rFont val="Segoe UI"/>
          </rPr>
          <t xml:space="preserve">
Quelle: 2G Technisches Datenblatt avus 416plus (P003521084). Werte bei 100% Last.</t>
        </r>
      </text>
    </comment>
    <comment ref="E36" authorId="2" shapeId="0" xr:uid="{A25D8026-D523-46A8-834E-4F522F21A6CB}">
      <text>
        <r>
          <rPr>
            <b/>
            <sz val="9"/>
            <color indexed="81"/>
            <rFont val="Segoe UI"/>
          </rPr>
          <t>Dirk Engelmann:</t>
        </r>
        <r>
          <rPr>
            <sz val="9"/>
            <color indexed="81"/>
            <rFont val="Segoe UI"/>
          </rPr>
          <t xml:space="preserve">
Nutzbare thermische Leistung</t>
        </r>
      </text>
    </comment>
    <comment ref="J36" authorId="2" shapeId="0" xr:uid="{C234240C-2D64-44BC-840B-19AC9DC02372}">
      <text>
        <r>
          <rPr>
            <b/>
            <sz val="9"/>
            <color indexed="81"/>
            <rFont val="Segoe UI"/>
          </rPr>
          <t>Dirk Engelmann:</t>
        </r>
        <r>
          <rPr>
            <sz val="9"/>
            <color indexed="81"/>
            <rFont val="Segoe UI"/>
          </rPr>
          <t xml:space="preserve">
Grundflaeche Modul L 5505 x B 1675 mm (ohne Schaltschraenke)</t>
        </r>
      </text>
    </comment>
    <comment ref="M36" authorId="2" shapeId="0" xr:uid="{008A1587-9F99-45EB-A938-330E326D0579}">
      <text>
        <r>
          <rPr>
            <b/>
            <sz val="9"/>
            <color indexed="81"/>
            <rFont val="Segoe UI"/>
          </rPr>
          <t>Dirk Engelmann:</t>
        </r>
        <r>
          <rPr>
            <sz val="9"/>
            <color indexed="81"/>
            <rFont val="Segoe UI"/>
          </rPr>
          <t xml:space="preserve">
NOx ohne/mit Kat &lt; 0,5 g/Nm3 = 500 mg/Nm3</t>
        </r>
      </text>
    </comment>
    <comment ref="O36" authorId="2" shapeId="0" xr:uid="{A5C2E6DC-FEE3-43F7-9043-C8D81B38B2C1}">
      <text>
        <r>
          <rPr>
            <b/>
            <sz val="9"/>
            <color indexed="81"/>
            <rFont val="Segoe UI"/>
          </rPr>
          <t>Dirk Engelmann:</t>
        </r>
        <r>
          <rPr>
            <sz val="9"/>
            <color indexed="81"/>
            <rFont val="Segoe UI"/>
          </rPr>
          <t xml:space="preserve">
CO ohne Kat &lt; 1 g/Nm3 (1000 mg); mit Kat &lt; 0,25 g/Nm3 (250 mg)</t>
        </r>
      </text>
    </comment>
  </commentList>
</comments>
</file>

<file path=xl/sharedStrings.xml><?xml version="1.0" encoding="utf-8"?>
<sst xmlns="http://schemas.openxmlformats.org/spreadsheetml/2006/main" count="239" uniqueCount="176">
  <si>
    <t>ID</t>
  </si>
  <si>
    <t>Bezeichner</t>
  </si>
  <si>
    <t>Firma</t>
  </si>
  <si>
    <t>Beschreibung</t>
  </si>
  <si>
    <t>Ptherm</t>
  </si>
  <si>
    <t>Pel</t>
  </si>
  <si>
    <t>Brennstoff</t>
  </si>
  <si>
    <t>Wirkungsgrad</t>
  </si>
  <si>
    <t>Investition_kwel</t>
  </si>
  <si>
    <t>Raumbedarf</t>
  </si>
  <si>
    <t>Wartungskosten_kwhel</t>
  </si>
  <si>
    <t>Nutzungsdauer</t>
  </si>
  <si>
    <t>NOX</t>
  </si>
  <si>
    <t>SO2</t>
  </si>
  <si>
    <t>CO</t>
  </si>
  <si>
    <t>CO2</t>
  </si>
  <si>
    <t>Staub</t>
  </si>
  <si>
    <t>Motortyp</t>
  </si>
  <si>
    <t>Grenzleistung</t>
  </si>
  <si>
    <t>Kosten_Modul</t>
  </si>
  <si>
    <t>Kosten_Montage</t>
  </si>
  <si>
    <t>Kosten_Lieferung</t>
  </si>
  <si>
    <t>Kosten_Schallschutzhaube</t>
  </si>
  <si>
    <t>Kosten_Abgasreinigung</t>
  </si>
  <si>
    <t>Vorlauf</t>
  </si>
  <si>
    <t>Ruecklauf</t>
  </si>
  <si>
    <t>Agenitor 404 BG | bt135-0</t>
  </si>
  <si>
    <t>2G Energy AG</t>
  </si>
  <si>
    <t>BHKW-Modul, Biogas (50% CH4), 100 kWel</t>
  </si>
  <si>
    <t>Biogas</t>
  </si>
  <si>
    <t>agenitor 404 BG | bt135</t>
  </si>
  <si>
    <t>Agenitor 404 EG | ct80-1</t>
  </si>
  <si>
    <t>BHKW-Modul, Erdgas, 160 kWel</t>
  </si>
  <si>
    <t>agenitor 404 EG | ct80</t>
  </si>
  <si>
    <t>Agenitor 404c pure H2 | ct0-0</t>
  </si>
  <si>
    <t>BHKW-Modul, 100% Wasserstoff, 115 kWel</t>
  </si>
  <si>
    <t>Wasserstoff</t>
  </si>
  <si>
    <t>agenitor 404 pure H2 | ct0</t>
  </si>
  <si>
    <t>Agenitor 406 BG | ct135-1</t>
  </si>
  <si>
    <t>BHKW-Modul, Biogas (50% CH4), 250 kWel</t>
  </si>
  <si>
    <t>agenitor 406 BG | ct135</t>
  </si>
  <si>
    <t>Agenitor 406 EG | ct80-1</t>
  </si>
  <si>
    <t>BHKW-Modul, Erdgas, 250 kWel</t>
  </si>
  <si>
    <t>agenitor 406 EG | ct80</t>
  </si>
  <si>
    <t>Agenitor 406 pure H2 | ct0-0</t>
  </si>
  <si>
    <t>BHKW-Modul, 100% Wasserstoff, 170 kWel</t>
  </si>
  <si>
    <t>agenitor 406 pure H2 | ct0</t>
  </si>
  <si>
    <t>Agenitor 408 BG | ct135-1</t>
  </si>
  <si>
    <t>BHKW-Modul, Biogas (50% CH4), 360 kWel</t>
  </si>
  <si>
    <t>agenitor 408 BG | ct135</t>
  </si>
  <si>
    <t>Agenitor 408 BG | ct135-0</t>
  </si>
  <si>
    <t>Agenitor 408 EG | ct80-1</t>
  </si>
  <si>
    <t>BHKW-Modul, Erdgas, 360 kWel</t>
  </si>
  <si>
    <t>agenitor 408 EG | ct80</t>
  </si>
  <si>
    <t>Agenitor 408 pure H2 | ct0-0</t>
  </si>
  <si>
    <t>BHKW-Modul, 100% Wasserstoff, 240 kWel</t>
  </si>
  <si>
    <t>agenitor 408 pure H2 | ct0</t>
  </si>
  <si>
    <t>Agenitor 412 BG | ct135-B-1</t>
  </si>
  <si>
    <t>BHKW-Modul, Biogas (50% CH4), 500 kWel</t>
  </si>
  <si>
    <t>agenitor 412 BG | ct135-B</t>
  </si>
  <si>
    <t>Agenitor 412 EG | ct70-1</t>
  </si>
  <si>
    <t>BHKW-Modul, Erdgas, 450 kWel</t>
  </si>
  <si>
    <t>agenitor 412 EG | ct70</t>
  </si>
  <si>
    <t>Agenitor 420 EG | ct70-1 (avus 1000plus)</t>
  </si>
  <si>
    <t>BHKW-Modul, Erdgas, 999 kWel</t>
  </si>
  <si>
    <t>agenitor 420 EG | ct70</t>
  </si>
  <si>
    <t>Agenitor 420 H2 | ct0-0</t>
  </si>
  <si>
    <t>BHKW-Modul, 100% Wasserstoff, 750 kWel</t>
  </si>
  <si>
    <t>agenitor 420 H2 | ct0</t>
  </si>
  <si>
    <t>avus 500plus EG</t>
  </si>
  <si>
    <t>BHKW-Modul, Erdgas, 550 kWel</t>
  </si>
  <si>
    <t>avus 500plus EG (V-Motor)</t>
  </si>
  <si>
    <t>EC-POWER XRGI 6</t>
  </si>
  <si>
    <t>EC POWER A/S</t>
  </si>
  <si>
    <t>BHKW (Power Unit), Erdgas, 6,0 kWel</t>
  </si>
  <si>
    <t>EC-POWER XRGI 6 LowNOx</t>
  </si>
  <si>
    <t>BHKW (Power Unit), Erdgas, Low-NOx, 6,0 kWel</t>
  </si>
  <si>
    <t>EC-POWER XRGI 9</t>
  </si>
  <si>
    <t>BHKW (Power Unit), Erdgas, 9,0 kWel</t>
  </si>
  <si>
    <t>EC-POWER XRGI 15</t>
  </si>
  <si>
    <t>BHKW (Power Unit), Erdgas, 14,5 kWel</t>
  </si>
  <si>
    <t>EC-POWER XRGI 15 BIOGENIC</t>
  </si>
  <si>
    <t>BHKW (Power Unit), Biogas, 14,5 kWel</t>
  </si>
  <si>
    <t>EC-POWER XRGI 20</t>
  </si>
  <si>
    <t>BHKW (Power Unit), Erdgas, 20,0 kWel</t>
  </si>
  <si>
    <t>EC-POWER XRGI 25</t>
  </si>
  <si>
    <t>BHKW (Power Unit), Erdgas, 24,0 kWel</t>
  </si>
  <si>
    <t>SenerTec Dachs 0.8 GenD</t>
  </si>
  <si>
    <t>SenerTec GmbH</t>
  </si>
  <si>
    <t>Brennstoffzellen-Heizgeraet (PEM), Erdgas + bis 20% H2</t>
  </si>
  <si>
    <t>PEM-Brennstoffzelle</t>
  </si>
  <si>
    <t>SenerTec Dachs Gen1.1 G5.5</t>
  </si>
  <si>
    <t>BHKW, Erdgas, 5,5 kWel (auch F5.5 Fluessiggas / HR5.3 Heizoel)</t>
  </si>
  <si>
    <t>Verbrennungsmotor (Magermotor)</t>
  </si>
  <si>
    <t>SenerTec Dachs Gen2 2.9 (G2.9)</t>
  </si>
  <si>
    <t>BHKW, Erdgas, 2,85 kWel (auch F3.0 Fluessiggas)</t>
  </si>
  <si>
    <t>Verbrennungsmotor (Otto)</t>
  </si>
  <si>
    <t>SenerTec Dachs Gen2 5.5 (G5.5)</t>
  </si>
  <si>
    <t>BHKW, Erdgas, 5,5 kWel (auch F5.5 Fluessiggas)</t>
  </si>
  <si>
    <t>SenerTec Dachs Gen2 G5.5 (EN)</t>
  </si>
  <si>
    <t>BHKW, Erdgas, 5,5 kWel - engl. Datenblatt, identisch mit Dachs Gen2 5.5</t>
  </si>
  <si>
    <t>SenerTec Dachs InnoGen</t>
  </si>
  <si>
    <t>Brennstoffzellen-Heizgeraet (PEM), Erdgas</t>
  </si>
  <si>
    <t>SenerTec Dachs Pro 20 (G20.0)</t>
  </si>
  <si>
    <t>BHKW, Erdgas, 10-20 kWel (auch F20.0 Fluessiggas)</t>
  </si>
  <si>
    <t>Feld</t>
  </si>
  <si>
    <t>Einheit / Bedeutung</t>
  </si>
  <si>
    <t>Quelle</t>
  </si>
  <si>
    <t>Nutzbare therm. Leistung bei 100% Last (kW)</t>
  </si>
  <si>
    <t>2G Technical Specification</t>
  </si>
  <si>
    <t>Elektrische Leistung bei 100% Last (kW)</t>
  </si>
  <si>
    <t>Brennstoffart (Erdgas / Biogas 50% CH4 / Wasserstoff)</t>
  </si>
  <si>
    <t>Elektrischer Wirkungsgrad bei 100% Last (%)</t>
  </si>
  <si>
    <t>Modul-Grundflaeche = Laenge x Breite (m2)</t>
  </si>
  <si>
    <t>2G Technical Specification, Kap. 8.1</t>
  </si>
  <si>
    <t>NOx-Emission, mit Katalysator (mg/Nm3, 5% O2)</t>
  </si>
  <si>
    <t>2G Technical Specification, Kap. 1.2</t>
  </si>
  <si>
    <t>CO-Emission, mit Katalysator (mg/Nm3, 5% O2)</t>
  </si>
  <si>
    <t>Motortyp-Bezeichnung</t>
  </si>
  <si>
    <t>2G Technical Specification, Kap. 1.3</t>
  </si>
  <si>
    <t>ISO-Standardleistung mechanisch (kW)</t>
  </si>
  <si>
    <t>Heizwasser-Vorlauftemperatur max (degC)</t>
  </si>
  <si>
    <t>2G Technical Specification, Kap. 3.1</t>
  </si>
  <si>
    <t>Heizwasser-Ruecklauftemperatur max (degC)</t>
  </si>
  <si>
    <t>Spez. Investition (EUR/kWel) - nicht im Datenblatt enthalten</t>
  </si>
  <si>
    <t>-</t>
  </si>
  <si>
    <t>Wartungskosten (EUR/kWhel) - nicht im Datenblatt enthalten</t>
  </si>
  <si>
    <t>Nutzungsdauer - nicht im Datenblatt enthalten</t>
  </si>
  <si>
    <t>SO2 / CO2 / Staub</t>
  </si>
  <si>
    <t>Emissionen - nicht im Datenblatt angegeben</t>
  </si>
  <si>
    <t>Kosten_*</t>
  </si>
  <si>
    <t>Kostenpositionen - nicht im Datenblatt enthalten</t>
  </si>
  <si>
    <t>avus 1200e | 12V4000L64FNER</t>
  </si>
  <si>
    <t>BHKW-Modul, Erdgas, 1519 kWel</t>
  </si>
  <si>
    <t>12V4000L64FNER</t>
  </si>
  <si>
    <t>avus 1600e | 16V4000L64FNER</t>
  </si>
  <si>
    <t>BHKW-Modul, Erdgas, 2032 kWel</t>
  </si>
  <si>
    <t>16V4000L64FNER</t>
  </si>
  <si>
    <t>avus 2000e | 20V4000L64FNER</t>
  </si>
  <si>
    <t>BHKW-Modul, Erdgas, 2547 kWel</t>
  </si>
  <si>
    <t>20V4000L64FNER TR</t>
  </si>
  <si>
    <t>avus 1000plus | ct80-0</t>
  </si>
  <si>
    <t>BHKW-Modul, Erdgas, 1035 kWel</t>
  </si>
  <si>
    <t>agenitor 420</t>
  </si>
  <si>
    <t>avus 500plus | ct80-B-0</t>
  </si>
  <si>
    <t>BHKW-Modul, Erdgas, 600 kWel</t>
  </si>
  <si>
    <t>agenitor 412</t>
  </si>
  <si>
    <t>avus 416plus | ct80-0</t>
  </si>
  <si>
    <t>BHKW-Modul, Erdgas, 800 kWel</t>
  </si>
  <si>
    <t>agenitor 416</t>
  </si>
  <si>
    <t>Energieträger</t>
  </si>
  <si>
    <t>Nummer</t>
  </si>
  <si>
    <t>Name</t>
  </si>
  <si>
    <t>Stadtgas</t>
  </si>
  <si>
    <t>Erdgas LL</t>
  </si>
  <si>
    <t>Erdgas E</t>
  </si>
  <si>
    <t>Flüssiggas (Propan)</t>
  </si>
  <si>
    <t>Flüssiggas (Butan)</t>
  </si>
  <si>
    <t>Heizöl S</t>
  </si>
  <si>
    <t>Heizöl M</t>
  </si>
  <si>
    <t>Heizöl L</t>
  </si>
  <si>
    <t>Heizöl EL</t>
  </si>
  <si>
    <t>Koks</t>
  </si>
  <si>
    <t>Kohle</t>
  </si>
  <si>
    <t>Holz</t>
  </si>
  <si>
    <t>Elektrische Energie</t>
  </si>
  <si>
    <t>Pellets</t>
  </si>
  <si>
    <t>Rapsöl</t>
  </si>
  <si>
    <t>Tierische Fette</t>
  </si>
  <si>
    <t>Heizöl Bio 5</t>
  </si>
  <si>
    <t>Heizöl Bio 10</t>
  </si>
  <si>
    <t>Heizöl Bio 15</t>
  </si>
  <si>
    <t>Heizöl Bio 20</t>
  </si>
  <si>
    <t>Heizöl EL schwefelarm</t>
  </si>
  <si>
    <t>Fernwärme</t>
  </si>
  <si>
    <t>Sonstige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</si>
</sst>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_);_(@_)"/>
    <numFmt numFmtId="165" formatCode="_(* #,##0.00_);_(* \(#,##0.00\);_(* &quot;-&quot;??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</numFmts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9"/>
      <color indexed="81"/>
      <name val="Segoe UI"/>
    </font>
    <font>
      <b/>
      <sz val="9"/>
      <color indexed="81"/>
      <name val="Segoe UI"/>
    </font>
    <font>
      <sz val="10"/>
      <color indexed="8"/>
      <name val="Arial"/>
    </font>
    <font>
      <sz val="11"/>
      <color indexed="8"/>
      <name val="Aptos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5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2" borderId="0" xfId="0" applyFont="1" applyFill="1"/>
    <xf numFmtId="0" fontId="2" fillId="0" borderId="0" xfId="0" applyFont="1"/>
    <xf numFmtId="0" fontId="6" fillId="3" borderId="2" xfId="1" applyFont="1" applyFill="1" applyBorder="1" applyAlignment="1">
      <alignment horizontal="center"/>
    </xf>
    <xf numFmtId="0" fontId="6" fillId="0" borderId="3" xfId="1" applyFont="1" applyFill="1" applyBorder="1" applyAlignment="1">
      <alignment horizontal="right" wrapText="1"/>
    </xf>
    <xf numFmtId="0" fontId="6" fillId="0" borderId="3" xfId="1" applyFont="1" applyFill="1" applyBorder="1" applyAlignment="1">
      <alignment wrapText="1"/>
    </xf>
  </cellXfs>
  <cellStyles count="2">
    <cellStyle name="Standard" xfId="0" builtinId="0"/>
    <cellStyle name="Standard_Energieträger" xfId="1" xr:uid="{D6EB9EB4-48F4-41F0-A1F9-994970C946C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12CB149-F8C0-4F24-A0AC-8143B39818F8}">
  <we:reference id="29673e3c-d826-4f00-92ee-162334a52b1a" version="1.0.0.8" store="EXCatalog" storeType="EXCatalog"/>
  <we:alternateReferences>
    <we:reference id="WA200009404" version="1.0.0.8" store="de-DE" storeType="OMEX"/>
  </we:alternateReferences>
  <we:properties>
    <we:property name="claude.fileId" value="&quot;e0640c71-fe0a-4e88-a993-3e12efd64ff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6"/>
  <sheetViews>
    <sheetView tabSelected="1" topLeftCell="E1" workbookViewId="0">
      <pane ySplit="1" topLeftCell="A2" activePane="bottomLeft" state="frozen"/>
      <selection pane="bottomLeft" activeCell="G1" sqref="G1:G1048576"/>
    </sheetView>
  </sheetViews>
  <sheetFormatPr baseColWidth="10" defaultColWidth="8.7265625" defaultRowHeight="14.5" x14ac:dyDescent="0.35"/>
  <cols>
    <col min="1" max="1" width="5" customWidth="1"/>
    <col min="2" max="2" width="34" customWidth="1"/>
    <col min="3" max="3" width="14" customWidth="1"/>
    <col min="4" max="4" width="38" customWidth="1"/>
    <col min="5" max="5" width="9" customWidth="1"/>
    <col min="6" max="6" width="8" customWidth="1"/>
    <col min="7" max="7" width="12" customWidth="1"/>
    <col min="8" max="8" width="13" customWidth="1"/>
    <col min="9" max="9" width="15" customWidth="1"/>
    <col min="10" max="10" width="11" customWidth="1"/>
    <col min="11" max="11" width="18" customWidth="1"/>
    <col min="12" max="12" width="13" customWidth="1"/>
    <col min="13" max="13" width="8" customWidth="1"/>
    <col min="14" max="14" width="7" customWidth="1"/>
    <col min="15" max="17" width="8" customWidth="1"/>
    <col min="18" max="18" width="28" customWidth="1"/>
    <col min="19" max="19" width="13" customWidth="1"/>
    <col min="20" max="20" width="12" customWidth="1"/>
    <col min="21" max="22" width="13" customWidth="1"/>
    <col min="23" max="23" width="22" customWidth="1"/>
    <col min="24" max="24" width="20" customWidth="1"/>
    <col min="25" max="25" width="9" customWidth="1"/>
    <col min="26" max="26" width="10" customWidth="1"/>
  </cols>
  <sheetData>
    <row r="1" spans="1:26" ht="4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5">
      <c r="A2" s="2">
        <v>1</v>
      </c>
      <c r="B2" s="2" t="s">
        <v>26</v>
      </c>
      <c r="C2" s="2" t="s">
        <v>27</v>
      </c>
      <c r="D2" s="2" t="s">
        <v>28</v>
      </c>
      <c r="E2" s="3">
        <v>110</v>
      </c>
      <c r="F2" s="3">
        <v>100</v>
      </c>
      <c r="G2" s="3">
        <v>14</v>
      </c>
      <c r="H2" s="3">
        <v>38.6</v>
      </c>
      <c r="I2" s="3"/>
      <c r="J2" s="3">
        <v>3.13</v>
      </c>
      <c r="K2" s="3"/>
      <c r="L2" s="3"/>
      <c r="M2" s="3">
        <v>500</v>
      </c>
      <c r="N2" s="3"/>
      <c r="O2" s="3">
        <v>250</v>
      </c>
      <c r="P2" s="3"/>
      <c r="Q2" s="3"/>
      <c r="R2" s="3" t="s">
        <v>30</v>
      </c>
      <c r="S2" s="3">
        <v>105</v>
      </c>
      <c r="T2" s="3"/>
      <c r="U2" s="3"/>
      <c r="V2" s="3"/>
      <c r="W2" s="3"/>
      <c r="X2" s="3"/>
      <c r="Y2" s="3">
        <v>90</v>
      </c>
      <c r="Z2" s="3">
        <v>70</v>
      </c>
    </row>
    <row r="3" spans="1:26" x14ac:dyDescent="0.35">
      <c r="A3" s="2">
        <v>2</v>
      </c>
      <c r="B3" s="2" t="s">
        <v>31</v>
      </c>
      <c r="C3" s="2" t="s">
        <v>27</v>
      </c>
      <c r="D3" s="2" t="s">
        <v>32</v>
      </c>
      <c r="E3" s="3">
        <v>168</v>
      </c>
      <c r="F3" s="3">
        <v>160</v>
      </c>
      <c r="G3" s="3">
        <v>3</v>
      </c>
      <c r="H3" s="3">
        <v>41</v>
      </c>
      <c r="I3" s="3"/>
      <c r="J3" s="3">
        <v>4.08</v>
      </c>
      <c r="K3" s="3"/>
      <c r="L3" s="3"/>
      <c r="M3" s="3">
        <v>500</v>
      </c>
      <c r="N3" s="3"/>
      <c r="O3" s="3">
        <v>250</v>
      </c>
      <c r="P3" s="3"/>
      <c r="Q3" s="3"/>
      <c r="R3" s="3" t="s">
        <v>33</v>
      </c>
      <c r="S3" s="3">
        <v>167</v>
      </c>
      <c r="T3" s="3"/>
      <c r="U3" s="3"/>
      <c r="V3" s="3"/>
      <c r="W3" s="3"/>
      <c r="X3" s="3"/>
      <c r="Y3" s="3">
        <v>90</v>
      </c>
      <c r="Z3" s="3">
        <v>70</v>
      </c>
    </row>
    <row r="4" spans="1:26" x14ac:dyDescent="0.35">
      <c r="A4" s="2">
        <v>3</v>
      </c>
      <c r="B4" s="2" t="s">
        <v>34</v>
      </c>
      <c r="C4" s="2" t="s">
        <v>27</v>
      </c>
      <c r="D4" s="2" t="s">
        <v>35</v>
      </c>
      <c r="E4" s="3">
        <v>129</v>
      </c>
      <c r="F4" s="3">
        <v>115</v>
      </c>
      <c r="G4" s="3">
        <v>25</v>
      </c>
      <c r="H4" s="3">
        <v>37.700000000000003</v>
      </c>
      <c r="I4" s="3"/>
      <c r="J4" s="3">
        <v>4.08</v>
      </c>
      <c r="K4" s="3"/>
      <c r="L4" s="3"/>
      <c r="M4" s="3">
        <v>95</v>
      </c>
      <c r="N4" s="3"/>
      <c r="O4" s="3">
        <v>1</v>
      </c>
      <c r="P4" s="3"/>
      <c r="Q4" s="3"/>
      <c r="R4" s="3" t="s">
        <v>37</v>
      </c>
      <c r="S4" s="3">
        <v>121</v>
      </c>
      <c r="T4" s="3"/>
      <c r="U4" s="3"/>
      <c r="V4" s="3"/>
      <c r="W4" s="3"/>
      <c r="X4" s="3"/>
      <c r="Y4" s="3">
        <v>90</v>
      </c>
      <c r="Z4" s="3">
        <v>70</v>
      </c>
    </row>
    <row r="5" spans="1:26" x14ac:dyDescent="0.35">
      <c r="A5" s="2">
        <v>4</v>
      </c>
      <c r="B5" s="2" t="s">
        <v>38</v>
      </c>
      <c r="C5" s="2" t="s">
        <v>27</v>
      </c>
      <c r="D5" s="2" t="s">
        <v>39</v>
      </c>
      <c r="E5" s="3">
        <v>245</v>
      </c>
      <c r="F5" s="3">
        <v>250</v>
      </c>
      <c r="G5" s="3">
        <v>14</v>
      </c>
      <c r="H5" s="3">
        <v>42.4</v>
      </c>
      <c r="I5" s="3"/>
      <c r="J5" s="3">
        <v>4.43</v>
      </c>
      <c r="K5" s="3"/>
      <c r="L5" s="3"/>
      <c r="M5" s="3">
        <v>500</v>
      </c>
      <c r="N5" s="3"/>
      <c r="O5" s="3">
        <v>500</v>
      </c>
      <c r="P5" s="3"/>
      <c r="Q5" s="3"/>
      <c r="R5" s="3" t="s">
        <v>40</v>
      </c>
      <c r="S5" s="3">
        <v>261</v>
      </c>
      <c r="T5" s="3"/>
      <c r="U5" s="3"/>
      <c r="V5" s="3"/>
      <c r="W5" s="3"/>
      <c r="X5" s="3"/>
      <c r="Y5" s="3">
        <v>90</v>
      </c>
      <c r="Z5" s="3">
        <v>70</v>
      </c>
    </row>
    <row r="6" spans="1:26" x14ac:dyDescent="0.35">
      <c r="A6" s="2">
        <v>5</v>
      </c>
      <c r="B6" s="2" t="s">
        <v>41</v>
      </c>
      <c r="C6" s="2" t="s">
        <v>27</v>
      </c>
      <c r="D6" s="2" t="s">
        <v>42</v>
      </c>
      <c r="E6" s="3">
        <v>260</v>
      </c>
      <c r="F6" s="3">
        <v>250</v>
      </c>
      <c r="G6" s="3">
        <v>3</v>
      </c>
      <c r="H6" s="3">
        <v>41.8</v>
      </c>
      <c r="I6" s="3"/>
      <c r="J6" s="3">
        <v>4.43</v>
      </c>
      <c r="K6" s="3"/>
      <c r="L6" s="3"/>
      <c r="M6" s="3">
        <v>500</v>
      </c>
      <c r="N6" s="3"/>
      <c r="O6" s="3">
        <v>250</v>
      </c>
      <c r="P6" s="3"/>
      <c r="Q6" s="3"/>
      <c r="R6" s="3" t="s">
        <v>43</v>
      </c>
      <c r="S6" s="3">
        <v>261</v>
      </c>
      <c r="T6" s="3"/>
      <c r="U6" s="3"/>
      <c r="V6" s="3"/>
      <c r="W6" s="3"/>
      <c r="X6" s="3"/>
      <c r="Y6" s="3">
        <v>90</v>
      </c>
      <c r="Z6" s="3">
        <v>70</v>
      </c>
    </row>
    <row r="7" spans="1:26" x14ac:dyDescent="0.35">
      <c r="A7" s="2">
        <v>6</v>
      </c>
      <c r="B7" s="2" t="s">
        <v>44</v>
      </c>
      <c r="C7" s="2" t="s">
        <v>27</v>
      </c>
      <c r="D7" s="2" t="s">
        <v>45</v>
      </c>
      <c r="E7" s="3">
        <v>183</v>
      </c>
      <c r="F7" s="3">
        <v>170</v>
      </c>
      <c r="G7" s="3">
        <v>25</v>
      </c>
      <c r="H7" s="3">
        <v>39</v>
      </c>
      <c r="I7" s="3"/>
      <c r="J7" s="3">
        <v>4.43</v>
      </c>
      <c r="K7" s="3"/>
      <c r="L7" s="3"/>
      <c r="M7" s="3">
        <v>95</v>
      </c>
      <c r="N7" s="3"/>
      <c r="O7" s="3">
        <v>1</v>
      </c>
      <c r="P7" s="3"/>
      <c r="Q7" s="3"/>
      <c r="R7" s="3" t="s">
        <v>46</v>
      </c>
      <c r="S7" s="3">
        <v>178</v>
      </c>
      <c r="T7" s="3"/>
      <c r="U7" s="3"/>
      <c r="V7" s="3"/>
      <c r="W7" s="3"/>
      <c r="X7" s="3"/>
      <c r="Y7" s="3">
        <v>90</v>
      </c>
      <c r="Z7" s="3">
        <v>70</v>
      </c>
    </row>
    <row r="8" spans="1:26" x14ac:dyDescent="0.35">
      <c r="A8" s="2">
        <v>7</v>
      </c>
      <c r="B8" s="2" t="s">
        <v>47</v>
      </c>
      <c r="C8" s="2" t="s">
        <v>27</v>
      </c>
      <c r="D8" s="2" t="s">
        <v>48</v>
      </c>
      <c r="E8" s="3">
        <v>345</v>
      </c>
      <c r="F8" s="3">
        <v>360</v>
      </c>
      <c r="G8" s="3">
        <v>14</v>
      </c>
      <c r="H8" s="3">
        <v>42.5</v>
      </c>
      <c r="I8" s="3"/>
      <c r="J8" s="3">
        <v>5.31</v>
      </c>
      <c r="K8" s="3"/>
      <c r="L8" s="3"/>
      <c r="M8" s="3">
        <v>500</v>
      </c>
      <c r="N8" s="3"/>
      <c r="O8" s="3">
        <v>500</v>
      </c>
      <c r="P8" s="3"/>
      <c r="Q8" s="3"/>
      <c r="R8" s="3" t="s">
        <v>49</v>
      </c>
      <c r="S8" s="3">
        <v>374</v>
      </c>
      <c r="T8" s="3"/>
      <c r="U8" s="3"/>
      <c r="V8" s="3"/>
      <c r="W8" s="3"/>
      <c r="X8" s="3"/>
      <c r="Y8" s="3">
        <v>90</v>
      </c>
      <c r="Z8" s="3">
        <v>70</v>
      </c>
    </row>
    <row r="9" spans="1:26" x14ac:dyDescent="0.35">
      <c r="A9" s="2">
        <v>8</v>
      </c>
      <c r="B9" s="2" t="s">
        <v>50</v>
      </c>
      <c r="C9" s="2" t="s">
        <v>27</v>
      </c>
      <c r="D9" s="2" t="s">
        <v>48</v>
      </c>
      <c r="E9" s="3">
        <v>345</v>
      </c>
      <c r="F9" s="3">
        <v>360</v>
      </c>
      <c r="G9" s="3">
        <v>14</v>
      </c>
      <c r="H9" s="3">
        <v>42.5</v>
      </c>
      <c r="I9" s="3"/>
      <c r="J9" s="3">
        <v>5.31</v>
      </c>
      <c r="K9" s="3"/>
      <c r="L9" s="3"/>
      <c r="M9" s="3">
        <v>500</v>
      </c>
      <c r="N9" s="3"/>
      <c r="O9" s="3">
        <v>250</v>
      </c>
      <c r="P9" s="3"/>
      <c r="Q9" s="3"/>
      <c r="R9" s="3" t="s">
        <v>49</v>
      </c>
      <c r="S9" s="3">
        <v>374</v>
      </c>
      <c r="T9" s="3"/>
      <c r="U9" s="3"/>
      <c r="V9" s="3"/>
      <c r="W9" s="3"/>
      <c r="X9" s="3"/>
      <c r="Y9" s="3">
        <v>90</v>
      </c>
      <c r="Z9" s="3">
        <v>70</v>
      </c>
    </row>
    <row r="10" spans="1:26" x14ac:dyDescent="0.35">
      <c r="A10" s="2">
        <v>9</v>
      </c>
      <c r="B10" s="2" t="s">
        <v>51</v>
      </c>
      <c r="C10" s="2" t="s">
        <v>27</v>
      </c>
      <c r="D10" s="2" t="s">
        <v>52</v>
      </c>
      <c r="E10" s="3">
        <v>381</v>
      </c>
      <c r="F10" s="3">
        <v>360</v>
      </c>
      <c r="G10" s="3">
        <v>3</v>
      </c>
      <c r="H10" s="3">
        <v>42.5</v>
      </c>
      <c r="I10" s="3"/>
      <c r="J10" s="3">
        <v>5.51</v>
      </c>
      <c r="K10" s="3"/>
      <c r="L10" s="3"/>
      <c r="M10" s="3">
        <v>500</v>
      </c>
      <c r="N10" s="3"/>
      <c r="O10" s="3">
        <v>250</v>
      </c>
      <c r="P10" s="3"/>
      <c r="Q10" s="3"/>
      <c r="R10" s="3" t="s">
        <v>53</v>
      </c>
      <c r="S10" s="3">
        <v>373</v>
      </c>
      <c r="T10" s="3"/>
      <c r="U10" s="3"/>
      <c r="V10" s="3"/>
      <c r="W10" s="3"/>
      <c r="X10" s="3"/>
      <c r="Y10" s="3">
        <v>90</v>
      </c>
      <c r="Z10" s="3">
        <v>70</v>
      </c>
    </row>
    <row r="11" spans="1:26" x14ac:dyDescent="0.35">
      <c r="A11" s="2">
        <v>10</v>
      </c>
      <c r="B11" s="2" t="s">
        <v>54</v>
      </c>
      <c r="C11" s="2" t="s">
        <v>27</v>
      </c>
      <c r="D11" s="2" t="s">
        <v>55</v>
      </c>
      <c r="E11" s="3">
        <v>250</v>
      </c>
      <c r="F11" s="3">
        <v>240</v>
      </c>
      <c r="G11" s="3">
        <v>25</v>
      </c>
      <c r="H11" s="3">
        <v>40.200000000000003</v>
      </c>
      <c r="I11" s="3"/>
      <c r="J11" s="3">
        <v>5.51</v>
      </c>
      <c r="K11" s="3"/>
      <c r="L11" s="3"/>
      <c r="M11" s="3">
        <v>95</v>
      </c>
      <c r="N11" s="3"/>
      <c r="O11" s="3">
        <v>1</v>
      </c>
      <c r="P11" s="3"/>
      <c r="Q11" s="3"/>
      <c r="R11" s="3" t="s">
        <v>56</v>
      </c>
      <c r="S11" s="3">
        <v>250</v>
      </c>
      <c r="T11" s="3"/>
      <c r="U11" s="3"/>
      <c r="V11" s="3"/>
      <c r="W11" s="3"/>
      <c r="X11" s="3"/>
      <c r="Y11" s="3">
        <v>90</v>
      </c>
      <c r="Z11" s="3">
        <v>70</v>
      </c>
    </row>
    <row r="12" spans="1:26" x14ac:dyDescent="0.35">
      <c r="A12" s="2">
        <v>11</v>
      </c>
      <c r="B12" s="2" t="s">
        <v>57</v>
      </c>
      <c r="C12" s="2" t="s">
        <v>27</v>
      </c>
      <c r="D12" s="2" t="s">
        <v>58</v>
      </c>
      <c r="E12" s="3">
        <v>482</v>
      </c>
      <c r="F12" s="3">
        <v>500</v>
      </c>
      <c r="G12" s="3">
        <v>14</v>
      </c>
      <c r="H12" s="3">
        <v>41.9</v>
      </c>
      <c r="I12" s="3"/>
      <c r="J12" s="3">
        <v>5.95</v>
      </c>
      <c r="K12" s="3"/>
      <c r="L12" s="3"/>
      <c r="M12" s="3">
        <v>500</v>
      </c>
      <c r="N12" s="3"/>
      <c r="O12" s="3">
        <v>250</v>
      </c>
      <c r="P12" s="3"/>
      <c r="Q12" s="3"/>
      <c r="R12" s="3" t="s">
        <v>59</v>
      </c>
      <c r="S12" s="3">
        <v>620</v>
      </c>
      <c r="T12" s="3"/>
      <c r="U12" s="3"/>
      <c r="V12" s="3"/>
      <c r="W12" s="3"/>
      <c r="X12" s="3"/>
      <c r="Y12" s="3">
        <v>90</v>
      </c>
      <c r="Z12" s="3">
        <v>70</v>
      </c>
    </row>
    <row r="13" spans="1:26" x14ac:dyDescent="0.35">
      <c r="A13" s="2">
        <v>12</v>
      </c>
      <c r="B13" s="2" t="s">
        <v>60</v>
      </c>
      <c r="C13" s="2" t="s">
        <v>27</v>
      </c>
      <c r="D13" s="2" t="s">
        <v>61</v>
      </c>
      <c r="E13" s="3">
        <v>493</v>
      </c>
      <c r="F13" s="3">
        <v>450</v>
      </c>
      <c r="G13" s="3">
        <v>3</v>
      </c>
      <c r="H13" s="3">
        <v>41.3</v>
      </c>
      <c r="I13" s="3"/>
      <c r="J13" s="3">
        <v>5.95</v>
      </c>
      <c r="K13" s="3"/>
      <c r="L13" s="3"/>
      <c r="M13" s="3">
        <v>500</v>
      </c>
      <c r="N13" s="3"/>
      <c r="O13" s="3">
        <v>250</v>
      </c>
      <c r="P13" s="3"/>
      <c r="Q13" s="3"/>
      <c r="R13" s="3" t="s">
        <v>62</v>
      </c>
      <c r="S13" s="3">
        <v>468</v>
      </c>
      <c r="T13" s="3"/>
      <c r="U13" s="3"/>
      <c r="V13" s="3"/>
      <c r="W13" s="3"/>
      <c r="X13" s="3"/>
      <c r="Y13" s="3">
        <v>90</v>
      </c>
      <c r="Z13" s="3">
        <v>70</v>
      </c>
    </row>
    <row r="14" spans="1:26" x14ac:dyDescent="0.35">
      <c r="A14" s="2">
        <v>13</v>
      </c>
      <c r="B14" s="2" t="s">
        <v>63</v>
      </c>
      <c r="C14" s="2" t="s">
        <v>27</v>
      </c>
      <c r="D14" s="2" t="s">
        <v>64</v>
      </c>
      <c r="E14" s="3">
        <v>1071</v>
      </c>
      <c r="F14" s="3">
        <v>999</v>
      </c>
      <c r="G14" s="3">
        <v>3</v>
      </c>
      <c r="H14" s="3">
        <v>40.9</v>
      </c>
      <c r="I14" s="3"/>
      <c r="J14" s="3">
        <v>10.54</v>
      </c>
      <c r="K14" s="3"/>
      <c r="L14" s="3"/>
      <c r="M14" s="3">
        <v>250</v>
      </c>
      <c r="N14" s="3"/>
      <c r="O14" s="3">
        <v>250</v>
      </c>
      <c r="P14" s="3"/>
      <c r="Q14" s="3"/>
      <c r="R14" s="3" t="s">
        <v>65</v>
      </c>
      <c r="S14" s="3">
        <v>1027</v>
      </c>
      <c r="T14" s="3"/>
      <c r="U14" s="3"/>
      <c r="V14" s="3"/>
      <c r="W14" s="3"/>
      <c r="X14" s="3"/>
      <c r="Y14" s="3">
        <v>90</v>
      </c>
      <c r="Z14" s="3">
        <v>70</v>
      </c>
    </row>
    <row r="15" spans="1:26" x14ac:dyDescent="0.35">
      <c r="A15" s="2">
        <v>14</v>
      </c>
      <c r="B15" s="2" t="s">
        <v>66</v>
      </c>
      <c r="C15" s="2" t="s">
        <v>27</v>
      </c>
      <c r="D15" s="2" t="s">
        <v>67</v>
      </c>
      <c r="E15" s="3">
        <v>747</v>
      </c>
      <c r="F15" s="3">
        <v>750</v>
      </c>
      <c r="G15" s="3">
        <v>25</v>
      </c>
      <c r="H15" s="3">
        <v>41.2</v>
      </c>
      <c r="I15" s="3"/>
      <c r="J15" s="3"/>
      <c r="K15" s="3"/>
      <c r="L15" s="3"/>
      <c r="M15" s="3">
        <v>95</v>
      </c>
      <c r="N15" s="3"/>
      <c r="O15" s="3">
        <v>1</v>
      </c>
      <c r="P15" s="3"/>
      <c r="Q15" s="3"/>
      <c r="R15" s="3" t="s">
        <v>68</v>
      </c>
      <c r="S15" s="3">
        <v>770</v>
      </c>
      <c r="T15" s="3"/>
      <c r="U15" s="3"/>
      <c r="V15" s="3"/>
      <c r="W15" s="3"/>
      <c r="X15" s="3"/>
      <c r="Y15" s="3">
        <v>90</v>
      </c>
      <c r="Z15" s="3">
        <v>70</v>
      </c>
    </row>
    <row r="16" spans="1:26" x14ac:dyDescent="0.35">
      <c r="A16" s="2">
        <v>15</v>
      </c>
      <c r="B16" s="2" t="s">
        <v>69</v>
      </c>
      <c r="C16" s="2" t="s">
        <v>27</v>
      </c>
      <c r="D16" s="2" t="s">
        <v>70</v>
      </c>
      <c r="E16" s="3">
        <v>585</v>
      </c>
      <c r="F16" s="3">
        <v>550</v>
      </c>
      <c r="G16" s="3">
        <v>3</v>
      </c>
      <c r="H16" s="3">
        <v>42.6</v>
      </c>
      <c r="I16" s="3"/>
      <c r="J16" s="3">
        <v>5.97</v>
      </c>
      <c r="K16" s="3"/>
      <c r="L16" s="3"/>
      <c r="M16" s="3">
        <v>500</v>
      </c>
      <c r="N16" s="3"/>
      <c r="O16" s="3">
        <v>300</v>
      </c>
      <c r="P16" s="3"/>
      <c r="Q16" s="3"/>
      <c r="R16" s="3" t="s">
        <v>71</v>
      </c>
      <c r="S16" s="3">
        <v>569</v>
      </c>
      <c r="T16" s="3"/>
      <c r="U16" s="3"/>
      <c r="V16" s="3"/>
      <c r="W16" s="3"/>
      <c r="X16" s="3"/>
      <c r="Y16" s="3">
        <v>90</v>
      </c>
      <c r="Z16" s="3">
        <v>70</v>
      </c>
    </row>
    <row r="17" spans="1:26" x14ac:dyDescent="0.35">
      <c r="A17" s="2">
        <v>16</v>
      </c>
      <c r="B17" s="2" t="s">
        <v>72</v>
      </c>
      <c r="C17" s="2" t="s">
        <v>73</v>
      </c>
      <c r="D17" s="2" t="s">
        <v>74</v>
      </c>
      <c r="E17" s="3">
        <v>12.4</v>
      </c>
      <c r="F17" s="3">
        <v>6</v>
      </c>
      <c r="G17" s="3">
        <v>3</v>
      </c>
      <c r="H17" s="3">
        <v>30.1</v>
      </c>
      <c r="I17" s="3"/>
      <c r="J17" s="3">
        <v>0.59</v>
      </c>
      <c r="K17" s="3"/>
      <c r="L17" s="3"/>
      <c r="M17" s="3">
        <v>240</v>
      </c>
      <c r="N17" s="3"/>
      <c r="O17" s="3">
        <v>150</v>
      </c>
      <c r="P17" s="3"/>
      <c r="Q17" s="3"/>
      <c r="R17" s="3"/>
      <c r="S17" s="3"/>
      <c r="T17" s="3"/>
      <c r="U17" s="3"/>
      <c r="V17" s="3"/>
      <c r="W17" s="3"/>
      <c r="X17" s="3"/>
      <c r="Y17" s="3">
        <v>80</v>
      </c>
      <c r="Z17" s="3">
        <v>70</v>
      </c>
    </row>
    <row r="18" spans="1:26" x14ac:dyDescent="0.35">
      <c r="A18" s="2">
        <v>17</v>
      </c>
      <c r="B18" s="2" t="s">
        <v>75</v>
      </c>
      <c r="C18" s="2" t="s">
        <v>73</v>
      </c>
      <c r="D18" s="2" t="s">
        <v>76</v>
      </c>
      <c r="E18" s="3">
        <v>14.6</v>
      </c>
      <c r="F18" s="3">
        <v>6</v>
      </c>
      <c r="G18" s="3">
        <v>3</v>
      </c>
      <c r="H18" s="3">
        <v>27.9</v>
      </c>
      <c r="I18" s="3"/>
      <c r="J18" s="3">
        <v>0.59</v>
      </c>
      <c r="K18" s="3"/>
      <c r="L18" s="3"/>
      <c r="M18" s="3">
        <v>240</v>
      </c>
      <c r="N18" s="3"/>
      <c r="O18" s="3">
        <v>150</v>
      </c>
      <c r="P18" s="3"/>
      <c r="Q18" s="3"/>
      <c r="R18" s="3"/>
      <c r="S18" s="3"/>
      <c r="T18" s="3"/>
      <c r="U18" s="3"/>
      <c r="V18" s="3"/>
      <c r="W18" s="3"/>
      <c r="X18" s="3"/>
      <c r="Y18" s="3">
        <v>80</v>
      </c>
      <c r="Z18" s="3">
        <v>70</v>
      </c>
    </row>
    <row r="19" spans="1:26" x14ac:dyDescent="0.35">
      <c r="A19" s="2">
        <v>18</v>
      </c>
      <c r="B19" s="2" t="s">
        <v>77</v>
      </c>
      <c r="C19" s="2" t="s">
        <v>73</v>
      </c>
      <c r="D19" s="2" t="s">
        <v>78</v>
      </c>
      <c r="E19" s="3">
        <v>20.100000000000001</v>
      </c>
      <c r="F19" s="3">
        <v>9</v>
      </c>
      <c r="G19" s="3">
        <v>3</v>
      </c>
      <c r="H19" s="3">
        <v>29.3</v>
      </c>
      <c r="I19" s="3"/>
      <c r="J19" s="3">
        <v>0.59</v>
      </c>
      <c r="K19" s="3"/>
      <c r="L19" s="3"/>
      <c r="M19" s="3">
        <v>240</v>
      </c>
      <c r="N19" s="3"/>
      <c r="O19" s="3">
        <v>70</v>
      </c>
      <c r="P19" s="3"/>
      <c r="Q19" s="3"/>
      <c r="R19" s="3"/>
      <c r="S19" s="3"/>
      <c r="T19" s="3"/>
      <c r="U19" s="3"/>
      <c r="V19" s="3"/>
      <c r="W19" s="3"/>
      <c r="X19" s="3"/>
      <c r="Y19" s="3">
        <v>80</v>
      </c>
      <c r="Z19" s="3">
        <v>70</v>
      </c>
    </row>
    <row r="20" spans="1:26" x14ac:dyDescent="0.35">
      <c r="A20" s="2">
        <v>19</v>
      </c>
      <c r="B20" s="2" t="s">
        <v>79</v>
      </c>
      <c r="C20" s="2" t="s">
        <v>73</v>
      </c>
      <c r="D20" s="2" t="s">
        <v>80</v>
      </c>
      <c r="E20" s="3">
        <v>30.8</v>
      </c>
      <c r="F20" s="3">
        <v>14.5</v>
      </c>
      <c r="G20" s="3">
        <v>3</v>
      </c>
      <c r="H20" s="3">
        <v>29.5</v>
      </c>
      <c r="I20" s="3"/>
      <c r="J20" s="3">
        <v>0.84</v>
      </c>
      <c r="K20" s="3"/>
      <c r="L20" s="3"/>
      <c r="M20" s="3">
        <v>240</v>
      </c>
      <c r="N20" s="3"/>
      <c r="O20" s="3">
        <v>150</v>
      </c>
      <c r="P20" s="3"/>
      <c r="Q20" s="3"/>
      <c r="R20" s="3"/>
      <c r="S20" s="3"/>
      <c r="T20" s="3"/>
      <c r="U20" s="3"/>
      <c r="V20" s="3"/>
      <c r="W20" s="3"/>
      <c r="X20" s="3"/>
      <c r="Y20" s="3">
        <v>85</v>
      </c>
      <c r="Z20" s="3">
        <v>75</v>
      </c>
    </row>
    <row r="21" spans="1:26" x14ac:dyDescent="0.35">
      <c r="A21" s="2">
        <v>20</v>
      </c>
      <c r="B21" s="2" t="s">
        <v>81</v>
      </c>
      <c r="C21" s="2" t="s">
        <v>73</v>
      </c>
      <c r="D21" s="2" t="s">
        <v>82</v>
      </c>
      <c r="E21" s="3">
        <v>30.8</v>
      </c>
      <c r="F21" s="3">
        <v>14.5</v>
      </c>
      <c r="G21" s="3">
        <v>14</v>
      </c>
      <c r="H21" s="3">
        <v>29.5</v>
      </c>
      <c r="I21" s="3"/>
      <c r="J21" s="3">
        <v>0.84</v>
      </c>
      <c r="K21" s="3"/>
      <c r="L21" s="3"/>
      <c r="M21" s="3">
        <v>240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>
        <v>85</v>
      </c>
      <c r="Z21" s="3">
        <v>75</v>
      </c>
    </row>
    <row r="22" spans="1:26" x14ac:dyDescent="0.35">
      <c r="A22" s="2">
        <v>21</v>
      </c>
      <c r="B22" s="2" t="s">
        <v>83</v>
      </c>
      <c r="C22" s="2" t="s">
        <v>73</v>
      </c>
      <c r="D22" s="2" t="s">
        <v>84</v>
      </c>
      <c r="E22" s="3">
        <v>38.700000000000003</v>
      </c>
      <c r="F22" s="3">
        <v>20</v>
      </c>
      <c r="G22" s="3">
        <v>3</v>
      </c>
      <c r="H22" s="3">
        <v>32.700000000000003</v>
      </c>
      <c r="I22" s="3"/>
      <c r="J22" s="3">
        <v>0.84</v>
      </c>
      <c r="K22" s="3"/>
      <c r="L22" s="3"/>
      <c r="M22" s="3">
        <v>240</v>
      </c>
      <c r="N22" s="3"/>
      <c r="O22" s="3">
        <v>50</v>
      </c>
      <c r="P22" s="3"/>
      <c r="Q22" s="3"/>
      <c r="R22" s="3"/>
      <c r="S22" s="3"/>
      <c r="T22" s="3"/>
      <c r="U22" s="3"/>
      <c r="V22" s="3"/>
      <c r="W22" s="3"/>
      <c r="X22" s="3"/>
      <c r="Y22" s="3">
        <v>85</v>
      </c>
      <c r="Z22" s="3">
        <v>75</v>
      </c>
    </row>
    <row r="23" spans="1:26" x14ac:dyDescent="0.35">
      <c r="A23" s="2">
        <v>22</v>
      </c>
      <c r="B23" s="2" t="s">
        <v>85</v>
      </c>
      <c r="C23" s="2" t="s">
        <v>73</v>
      </c>
      <c r="D23" s="2" t="s">
        <v>86</v>
      </c>
      <c r="E23" s="3">
        <v>48</v>
      </c>
      <c r="F23" s="3">
        <v>24</v>
      </c>
      <c r="G23" s="3">
        <v>3</v>
      </c>
      <c r="H23" s="3">
        <v>31.2</v>
      </c>
      <c r="I23" s="3"/>
      <c r="J23" s="3">
        <v>0.84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>
        <v>85</v>
      </c>
      <c r="Z23" s="3">
        <v>75</v>
      </c>
    </row>
    <row r="24" spans="1:26" x14ac:dyDescent="0.35">
      <c r="A24" s="2">
        <v>23</v>
      </c>
      <c r="B24" s="2" t="s">
        <v>87</v>
      </c>
      <c r="C24" s="2" t="s">
        <v>88</v>
      </c>
      <c r="D24" s="2" t="s">
        <v>89</v>
      </c>
      <c r="E24" s="3">
        <v>1</v>
      </c>
      <c r="F24" s="3">
        <v>0.70499999999999996</v>
      </c>
      <c r="G24" s="3">
        <v>3</v>
      </c>
      <c r="H24" s="3"/>
      <c r="I24" s="3"/>
      <c r="J24" s="3">
        <v>1.49</v>
      </c>
      <c r="K24" s="3"/>
      <c r="L24" s="3"/>
      <c r="M24" s="3"/>
      <c r="N24" s="3"/>
      <c r="O24" s="3"/>
      <c r="P24" s="3"/>
      <c r="Q24" s="3"/>
      <c r="R24" s="3" t="s">
        <v>90</v>
      </c>
      <c r="S24" s="3"/>
      <c r="T24" s="3"/>
      <c r="U24" s="3"/>
      <c r="V24" s="3"/>
      <c r="W24" s="3"/>
      <c r="X24" s="3"/>
      <c r="Y24" s="3">
        <v>67</v>
      </c>
      <c r="Z24" s="3">
        <v>30</v>
      </c>
    </row>
    <row r="25" spans="1:26" x14ac:dyDescent="0.35">
      <c r="A25" s="2">
        <v>24</v>
      </c>
      <c r="B25" s="2" t="s">
        <v>91</v>
      </c>
      <c r="C25" s="2" t="s">
        <v>88</v>
      </c>
      <c r="D25" s="2" t="s">
        <v>92</v>
      </c>
      <c r="E25" s="3">
        <v>14.7</v>
      </c>
      <c r="F25" s="3">
        <v>5.5</v>
      </c>
      <c r="G25" s="3">
        <v>3</v>
      </c>
      <c r="H25" s="3">
        <v>24</v>
      </c>
      <c r="I25" s="3"/>
      <c r="J25" s="3">
        <v>0.77</v>
      </c>
      <c r="K25" s="3"/>
      <c r="L25" s="3"/>
      <c r="M25" s="3"/>
      <c r="N25" s="3"/>
      <c r="O25" s="3"/>
      <c r="P25" s="3"/>
      <c r="Q25" s="3"/>
      <c r="R25" s="3" t="s">
        <v>93</v>
      </c>
      <c r="S25" s="3"/>
      <c r="T25" s="3"/>
      <c r="U25" s="3"/>
      <c r="V25" s="3"/>
      <c r="W25" s="3"/>
      <c r="X25" s="3"/>
      <c r="Y25" s="3">
        <v>83</v>
      </c>
      <c r="Z25" s="3">
        <v>70</v>
      </c>
    </row>
    <row r="26" spans="1:26" x14ac:dyDescent="0.35">
      <c r="A26" s="2">
        <v>25</v>
      </c>
      <c r="B26" s="2" t="s">
        <v>94</v>
      </c>
      <c r="C26" s="2" t="s">
        <v>88</v>
      </c>
      <c r="D26" s="2" t="s">
        <v>95</v>
      </c>
      <c r="E26" s="3">
        <v>7</v>
      </c>
      <c r="F26" s="3">
        <v>2.85</v>
      </c>
      <c r="G26" s="3">
        <v>3</v>
      </c>
      <c r="H26" s="3">
        <v>29.8</v>
      </c>
      <c r="I26" s="3"/>
      <c r="J26" s="3">
        <v>0.77</v>
      </c>
      <c r="K26" s="3"/>
      <c r="L26" s="3"/>
      <c r="M26" s="3"/>
      <c r="N26" s="3"/>
      <c r="O26" s="3"/>
      <c r="P26" s="3"/>
      <c r="Q26" s="3"/>
      <c r="R26" s="3" t="s">
        <v>96</v>
      </c>
      <c r="S26" s="3"/>
      <c r="T26" s="3"/>
      <c r="U26" s="3"/>
      <c r="V26" s="3"/>
      <c r="W26" s="3"/>
      <c r="X26" s="3"/>
      <c r="Y26" s="3">
        <v>83</v>
      </c>
      <c r="Z26" s="3">
        <v>70</v>
      </c>
    </row>
    <row r="27" spans="1:26" x14ac:dyDescent="0.35">
      <c r="A27" s="2">
        <v>26</v>
      </c>
      <c r="B27" s="2" t="s">
        <v>97</v>
      </c>
      <c r="C27" s="2" t="s">
        <v>88</v>
      </c>
      <c r="D27" s="2" t="s">
        <v>98</v>
      </c>
      <c r="E27" s="3">
        <v>14.8</v>
      </c>
      <c r="F27" s="3">
        <v>5.5</v>
      </c>
      <c r="G27" s="3">
        <v>3</v>
      </c>
      <c r="H27" s="3">
        <v>28.4</v>
      </c>
      <c r="I27" s="3"/>
      <c r="J27" s="3">
        <v>0.77</v>
      </c>
      <c r="K27" s="3"/>
      <c r="L27" s="3"/>
      <c r="M27" s="3"/>
      <c r="N27" s="3"/>
      <c r="O27" s="3"/>
      <c r="P27" s="3"/>
      <c r="Q27" s="3"/>
      <c r="R27" s="3" t="s">
        <v>96</v>
      </c>
      <c r="S27" s="3"/>
      <c r="T27" s="3"/>
      <c r="U27" s="3"/>
      <c r="V27" s="3"/>
      <c r="W27" s="3"/>
      <c r="X27" s="3"/>
      <c r="Y27" s="3">
        <v>83</v>
      </c>
      <c r="Z27" s="3">
        <v>70</v>
      </c>
    </row>
    <row r="28" spans="1:26" x14ac:dyDescent="0.35">
      <c r="A28" s="2">
        <v>27</v>
      </c>
      <c r="B28" s="2" t="s">
        <v>99</v>
      </c>
      <c r="C28" s="2" t="s">
        <v>88</v>
      </c>
      <c r="D28" s="2" t="s">
        <v>100</v>
      </c>
      <c r="E28" s="3">
        <v>14.8</v>
      </c>
      <c r="F28" s="3">
        <v>5.5</v>
      </c>
      <c r="G28" s="3">
        <v>3</v>
      </c>
      <c r="H28" s="3">
        <v>28.4</v>
      </c>
      <c r="I28" s="3"/>
      <c r="J28" s="3">
        <v>0.77</v>
      </c>
      <c r="K28" s="3"/>
      <c r="L28" s="3"/>
      <c r="M28" s="3"/>
      <c r="N28" s="3"/>
      <c r="O28" s="3"/>
      <c r="P28" s="3"/>
      <c r="Q28" s="3"/>
      <c r="R28" s="3" t="s">
        <v>96</v>
      </c>
      <c r="S28" s="3"/>
      <c r="T28" s="3"/>
      <c r="U28" s="3"/>
      <c r="V28" s="3"/>
      <c r="W28" s="3"/>
      <c r="X28" s="3"/>
      <c r="Y28" s="3">
        <v>83</v>
      </c>
      <c r="Z28" s="3">
        <v>70</v>
      </c>
    </row>
    <row r="29" spans="1:26" x14ac:dyDescent="0.35">
      <c r="A29" s="2">
        <v>28</v>
      </c>
      <c r="B29" s="2" t="s">
        <v>101</v>
      </c>
      <c r="C29" s="2" t="s">
        <v>88</v>
      </c>
      <c r="D29" s="2" t="s">
        <v>102</v>
      </c>
      <c r="E29" s="3">
        <v>0.95</v>
      </c>
      <c r="F29" s="3">
        <v>0.7</v>
      </c>
      <c r="G29" s="3">
        <v>3</v>
      </c>
      <c r="H29" s="3">
        <v>37.700000000000003</v>
      </c>
      <c r="I29" s="3"/>
      <c r="J29" s="3"/>
      <c r="K29" s="3"/>
      <c r="L29" s="3"/>
      <c r="M29" s="3"/>
      <c r="N29" s="3"/>
      <c r="O29" s="3"/>
      <c r="P29" s="3"/>
      <c r="Q29" s="3"/>
      <c r="R29" s="3" t="s">
        <v>90</v>
      </c>
      <c r="S29" s="3"/>
      <c r="T29" s="3"/>
      <c r="U29" s="3"/>
      <c r="V29" s="3"/>
      <c r="W29" s="3"/>
      <c r="X29" s="3"/>
      <c r="Y29" s="3"/>
      <c r="Z29" s="3"/>
    </row>
    <row r="30" spans="1:26" x14ac:dyDescent="0.35">
      <c r="A30" s="2">
        <v>29</v>
      </c>
      <c r="B30" s="2" t="s">
        <v>103</v>
      </c>
      <c r="C30" s="2" t="s">
        <v>88</v>
      </c>
      <c r="D30" s="2" t="s">
        <v>104</v>
      </c>
      <c r="E30" s="3">
        <v>44</v>
      </c>
      <c r="F30" s="3">
        <v>20</v>
      </c>
      <c r="G30" s="3">
        <v>3</v>
      </c>
      <c r="H30" s="3">
        <v>32</v>
      </c>
      <c r="I30" s="3"/>
      <c r="J30" s="3"/>
      <c r="K30" s="3"/>
      <c r="L30" s="3"/>
      <c r="M30" s="3"/>
      <c r="N30" s="3"/>
      <c r="O30" s="3"/>
      <c r="P30" s="3"/>
      <c r="Q30" s="3"/>
      <c r="R30" s="3" t="s">
        <v>96</v>
      </c>
      <c r="S30" s="3"/>
      <c r="T30" s="3"/>
      <c r="U30" s="3"/>
      <c r="V30" s="3"/>
      <c r="W30" s="3"/>
      <c r="X30" s="3"/>
      <c r="Y30" s="3"/>
      <c r="Z30" s="3"/>
    </row>
    <row r="31" spans="1:26" x14ac:dyDescent="0.35">
      <c r="A31" s="2">
        <v>30</v>
      </c>
      <c r="B31" s="2" t="s">
        <v>132</v>
      </c>
      <c r="C31" s="2" t="s">
        <v>27</v>
      </c>
      <c r="D31" s="2" t="s">
        <v>133</v>
      </c>
      <c r="E31" s="3">
        <v>1566</v>
      </c>
      <c r="F31" s="3">
        <v>1519</v>
      </c>
      <c r="G31" s="3">
        <v>3</v>
      </c>
      <c r="H31" s="3">
        <v>44.3</v>
      </c>
      <c r="I31" s="3"/>
      <c r="J31" s="3">
        <f>4.8*1.9</f>
        <v>9.1199999999999992</v>
      </c>
      <c r="K31" s="3"/>
      <c r="L31" s="3"/>
      <c r="M31" s="3">
        <v>500</v>
      </c>
      <c r="N31" s="3"/>
      <c r="O31" s="3">
        <v>1000</v>
      </c>
      <c r="P31" s="3"/>
      <c r="Q31" s="3"/>
      <c r="R31" s="3" t="s">
        <v>134</v>
      </c>
      <c r="S31" s="3"/>
      <c r="T31" s="3"/>
      <c r="U31" s="3"/>
      <c r="V31" s="3"/>
      <c r="W31" s="3"/>
      <c r="X31" s="3"/>
      <c r="Y31" s="3">
        <v>91</v>
      </c>
      <c r="Z31" s="3">
        <v>77</v>
      </c>
    </row>
    <row r="32" spans="1:26" x14ac:dyDescent="0.35">
      <c r="A32" s="2">
        <v>31</v>
      </c>
      <c r="B32" s="2" t="s">
        <v>135</v>
      </c>
      <c r="C32" s="2" t="s">
        <v>27</v>
      </c>
      <c r="D32" s="2" t="s">
        <v>136</v>
      </c>
      <c r="E32" s="3">
        <v>2147</v>
      </c>
      <c r="F32" s="3">
        <v>2032</v>
      </c>
      <c r="G32" s="3">
        <v>3</v>
      </c>
      <c r="H32" s="3">
        <v>44</v>
      </c>
      <c r="I32" s="3"/>
      <c r="J32" s="3">
        <f>5.5*2.1</f>
        <v>11.55</v>
      </c>
      <c r="K32" s="3"/>
      <c r="L32" s="3"/>
      <c r="M32" s="3">
        <v>500</v>
      </c>
      <c r="N32" s="3"/>
      <c r="O32" s="3">
        <v>1000</v>
      </c>
      <c r="P32" s="3"/>
      <c r="Q32" s="3"/>
      <c r="R32" s="3" t="s">
        <v>137</v>
      </c>
      <c r="S32" s="3"/>
      <c r="T32" s="3"/>
      <c r="U32" s="3"/>
      <c r="V32" s="3"/>
      <c r="W32" s="3"/>
      <c r="X32" s="3"/>
      <c r="Y32" s="3">
        <v>91</v>
      </c>
      <c r="Z32" s="3">
        <v>78</v>
      </c>
    </row>
    <row r="33" spans="1:26" x14ac:dyDescent="0.35">
      <c r="A33" s="2">
        <v>32</v>
      </c>
      <c r="B33" s="2" t="s">
        <v>138</v>
      </c>
      <c r="C33" s="2" t="s">
        <v>27</v>
      </c>
      <c r="D33" s="2" t="s">
        <v>139</v>
      </c>
      <c r="E33" s="3">
        <v>2683</v>
      </c>
      <c r="F33" s="3">
        <v>2547</v>
      </c>
      <c r="G33" s="3">
        <v>3</v>
      </c>
      <c r="H33" s="3">
        <v>44.1</v>
      </c>
      <c r="I33" s="3"/>
      <c r="J33" s="3">
        <f>6.2*2.1</f>
        <v>13.020000000000001</v>
      </c>
      <c r="K33" s="3"/>
      <c r="L33" s="3"/>
      <c r="M33" s="3">
        <v>500</v>
      </c>
      <c r="N33" s="3"/>
      <c r="O33" s="3">
        <v>1000</v>
      </c>
      <c r="P33" s="3"/>
      <c r="Q33" s="3"/>
      <c r="R33" s="3" t="s">
        <v>140</v>
      </c>
      <c r="S33" s="3"/>
      <c r="T33" s="3"/>
      <c r="U33" s="3"/>
      <c r="V33" s="3"/>
      <c r="W33" s="3"/>
      <c r="X33" s="3"/>
      <c r="Y33" s="3">
        <v>92</v>
      </c>
      <c r="Z33" s="3">
        <v>77</v>
      </c>
    </row>
    <row r="34" spans="1:26" x14ac:dyDescent="0.35">
      <c r="A34" s="2">
        <v>33</v>
      </c>
      <c r="B34" s="2" t="s">
        <v>141</v>
      </c>
      <c r="C34" s="2" t="s">
        <v>27</v>
      </c>
      <c r="D34" s="2" t="s">
        <v>142</v>
      </c>
      <c r="E34" s="3">
        <v>1052</v>
      </c>
      <c r="F34" s="3">
        <v>1035</v>
      </c>
      <c r="G34" s="3">
        <v>3</v>
      </c>
      <c r="H34" s="3">
        <v>43.8</v>
      </c>
      <c r="I34" s="3"/>
      <c r="J34" s="3">
        <f>6.295*1.675</f>
        <v>10.544124999999999</v>
      </c>
      <c r="K34" s="3"/>
      <c r="L34" s="3"/>
      <c r="M34" s="3">
        <v>500</v>
      </c>
      <c r="N34" s="3"/>
      <c r="O34" s="3">
        <v>1000</v>
      </c>
      <c r="P34" s="3"/>
      <c r="Q34" s="3"/>
      <c r="R34" s="3" t="s">
        <v>143</v>
      </c>
      <c r="S34" s="3"/>
      <c r="T34" s="3"/>
      <c r="U34" s="3"/>
      <c r="V34" s="3"/>
      <c r="W34" s="3"/>
      <c r="X34" s="3"/>
      <c r="Y34" s="3">
        <v>90</v>
      </c>
      <c r="Z34" s="3">
        <v>70</v>
      </c>
    </row>
    <row r="35" spans="1:26" x14ac:dyDescent="0.35">
      <c r="A35" s="2">
        <v>34</v>
      </c>
      <c r="B35" s="2" t="s">
        <v>144</v>
      </c>
      <c r="C35" s="2" t="s">
        <v>27</v>
      </c>
      <c r="D35" s="2" t="s">
        <v>145</v>
      </c>
      <c r="E35" s="3">
        <v>628</v>
      </c>
      <c r="F35" s="3">
        <v>600</v>
      </c>
      <c r="G35" s="3">
        <v>3</v>
      </c>
      <c r="H35" s="3">
        <v>42.8</v>
      </c>
      <c r="I35" s="3"/>
      <c r="J35" s="3">
        <f>4.545*1.31</f>
        <v>5.9539499999999999</v>
      </c>
      <c r="K35" s="3"/>
      <c r="L35" s="3"/>
      <c r="M35" s="3">
        <v>500</v>
      </c>
      <c r="N35" s="3"/>
      <c r="O35" s="3">
        <v>1000</v>
      </c>
      <c r="P35" s="3"/>
      <c r="Q35" s="3"/>
      <c r="R35" s="3" t="s">
        <v>146</v>
      </c>
      <c r="S35" s="3"/>
      <c r="T35" s="3"/>
      <c r="U35" s="3"/>
      <c r="V35" s="3"/>
      <c r="W35" s="3"/>
      <c r="X35" s="3"/>
      <c r="Y35" s="3">
        <v>90</v>
      </c>
      <c r="Z35" s="3">
        <v>70</v>
      </c>
    </row>
    <row r="36" spans="1:26" x14ac:dyDescent="0.35">
      <c r="A36" s="2">
        <v>35</v>
      </c>
      <c r="B36" s="2" t="s">
        <v>147</v>
      </c>
      <c r="C36" s="2" t="s">
        <v>27</v>
      </c>
      <c r="D36" s="2" t="s">
        <v>148</v>
      </c>
      <c r="E36" s="3">
        <v>786</v>
      </c>
      <c r="F36" s="3">
        <v>800</v>
      </c>
      <c r="G36" s="3">
        <v>3</v>
      </c>
      <c r="H36" s="3">
        <v>43.4</v>
      </c>
      <c r="I36" s="3"/>
      <c r="J36" s="3">
        <f>5.505*1.675</f>
        <v>9.2208749999999995</v>
      </c>
      <c r="K36" s="3"/>
      <c r="L36" s="3"/>
      <c r="M36" s="3">
        <v>500</v>
      </c>
      <c r="N36" s="3"/>
      <c r="O36" s="3">
        <v>1000</v>
      </c>
      <c r="P36" s="3"/>
      <c r="Q36" s="3"/>
      <c r="R36" s="3" t="s">
        <v>149</v>
      </c>
      <c r="S36" s="3"/>
      <c r="T36" s="3"/>
      <c r="U36" s="3"/>
      <c r="V36" s="3"/>
      <c r="W36" s="3"/>
      <c r="X36" s="3"/>
      <c r="Y36" s="3">
        <v>90</v>
      </c>
      <c r="Z36" s="3">
        <v>70</v>
      </c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A6AA3-4DFF-4674-9A60-4F6841A08F0E}">
  <dimension ref="A3:B29"/>
  <sheetViews>
    <sheetView topLeftCell="A17" workbookViewId="0">
      <selection activeCell="A9" sqref="A9"/>
    </sheetView>
  </sheetViews>
  <sheetFormatPr baseColWidth="10" defaultRowHeight="14.5" x14ac:dyDescent="0.35"/>
  <sheetData>
    <row r="3" spans="1:2" x14ac:dyDescent="0.35">
      <c r="A3" t="s">
        <v>150</v>
      </c>
      <c r="B3" t="s">
        <v>151</v>
      </c>
    </row>
    <row r="4" spans="1:2" x14ac:dyDescent="0.35">
      <c r="A4" s="6" t="s">
        <v>152</v>
      </c>
      <c r="B4" s="6" t="s">
        <v>0</v>
      </c>
    </row>
    <row r="5" spans="1:2" x14ac:dyDescent="0.35">
      <c r="A5" s="8" t="s">
        <v>153</v>
      </c>
      <c r="B5" s="7">
        <v>1</v>
      </c>
    </row>
    <row r="6" spans="1:2" x14ac:dyDescent="0.35">
      <c r="A6" s="8" t="s">
        <v>154</v>
      </c>
      <c r="B6" s="7">
        <v>2</v>
      </c>
    </row>
    <row r="7" spans="1:2" x14ac:dyDescent="0.35">
      <c r="A7" s="8" t="s">
        <v>155</v>
      </c>
      <c r="B7" s="7">
        <v>3</v>
      </c>
    </row>
    <row r="8" spans="1:2" ht="29" x14ac:dyDescent="0.35">
      <c r="A8" s="8" t="s">
        <v>156</v>
      </c>
      <c r="B8" s="7">
        <v>4</v>
      </c>
    </row>
    <row r="9" spans="1:2" ht="29" x14ac:dyDescent="0.35">
      <c r="A9" s="8" t="s">
        <v>157</v>
      </c>
      <c r="B9" s="7">
        <v>5</v>
      </c>
    </row>
    <row r="10" spans="1:2" x14ac:dyDescent="0.35">
      <c r="A10" s="8" t="s">
        <v>158</v>
      </c>
      <c r="B10" s="7">
        <v>6</v>
      </c>
    </row>
    <row r="11" spans="1:2" x14ac:dyDescent="0.35">
      <c r="A11" s="8" t="s">
        <v>159</v>
      </c>
      <c r="B11" s="7">
        <v>7</v>
      </c>
    </row>
    <row r="12" spans="1:2" x14ac:dyDescent="0.35">
      <c r="A12" s="8" t="s">
        <v>160</v>
      </c>
      <c r="B12" s="7">
        <v>8</v>
      </c>
    </row>
    <row r="13" spans="1:2" x14ac:dyDescent="0.35">
      <c r="A13" s="8" t="s">
        <v>161</v>
      </c>
      <c r="B13" s="7">
        <v>9</v>
      </c>
    </row>
    <row r="14" spans="1:2" x14ac:dyDescent="0.35">
      <c r="A14" s="8" t="s">
        <v>162</v>
      </c>
      <c r="B14" s="7">
        <v>10</v>
      </c>
    </row>
    <row r="15" spans="1:2" x14ac:dyDescent="0.35">
      <c r="A15" s="8" t="s">
        <v>163</v>
      </c>
      <c r="B15" s="7">
        <v>11</v>
      </c>
    </row>
    <row r="16" spans="1:2" x14ac:dyDescent="0.35">
      <c r="A16" s="8" t="s">
        <v>164</v>
      </c>
      <c r="B16" s="7">
        <v>12</v>
      </c>
    </row>
    <row r="17" spans="1:2" ht="29" x14ac:dyDescent="0.35">
      <c r="A17" s="8" t="s">
        <v>165</v>
      </c>
      <c r="B17" s="7">
        <v>13</v>
      </c>
    </row>
    <row r="18" spans="1:2" x14ac:dyDescent="0.35">
      <c r="A18" s="8" t="s">
        <v>29</v>
      </c>
      <c r="B18" s="7">
        <v>14</v>
      </c>
    </row>
    <row r="19" spans="1:2" x14ac:dyDescent="0.35">
      <c r="A19" s="8" t="s">
        <v>166</v>
      </c>
      <c r="B19" s="7">
        <v>15</v>
      </c>
    </row>
    <row r="20" spans="1:2" x14ac:dyDescent="0.35">
      <c r="A20" s="8" t="s">
        <v>167</v>
      </c>
      <c r="B20" s="7">
        <v>16</v>
      </c>
    </row>
    <row r="21" spans="1:2" ht="29" x14ac:dyDescent="0.35">
      <c r="A21" s="8" t="s">
        <v>168</v>
      </c>
      <c r="B21" s="7">
        <v>17</v>
      </c>
    </row>
    <row r="22" spans="1:2" x14ac:dyDescent="0.35">
      <c r="A22" s="8" t="s">
        <v>169</v>
      </c>
      <c r="B22" s="7">
        <v>18</v>
      </c>
    </row>
    <row r="23" spans="1:2" ht="29" x14ac:dyDescent="0.35">
      <c r="A23" s="8" t="s">
        <v>170</v>
      </c>
      <c r="B23" s="7">
        <v>19</v>
      </c>
    </row>
    <row r="24" spans="1:2" ht="29" x14ac:dyDescent="0.35">
      <c r="A24" s="8" t="s">
        <v>171</v>
      </c>
      <c r="B24" s="7">
        <v>20</v>
      </c>
    </row>
    <row r="25" spans="1:2" ht="29" x14ac:dyDescent="0.35">
      <c r="A25" s="8" t="s">
        <v>172</v>
      </c>
      <c r="B25" s="7">
        <v>21</v>
      </c>
    </row>
    <row r="26" spans="1:2" ht="43.5" x14ac:dyDescent="0.35">
      <c r="A26" s="8" t="s">
        <v>173</v>
      </c>
      <c r="B26" s="7">
        <v>22</v>
      </c>
    </row>
    <row r="27" spans="1:2" x14ac:dyDescent="0.35">
      <c r="A27" s="8" t="s">
        <v>174</v>
      </c>
      <c r="B27" s="7">
        <v>23</v>
      </c>
    </row>
    <row r="28" spans="1:2" x14ac:dyDescent="0.35">
      <c r="A28" s="8" t="s">
        <v>175</v>
      </c>
      <c r="B28" s="7">
        <v>24</v>
      </c>
    </row>
    <row r="29" spans="1:2" ht="29" x14ac:dyDescent="0.35">
      <c r="A29" s="8" t="s">
        <v>36</v>
      </c>
      <c r="B29" s="7">
        <v>25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/>
  </sheetViews>
  <sheetFormatPr baseColWidth="10" defaultColWidth="8.7265625" defaultRowHeight="14.5" x14ac:dyDescent="0.35"/>
  <cols>
    <col min="1" max="1" width="24" customWidth="1"/>
    <col min="2" max="2" width="52" customWidth="1"/>
    <col min="3" max="3" width="40" customWidth="1"/>
  </cols>
  <sheetData>
    <row r="1" spans="1:3" x14ac:dyDescent="0.35">
      <c r="A1" s="4" t="s">
        <v>105</v>
      </c>
      <c r="B1" s="4" t="s">
        <v>106</v>
      </c>
      <c r="C1" s="4" t="s">
        <v>107</v>
      </c>
    </row>
    <row r="2" spans="1:3" x14ac:dyDescent="0.35">
      <c r="A2" s="5" t="s">
        <v>4</v>
      </c>
      <c r="B2" s="5" t="s">
        <v>108</v>
      </c>
      <c r="C2" s="5" t="s">
        <v>109</v>
      </c>
    </row>
    <row r="3" spans="1:3" x14ac:dyDescent="0.35">
      <c r="A3" s="5" t="s">
        <v>5</v>
      </c>
      <c r="B3" s="5" t="s">
        <v>110</v>
      </c>
      <c r="C3" s="5" t="s">
        <v>109</v>
      </c>
    </row>
    <row r="4" spans="1:3" x14ac:dyDescent="0.35">
      <c r="A4" s="5" t="s">
        <v>6</v>
      </c>
      <c r="B4" s="5" t="s">
        <v>111</v>
      </c>
      <c r="C4" s="5" t="s">
        <v>109</v>
      </c>
    </row>
    <row r="5" spans="1:3" x14ac:dyDescent="0.35">
      <c r="A5" s="5" t="s">
        <v>7</v>
      </c>
      <c r="B5" s="5" t="s">
        <v>112</v>
      </c>
      <c r="C5" s="5" t="s">
        <v>109</v>
      </c>
    </row>
    <row r="6" spans="1:3" x14ac:dyDescent="0.35">
      <c r="A6" s="5" t="s">
        <v>9</v>
      </c>
      <c r="B6" s="5" t="s">
        <v>113</v>
      </c>
      <c r="C6" s="5" t="s">
        <v>114</v>
      </c>
    </row>
    <row r="7" spans="1:3" x14ac:dyDescent="0.35">
      <c r="A7" s="5" t="s">
        <v>12</v>
      </c>
      <c r="B7" s="5" t="s">
        <v>115</v>
      </c>
      <c r="C7" s="5" t="s">
        <v>116</v>
      </c>
    </row>
    <row r="8" spans="1:3" x14ac:dyDescent="0.35">
      <c r="A8" s="5" t="s">
        <v>14</v>
      </c>
      <c r="B8" s="5" t="s">
        <v>117</v>
      </c>
      <c r="C8" s="5" t="s">
        <v>116</v>
      </c>
    </row>
    <row r="9" spans="1:3" x14ac:dyDescent="0.35">
      <c r="A9" s="5" t="s">
        <v>17</v>
      </c>
      <c r="B9" s="5" t="s">
        <v>118</v>
      </c>
      <c r="C9" s="5" t="s">
        <v>119</v>
      </c>
    </row>
    <row r="10" spans="1:3" x14ac:dyDescent="0.35">
      <c r="A10" s="5" t="s">
        <v>18</v>
      </c>
      <c r="B10" s="5" t="s">
        <v>120</v>
      </c>
      <c r="C10" s="5" t="s">
        <v>119</v>
      </c>
    </row>
    <row r="11" spans="1:3" x14ac:dyDescent="0.35">
      <c r="A11" s="5" t="s">
        <v>24</v>
      </c>
      <c r="B11" s="5" t="s">
        <v>121</v>
      </c>
      <c r="C11" s="5" t="s">
        <v>122</v>
      </c>
    </row>
    <row r="12" spans="1:3" x14ac:dyDescent="0.35">
      <c r="A12" s="5" t="s">
        <v>25</v>
      </c>
      <c r="B12" s="5" t="s">
        <v>123</v>
      </c>
      <c r="C12" s="5" t="s">
        <v>122</v>
      </c>
    </row>
    <row r="13" spans="1:3" x14ac:dyDescent="0.35">
      <c r="A13" s="5" t="s">
        <v>8</v>
      </c>
      <c r="B13" s="5" t="s">
        <v>124</v>
      </c>
      <c r="C13" s="5" t="s">
        <v>125</v>
      </c>
    </row>
    <row r="14" spans="1:3" x14ac:dyDescent="0.35">
      <c r="A14" s="5" t="s">
        <v>10</v>
      </c>
      <c r="B14" s="5" t="s">
        <v>126</v>
      </c>
      <c r="C14" s="5" t="s">
        <v>125</v>
      </c>
    </row>
    <row r="15" spans="1:3" x14ac:dyDescent="0.35">
      <c r="A15" s="5" t="s">
        <v>11</v>
      </c>
      <c r="B15" s="5" t="s">
        <v>127</v>
      </c>
      <c r="C15" s="5" t="s">
        <v>125</v>
      </c>
    </row>
    <row r="16" spans="1:3" x14ac:dyDescent="0.35">
      <c r="A16" s="5" t="s">
        <v>128</v>
      </c>
      <c r="B16" s="5" t="s">
        <v>129</v>
      </c>
      <c r="C16" s="5" t="s">
        <v>125</v>
      </c>
    </row>
    <row r="17" spans="1:3" x14ac:dyDescent="0.35">
      <c r="A17" s="5" t="s">
        <v>130</v>
      </c>
      <c r="B17" s="5" t="s">
        <v>131</v>
      </c>
      <c r="C17" s="5" t="s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Tab_BHKW</vt:lpstr>
      <vt:lpstr>Energieträger</vt:lpstr>
      <vt:lpstr>Legende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info</cp:lastModifiedBy>
  <dcterms:created xsi:type="dcterms:W3CDTF">2026-06-13T11:53:52Z</dcterms:created>
  <dcterms:modified xsi:type="dcterms:W3CDTF">2026-06-19T10:56:35Z</dcterms:modified>
</cp:coreProperties>
</file>