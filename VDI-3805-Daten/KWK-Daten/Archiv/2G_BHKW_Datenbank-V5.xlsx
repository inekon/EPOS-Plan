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6-Material-Tools,Literatur,Vorträge,Kurse\9-Software\01-WP_WaermePlan\40-Daten\KWK-Daten\"/>
    </mc:Choice>
  </mc:AlternateContent>
  <xr:revisionPtr revIDLastSave="0" documentId="8_{DC8F9B6D-B4CB-4D74-A56C-D385E226697D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Tab_BHKW" sheetId="1" r:id="rId1"/>
    <sheet name="Kostenberechnung" sheetId="2" r:id="rId2"/>
    <sheet name="Energieträger" sheetId="3" r:id="rId3"/>
    <sheet name="Legen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2" l="1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3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2G-Daten</author>
    <author>Dirk Engelmann</author>
  </authors>
  <commentList>
    <comment ref="I1" authorId="0" shapeId="0" xr:uid="{00000000-0006-0000-0000-000012000000}">
      <text>
        <r>
          <rPr>
            <sz val="10"/>
            <rFont val="Arial"/>
            <family val="2"/>
          </rPr>
          <t>Berechnet im Blatt 'Kostenberechnung' (ASUE-Interpolation × Preisfaktor).</t>
        </r>
      </text>
    </comment>
    <comment ref="K1" authorId="0" shapeId="0" xr:uid="{00000000-0006-0000-0000-00001A000000}">
      <text>
        <r>
          <rPr>
            <sz val="10"/>
            <rFont val="Arial"/>
            <family val="2"/>
          </rPr>
          <t>Vollwartung in €/kWhel; berechnet im Blatt 'Kostenberechnung'.</t>
        </r>
      </text>
    </comment>
    <comment ref="J15" authorId="1" shapeId="0" xr:uid="{00000000-0006-0000-0000-000013000000}">
      <text>
        <r>
          <rPr>
            <sz val="10"/>
            <rFont val="Arial"/>
            <family val="2"/>
          </rPr>
          <t>Modullaenge im Datenblatt nicht lesbar -&gt; Grundflaeche nicht ermittelbar</t>
        </r>
      </text>
    </comment>
    <comment ref="M17" authorId="0" shapeId="0" xr:uid="{00000000-0006-0000-0000-00001B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8" authorId="0" shapeId="0" xr:uid="{00000000-0006-0000-0000-00001C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19" authorId="0" shapeId="0" xr:uid="{00000000-0006-0000-0000-00001D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0" authorId="0" shapeId="0" xr:uid="{00000000-0006-0000-0000-00001E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1" authorId="0" shapeId="0" xr:uid="{00000000-0006-0000-0000-00001F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2" authorId="0" shapeId="0" xr:uid="{00000000-0006-0000-0000-000020000000}">
      <text>
        <r>
          <rPr>
            <sz val="10"/>
            <rFont val="Arial"/>
            <family val="2"/>
          </rPr>
          <t>Grenzwert in mg/kWh (bezogen auf Brennwert Hs); 2G-Werte in mg/Nm3</t>
        </r>
      </text>
    </comment>
    <comment ref="M23" authorId="0" shapeId="0" xr:uid="{00000000-0006-0000-0000-000021000000}">
      <text>
        <r>
          <rPr>
            <sz val="10"/>
            <rFont val="Arial"/>
            <family val="2"/>
          </rPr>
          <t>XRGI 25: Emissionen im Datenblatt nur in kg/MWh angegeben; XRGI 15 BIOGENIC: CO &lt; TA-Luft</t>
        </r>
      </text>
    </comment>
    <comment ref="B24" authorId="0" shapeId="0" xr:uid="{00000000-0006-0000-0000-000001000000}">
      <text>
        <r>
          <rPr>
            <sz val="10"/>
            <rFont val="Arial"/>
            <family val="2"/>
          </rPr>
          <t>el. Wirkungsgrad wg. Degradation nicht fest ausgewiesen; VL/RL = Auslegungspunkt 67/30 C</t>
        </r>
      </text>
    </comment>
    <comment ref="B25" authorId="0" shapeId="0" xr:uid="{00000000-0006-0000-0000-000002000000}">
      <text>
        <r>
          <rPr>
            <sz val="10"/>
            <rFont val="Arial"/>
            <family val="2"/>
          </rPr>
          <t>Wirkungsgrad = Herstellerangabe (ErP); andere Hersteller teils Hi-bezogen</t>
        </r>
      </text>
    </comment>
    <comment ref="B26" authorId="0" shapeId="0" xr:uid="{00000000-0006-0000-0000-000003000000}">
      <text>
        <r>
          <rPr>
            <sz val="10"/>
            <rFont val="Arial"/>
            <family val="2"/>
          </rPr>
          <t>el. Wirkungsgrad Hi; Wartungsintervall 9000 Bh</t>
        </r>
      </text>
    </comment>
    <comment ref="B27" authorId="0" shapeId="0" xr:uid="{00000000-0006-0000-0000-000004000000}">
      <text>
        <r>
          <rPr>
            <sz val="10"/>
            <rFont val="Arial"/>
            <family val="2"/>
          </rPr>
          <t>el. Wirkungsgrad Hi (Stufe 3); Wartungsintervall 7000-11000 Bh</t>
        </r>
      </text>
    </comment>
    <comment ref="B28" authorId="0" shapeId="0" xr:uid="{00000000-0006-0000-0000-000005000000}">
      <text>
        <r>
          <rPr>
            <sz val="10"/>
            <rFont val="Arial"/>
            <family val="2"/>
          </rPr>
          <t>Englisches Datenblatt desselben Geraets (Dachs Gen2 G5.5)</t>
        </r>
      </text>
    </comment>
    <comment ref="B29" authorId="0" shapeId="0" xr:uid="{00000000-0006-0000-0000-000006000000}">
      <text>
        <r>
          <rPr>
            <sz val="10"/>
            <rFont val="Arial"/>
            <family val="2"/>
          </rPr>
          <t>el. Wirkungsgrad Hi 37,7%; Zusatz-Brennwertkessel 4,8-20 kW (26 kW WW)</t>
        </r>
      </text>
    </comment>
    <comment ref="B30" authorId="0" shapeId="0" xr:uid="{00000000-0006-0000-0000-000007000000}">
      <text>
        <r>
          <rPr>
            <sz val="10"/>
            <rFont val="Arial"/>
            <family val="2"/>
          </rPr>
          <t>Pel 10-20 kW, Pth 29-44 kW (Maximalwerte); Gewicht 807 kg</t>
        </r>
      </text>
    </comment>
    <comment ref="B31" authorId="2" shapeId="0" xr:uid="{00000000-0006-0000-0000-000008000000}">
      <text>
        <r>
          <rPr>
            <sz val="10"/>
            <rFont val="Arial"/>
            <family val="2"/>
          </rPr>
          <t>Dirk Engelmann:
Quelle: 2G/MTU Technisches Datenblatt TD_0431_L64_1519_50_500_DE_SI V2 (P003520413), 25.06.2021. Werte bei 100% Last.</t>
        </r>
      </text>
    </comment>
    <comment ref="E31" authorId="2" shapeId="0" xr:uid="{00000000-0006-0000-0000-00000E000000}">
      <text>
        <r>
          <rPr>
            <sz val="10"/>
            <rFont val="Arial"/>
            <family val="2"/>
          </rPr>
          <t>Dirk Engelmann:
Thermische Leistung gesamt bei Auslegungstemp. (Tol. +/-8%)</t>
        </r>
      </text>
    </comment>
    <comment ref="J31" authorId="2" shapeId="0" xr:uid="{00000000-0006-0000-0000-000014000000}">
      <text>
        <r>
          <rPr>
            <sz val="10"/>
            <rFont val="Arial"/>
            <family val="2"/>
          </rPr>
          <t>Dirk Engelmann:
Grundflaeche aus Aggregatabmessungen L~4800 x B~1900 mm</t>
        </r>
      </text>
    </comment>
    <comment ref="M31" authorId="2" shapeId="0" xr:uid="{00000000-0006-0000-0000-000022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1" authorId="2" shapeId="0" xr:uid="{00000000-0006-0000-0000-000028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2" authorId="2" shapeId="0" xr:uid="{00000000-0006-0000-0000-000009000000}">
      <text>
        <r>
          <rPr>
            <sz val="10"/>
            <rFont val="Arial"/>
            <family val="2"/>
          </rPr>
          <t>Dirk Engelmann:
Quelle: 2G/MTU Technisches Datenblatt (P003520447). Werte bei 100% Last.</t>
        </r>
      </text>
    </comment>
    <comment ref="J32" authorId="2" shapeId="0" xr:uid="{00000000-0006-0000-0000-000015000000}">
      <text>
        <r>
          <rPr>
            <sz val="10"/>
            <rFont val="Arial"/>
            <family val="2"/>
          </rPr>
          <t>Dirk Engelmann:
Grundflaeche aus Aggregatabmessungen L~5500 x B~2100 mm</t>
        </r>
      </text>
    </comment>
    <comment ref="M32" authorId="2" shapeId="0" xr:uid="{00000000-0006-0000-0000-000023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2" authorId="2" shapeId="0" xr:uid="{00000000-0006-0000-0000-000029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3" authorId="2" shapeId="0" xr:uid="{00000000-0006-0000-0000-00000A000000}">
      <text>
        <r>
          <rPr>
            <sz val="10"/>
            <rFont val="Arial"/>
            <family val="2"/>
          </rPr>
          <t>Dirk Engelmann:
Quelle: 2G/MTU Technisches Datenblatt (P003520557). Werte bei 100% Last.</t>
        </r>
      </text>
    </comment>
    <comment ref="J33" authorId="2" shapeId="0" xr:uid="{00000000-0006-0000-0000-000016000000}">
      <text>
        <r>
          <rPr>
            <sz val="10"/>
            <rFont val="Arial"/>
            <family val="2"/>
          </rPr>
          <t>Dirk Engelmann:
Grundflaeche aus Aggregatabmessungen L~6200 x B~2100 mm</t>
        </r>
      </text>
    </comment>
    <comment ref="M33" authorId="2" shapeId="0" xr:uid="{00000000-0006-0000-0000-000024000000}">
      <text>
        <r>
          <rPr>
            <sz val="10"/>
            <rFont val="Arial"/>
            <family val="2"/>
          </rPr>
          <t>Dirk Engelmann:
NOx &lt; 500 mg/m3 i.N. (trocken, 5% O2)</t>
        </r>
      </text>
    </comment>
    <comment ref="O33" authorId="2" shapeId="0" xr:uid="{00000000-0006-0000-0000-00002A000000}">
      <text>
        <r>
          <rPr>
            <sz val="10"/>
            <rFont val="Arial"/>
            <family val="2"/>
          </rPr>
          <t>Dirk Engelmann:
CO &lt; 1000 mg/m3 i.N. (trocken, 5% O2)</t>
        </r>
      </text>
    </comment>
    <comment ref="B34" authorId="2" shapeId="0" xr:uid="{00000000-0006-0000-0000-00000B000000}">
      <text>
        <r>
          <rPr>
            <sz val="10"/>
            <rFont val="Arial"/>
            <family val="2"/>
          </rPr>
          <t>Dirk Engelmann:
Quelle: 2G Technisches Datenblatt avus 1000plus (P003521036). Werte bei 100% Last. Hinweis: abweichende Neuspezifikation zur bestehenden Zeile 14.</t>
        </r>
      </text>
    </comment>
    <comment ref="E34" authorId="2" shapeId="0" xr:uid="{00000000-0006-0000-0000-00000F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4" authorId="2" shapeId="0" xr:uid="{00000000-0006-0000-0000-000017000000}">
      <text>
        <r>
          <rPr>
            <sz val="10"/>
            <rFont val="Arial"/>
            <family val="2"/>
          </rPr>
          <t>Dirk Engelmann:
Grundflaeche Modul L 6295 x B 1675 mm (ohne Schaltschraenke)</t>
        </r>
      </text>
    </comment>
    <comment ref="M34" authorId="2" shapeId="0" xr:uid="{00000000-0006-0000-0000-000025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4" authorId="2" shapeId="0" xr:uid="{00000000-0006-0000-0000-00002B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5" authorId="2" shapeId="0" xr:uid="{00000000-0006-0000-0000-00000C000000}">
      <text>
        <r>
          <rPr>
            <sz val="10"/>
            <rFont val="Arial"/>
            <family val="2"/>
          </rPr>
          <t>Dirk Engelmann:
Quelle: 2G Technisches Datenblatt avus 500plus (P003521147). Werte bei 100% Last. Hinweis: abweichende Neuspezifikation zur bestehenden Zeile 16.</t>
        </r>
      </text>
    </comment>
    <comment ref="E35" authorId="2" shapeId="0" xr:uid="{00000000-0006-0000-0000-000010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5" authorId="2" shapeId="0" xr:uid="{00000000-0006-0000-0000-000018000000}">
      <text>
        <r>
          <rPr>
            <sz val="10"/>
            <rFont val="Arial"/>
            <family val="2"/>
          </rPr>
          <t>Dirk Engelmann:
Grundflaeche Modul L 4545 x B 1310 mm (ohne Schaltschraenke)</t>
        </r>
      </text>
    </comment>
    <comment ref="M35" authorId="2" shapeId="0" xr:uid="{00000000-0006-0000-0000-000026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5" authorId="2" shapeId="0" xr:uid="{00000000-0006-0000-0000-00002C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  <comment ref="B36" authorId="2" shapeId="0" xr:uid="{00000000-0006-0000-0000-00000D000000}">
      <text>
        <r>
          <rPr>
            <sz val="10"/>
            <rFont val="Arial"/>
            <family val="2"/>
          </rPr>
          <t>Dirk Engelmann:
Quelle: 2G Technisches Datenblatt avus 416plus (P003521084). Werte bei 100% Last.</t>
        </r>
      </text>
    </comment>
    <comment ref="E36" authorId="2" shapeId="0" xr:uid="{00000000-0006-0000-0000-000011000000}">
      <text>
        <r>
          <rPr>
            <sz val="10"/>
            <rFont val="Arial"/>
            <family val="2"/>
          </rPr>
          <t>Dirk Engelmann:
Nutzbare thermische Leistung</t>
        </r>
      </text>
    </comment>
    <comment ref="J36" authorId="2" shapeId="0" xr:uid="{00000000-0006-0000-0000-000019000000}">
      <text>
        <r>
          <rPr>
            <sz val="10"/>
            <rFont val="Arial"/>
            <family val="2"/>
          </rPr>
          <t>Dirk Engelmann:
Grundflaeche Modul L 5505 x B 1675 mm (ohne Schaltschraenke)</t>
        </r>
      </text>
    </comment>
    <comment ref="M36" authorId="2" shapeId="0" xr:uid="{00000000-0006-0000-0000-000027000000}">
      <text>
        <r>
          <rPr>
            <sz val="10"/>
            <rFont val="Arial"/>
            <family val="2"/>
          </rPr>
          <t>Dirk Engelmann:
NOx ohne/mit Kat &lt; 0,5 g/Nm3 = 500 mg/Nm3</t>
        </r>
      </text>
    </comment>
    <comment ref="O36" authorId="2" shapeId="0" xr:uid="{00000000-0006-0000-0000-00002D000000}">
      <text>
        <r>
          <rPr>
            <sz val="10"/>
            <rFont val="Arial"/>
            <family val="2"/>
          </rPr>
          <t>Dirk Engelmann:
CO ohne Kat &lt; 1 g/Nm3 (1000 mg); mit Kat &lt; 0,25 g/Nm3 (250 mg)</t>
        </r>
      </text>
    </comment>
  </commentList>
</comments>
</file>

<file path=xl/sharedStrings.xml><?xml version="1.0" encoding="utf-8"?>
<sst xmlns="http://schemas.openxmlformats.org/spreadsheetml/2006/main" count="277" uniqueCount="211">
  <si>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</si>
  <si>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</si>
  <si>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</si>
  <si>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</si>
  <si>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</si>
  <si>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</si>
  <si>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</si>
  <si>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</si>
  <si>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</si>
  <si>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</si>
  <si>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</si>
  <si>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</si>
  <si>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</si>
  <si>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</si>
  <si>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</si>
  <si>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</si>
  <si>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</si>
  <si>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</si>
  <si>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</si>
  <si>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</si>
  <si>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</si>
  <si>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</si>
  <si>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</si>
  <si>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</si>
  <si>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</si>
  <si>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</si>
  <si>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</si>
  <si>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</si>
  <si>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</si>
  <si>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agenitor 404 BG | bt135</t>
  </si>
  <si>
    <t>Agenitor 404 EG | ct80-1</t>
  </si>
  <si>
    <t>BHKW-Modul, Erdgas, 160 kWel</t>
  </si>
  <si>
    <t>agenitor 404 EG | ct80</t>
  </si>
  <si>
    <t>Agenitor 404c pure H2 | ct0-0</t>
  </si>
  <si>
    <t>BHKW-Modul, 100% Wasserstoff, 115 kWel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</si>
  <si>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</si>
  <si>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</si>
  <si>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</si>
  <si>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</si>
  <si>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</si>
  <si>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</si>
  <si>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</si>
  <si>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</si>
  <si>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</si>
  <si>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</si>
  <si>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</si>
  <si>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</si>
  <si>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</si>
  <si>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</si>
  <si>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</si>
  <si>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</si>
  <si>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</si>
  <si>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</si>
  <si>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</si>
  <si>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</si>
  <si>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</si>
  <si>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</si>
  <si>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</si>
  <si>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</si>
  <si>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</si>
  <si>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</si>
  <si>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</si>
  <si>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</si>
  <si>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</si>
  <si>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</si>
  <si>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</si>
  <si>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</si>
  <si>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</si>
  <si>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</si>
  <si>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</si>
  <si>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EC-POWER XRGI 6</t>
  </si>
  <si>
    <t>EC POWER A/S</t>
  </si>
  <si>
    <t>BHKW (Power Unit), Erdgas, 6,0 kWel</t>
  </si>
  <si>
    <t>EC-POWER XRGI 6 LowNOx</t>
  </si>
  <si>
    <t>BHKW (Power Unit), Erdgas, Low-NOx, 6,0 kWel</t>
  </si>
  <si>
    <t>EC-POWER XRGI 9</t>
  </si>
  <si>
    <t>BHKW (Power Unit), Erdgas, 9,0 kWel</t>
  </si>
  <si>
    <t>EC-POWER XRGI 15</t>
  </si>
  <si>
    <t>BHKW (Power Unit), Erdgas, 14,5 kWel</t>
  </si>
  <si>
    <t>EC-POWER XRGI 15 BIOGENIC</t>
  </si>
  <si>
    <t>BHKW (Power Unit), Biogas, 14,5 kWel</t>
  </si>
  <si>
    <t>EC-POWER XRGI 20</t>
  </si>
  <si>
    <t>BHKW (Power Unit), Erdgas, 20,0 kWel</t>
  </si>
  <si>
    <t>EC-POWER XRGI 25</t>
  </si>
  <si>
    <t>BHKW (Power Unit), Erdgas, 24,0 kWel</t>
  </si>
  <si>
    <t>SenerTec Dachs 0.8 GenD</t>
  </si>
  <si>
    <t>SenerTec GmbH</t>
  </si>
  <si>
    <t>Brennstoffzellen-Heizgeraet (PEM), Erdgas + bis 20% H2</t>
  </si>
  <si>
    <t>PEM-Brennstoffzelle</t>
  </si>
  <si>
    <t>SenerTec Dachs Gen1.1 G5.5</t>
  </si>
  <si>
    <t>BHKW, Erdgas, 5,5 kWel (auch F5.5 Fluessiggas / HR5.3 Heizoel)</t>
  </si>
  <si>
    <t>Verbrennungsmotor (Magermotor)</t>
  </si>
  <si>
    <t>SenerTec Dachs Gen2 2.9 (G2.9)</t>
  </si>
  <si>
    <t>BHKW, Erdgas, 2,85 kWel (auch F3.0 Fluessiggas)</t>
  </si>
  <si>
    <t>Verbrennungsmotor (Otto)</t>
  </si>
  <si>
    <t>SenerTec Dachs Gen2 5.5 (G5.5)</t>
  </si>
  <si>
    <t>BHKW, Erdgas, 5,5 kWel (auch F5.5 Fluessiggas)</t>
  </si>
  <si>
    <t>SenerTec Dachs Gen2 G5.5 (EN)</t>
  </si>
  <si>
    <t>BHKW, Erdgas, 5,5 kWel - engl. Datenblatt, identisch mit Dachs Gen2 5.5</t>
  </si>
  <si>
    <t>SenerTec Dachs InnoGen</t>
  </si>
  <si>
    <t>Brennstoffzellen-Heizgeraet (PEM), Erdgas</t>
  </si>
  <si>
    <t>SenerTec Dachs Pro 20 (G20.0)</t>
  </si>
  <si>
    <t>BHKW, Erdgas, 10-20 kWel (auch F20.0 Fluessiggas)</t>
  </si>
  <si>
    <t>avus 1200e | 12V4000L64FNER</t>
  </si>
  <si>
    <t>BHKW-Modul, Erdgas, 1519 kWel</t>
  </si>
  <si>
    <t>12V4000L64FNER</t>
  </si>
  <si>
    <t>avus 1600e | 16V4000L64FNER</t>
  </si>
  <si>
    <t>BHKW-Modul, Erdgas, 2032 kWel</t>
  </si>
  <si>
    <t>16V4000L64FNER</t>
  </si>
  <si>
    <t>avus 2000e | 20V4000L64FNER</t>
  </si>
  <si>
    <t>BHKW-Modul, Erdgas, 2547 kWel</t>
  </si>
  <si>
    <t>20V4000L64FNER TR</t>
  </si>
  <si>
    <t>avus 1000plus | ct80-0</t>
  </si>
  <si>
    <t>BHKW-Modul, Erdgas, 1035 kWel</t>
  </si>
  <si>
    <t>agenitor 420</t>
  </si>
  <si>
    <t>avus 500plus | ct80-B-0</t>
  </si>
  <si>
    <t>BHKW-Modul, Erdgas, 600 kWel</t>
  </si>
  <si>
    <t>agenitor 412</t>
  </si>
  <si>
    <t>avus 416plus | ct80-0</t>
  </si>
  <si>
    <t>BHKW-Modul, Erdgas, 800 kWel</t>
  </si>
  <si>
    <t>agenitor 416</t>
  </si>
  <si>
    <t>Kostenberechnung – Spez. Investition &amp; Wartung (Interpolation)</t>
  </si>
  <si>
    <t>Methode: ASUE-Ausgleichsfunktion (Potenzregression)   Wert = Preisfaktor × a × Pel^b</t>
  </si>
  <si>
    <t>Preisanpassungsfaktor (Preisstand 2026)</t>
  </si>
  <si>
    <t>anpassbar – ASUE-Basis 2011/2014; +15 % Bau-/Anlagenkostensteigerung</t>
  </si>
  <si>
    <t>Ausgleichsfunktionen</t>
  </si>
  <si>
    <t>Funktion</t>
  </si>
  <si>
    <t>a</t>
  </si>
  <si>
    <t>b</t>
  </si>
  <si>
    <t>Einheit</t>
  </si>
  <si>
    <t>Investition Erdgas / Gas</t>
  </si>
  <si>
    <t>€/kWel</t>
  </si>
  <si>
    <t>Investition Biogas</t>
  </si>
  <si>
    <t>Wartung Erdgas / Gas</t>
  </si>
  <si>
    <t>ct/kWhel</t>
  </si>
  <si>
    <t>Wartung Biogas</t>
  </si>
  <si>
    <t>Zuschläge / Sonderfälle</t>
  </si>
  <si>
    <t>H2-Aufschlag Investition (Faktor)</t>
  </si>
  <si>
    <t>H2-Aufschlag Wartung (Faktor)</t>
  </si>
  <si>
    <t>Brennstoffzelle Investition</t>
  </si>
  <si>
    <t>Brennstoffzelle Wartung</t>
  </si>
  <si>
    <t>Interpolations-/Stützstellentabelle (berechnet aus obigen Funktionen)</t>
  </si>
  <si>
    <t>Pel [kWel]</t>
  </si>
  <si>
    <t>Invest Erdgas [€/kWel]</t>
  </si>
  <si>
    <t>Invest Biogas [€/kWel]</t>
  </si>
  <si>
    <t>Wartung Erdgas [€/kWhel]</t>
  </si>
  <si>
    <t>Wartung Biogas [€/kWhel]</t>
  </si>
  <si>
    <t>Quellen / Grundlage:</t>
  </si>
  <si>
    <t>• ASUE/BHKW-Infozentrum, BHKW-Kenndaten – Ausgleichsfunktionen der spez. Richtpreise (Erdgas: Basis 87 Angebote, Biogas: 127 Angebote).</t>
  </si>
  <si>
    <t>• Investition = BHKW-Modul inkl. hydraul./abgas-/elektr. Einbindung u. Inbetriebnahme, OHNE Spitzenlastkessel (ASUE Pos. 1–7 ohne 5).</t>
  </si>
  <si>
    <t>• Aktuelle Marktanker 2025/26 (ihr-bhkw.de, bhkw-ratgeber.de, heizungsfinder.de): 100 kW≈1.000, 250 kW≈750, 500 kW≈500–600 €/kWel; Wartung 50 kW≈1–1,5 ct, MW-Klasse≈0,8–1 ct/kWhel.</t>
  </si>
  <si>
    <t>• H2-Motor-BHKW: Aufschlag auf Erdgas-Kurve (Markteinführungs-Aufpreis, Richtwert). Brennstoffzelle (Dachs 0.8 GenD, InnoGen): eigener Festwert, da nicht über die Motorkurve skalierbar.</t>
  </si>
  <si>
    <t>• Wartung = Vollwartungsvertrag (Wartung, Reparatur, Ersatz-/Betriebsstoffe), umgerechnet ct→€ (÷100).</t>
  </si>
  <si>
    <t>Hinweis: Werte sind Richtkosten. Gelbe Zellen sind anpassbar; alle abhängigen Werte rechnen automatisch nach.</t>
  </si>
  <si>
    <t>Energieträger</t>
  </si>
  <si>
    <t>Nummer</t>
  </si>
  <si>
    <t>Name</t>
  </si>
  <si>
    <t>Stadtgas</t>
  </si>
  <si>
    <t>Erdgas LL</t>
  </si>
  <si>
    <t>Erdgas E</t>
  </si>
  <si>
    <t>Flüssiggas (Propan)</t>
  </si>
  <si>
    <t>Flüssiggas (Butan)</t>
  </si>
  <si>
    <t>Heizöl S</t>
  </si>
  <si>
    <t>Heizöl M</t>
  </si>
  <si>
    <t>Heizöl L</t>
  </si>
  <si>
    <t>Heizöl EL</t>
  </si>
  <si>
    <t>Koks</t>
  </si>
  <si>
    <t>Kohle</t>
  </si>
  <si>
    <t>Holz</t>
  </si>
  <si>
    <t>Elektrische Energie</t>
  </si>
  <si>
    <t>Biogas</t>
  </si>
  <si>
    <t>Pellets</t>
  </si>
  <si>
    <t>Rapsöl</t>
  </si>
  <si>
    <t>Tierische Fette</t>
  </si>
  <si>
    <t>Heizöl Bio 5</t>
  </si>
  <si>
    <t>Heizöl Bio 10</t>
  </si>
  <si>
    <t>Heizöl Bio 15</t>
  </si>
  <si>
    <t>Heizöl Bio 20</t>
  </si>
  <si>
    <t>Heizöl EL schwefelarm</t>
  </si>
  <si>
    <t>Fernwärme</t>
  </si>
  <si>
    <t>Sonstige</t>
  </si>
  <si>
    <t>Wasserstoff</t>
  </si>
  <si>
    <t>Feld</t>
  </si>
  <si>
    <t>Einheit / Bedeutung</t>
  </si>
  <si>
    <t>Quelle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</si>
  <si>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</si>
  <si>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</si>
  <si>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</si>
  <si>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</si>
  <si>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</si>
  <si>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</si>
  <si>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</si>
  <si>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</si>
  <si>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</si>
  <si>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</si>
  <si>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</si>
  <si>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</si>
  <si>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</si>
  <si>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</si>
  <si>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</si>
  <si>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</si>
  <si>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(€/kWel), interpoliert – Blatt 'Kostenberechnung'</t>
  </si>
  <si>
    <t>ASUE BHKW-Kenndaten (Ausgleichsfkt.) + Marktanker 2025/26</t>
  </si>
  <si>
    <t>Spez. Vollwartungskosten (€/kWhel), interpoliert – Blatt 'Kostenberechnung'</t>
  </si>
  <si>
    <t>Nutzungsdauer - nicht im Datenblatt enthalten</t>
  </si>
  <si>
    <t>-</t>
  </si>
  <si>
    <t>SO2 / CO2 / Staub</t>
  </si>
  <si>
    <t>Emissionen - nicht im Datenblatt angegeben</t>
  </si>
  <si>
    <t>Kosten_*</t>
  </si>
  <si>
    <t>Kostenpositionen - nicht im Datenblatt enthalten</t>
  </si>
  <si>
    <t>Invest Biogas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</si>
</sst>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3"/>
      <color rgb="FF1F4E78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1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C0C0C0"/>
        <bgColor rgb="FFBFBFB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1" xfId="0" applyFont="1" applyFill="1" applyBorder="1"/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0" fontId="10" fillId="4" borderId="2" xfId="1" applyFont="1" applyFill="1" applyBorder="1" applyAlignment="1">
      <alignment horizontal="center"/>
    </xf>
    <xf numFmtId="0" fontId="10" fillId="0" borderId="3" xfId="1" applyFont="1" applyBorder="1" applyAlignment="1">
      <alignment wrapText="1"/>
    </xf>
    <xf numFmtId="0" fontId="10" fillId="0" borderId="3" xfId="1" applyFont="1" applyBorder="1" applyAlignment="1">
      <alignment horizontal="right" wrapText="1"/>
    </xf>
    <xf numFmtId="0" fontId="2" fillId="2" borderId="0" xfId="0" applyFont="1" applyFill="1"/>
  </cellXfs>
  <cellStyles count="2">
    <cellStyle name="Standard" xfId="0" builtinId="0"/>
    <cellStyle name="Standard_Energieträger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Richtkosten-Kosten BHKW nach Pel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Kostenberechnung!$A$23:$A$37</c:f>
              <c:numCache>
                <c:formatCode>General</c:formatCode>
                <c:ptCount val="1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250</c:v>
                </c:pt>
                <c:pt idx="8">
                  <c:v>360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  <c:pt idx="12">
                  <c:v>1500</c:v>
                </c:pt>
                <c:pt idx="13">
                  <c:v>2000</c:v>
                </c:pt>
                <c:pt idx="14">
                  <c:v>2547</c:v>
                </c:pt>
              </c:numCache>
            </c:numRef>
          </c:xVal>
          <c:yVal>
            <c:numRef>
              <c:f>Kostenberechnung!$F$23:$F$37</c:f>
              <c:numCache>
                <c:formatCode>General</c:formatCode>
                <c:ptCount val="15"/>
                <c:pt idx="0">
                  <c:v>10732.49</c:v>
                </c:pt>
                <c:pt idx="1">
                  <c:v>25553.201807712871</c:v>
                </c:pt>
                <c:pt idx="2">
                  <c:v>37127.909131250752</c:v>
                </c:pt>
                <c:pt idx="3">
                  <c:v>53945.554331369065</c:v>
                </c:pt>
                <c:pt idx="4">
                  <c:v>88398.587348255242</c:v>
                </c:pt>
                <c:pt idx="5">
                  <c:v>128440.05784849674</c:v>
                </c:pt>
                <c:pt idx="6">
                  <c:v>165470.72248894681</c:v>
                </c:pt>
                <c:pt idx="7">
                  <c:v>210469.97873063022</c:v>
                </c:pt>
                <c:pt idx="8">
                  <c:v>256181.36798318702</c:v>
                </c:pt>
                <c:pt idx="9">
                  <c:v>305805.52307963517</c:v>
                </c:pt>
                <c:pt idx="10">
                  <c:v>380503.37519642647</c:v>
                </c:pt>
                <c:pt idx="11">
                  <c:v>444324.73700060078</c:v>
                </c:pt>
                <c:pt idx="12">
                  <c:v>552858.10540434928</c:v>
                </c:pt>
                <c:pt idx="13">
                  <c:v>645588.31352186378</c:v>
                </c:pt>
                <c:pt idx="14">
                  <c:v>735444.82069645415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E-4F8E-9312-5D94351BF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729551"/>
        <c:axId val="2052728111"/>
      </c:scatterChart>
      <c:valAx>
        <c:axId val="205272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Pel</a:t>
                </a:r>
                <a:r>
                  <a:rPr lang="de-DE" baseline="0"/>
                  <a:t> [kW]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2728111"/>
        <c:crosses val="autoZero"/>
        <c:crossBetween val="midCat"/>
      </c:valAx>
      <c:valAx>
        <c:axId val="20527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272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21</xdr:row>
      <xdr:rowOff>323850</xdr:rowOff>
    </xdr:from>
    <xdr:to>
      <xdr:col>13</xdr:col>
      <xdr:colOff>511175</xdr:colOff>
      <xdr:row>36</xdr:row>
      <xdr:rowOff>107950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A2A056A-1572-F695-54AB-ADF14BE96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opLeftCell="E1" zoomScaleNormal="100" workbookViewId="0">
      <pane ySplit="1" topLeftCell="A2" activePane="bottomLeft" state="frozen"/>
      <selection activeCell="E1" sqref="E1"/>
      <selection pane="bottomLeft" activeCell="G1" sqref="G1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>
        <v>14</v>
      </c>
      <c r="H2" s="3">
        <v>38.6</v>
      </c>
      <c r="I2" s="4">
        <f>IF(ISNUMBER(SEARCH("Brennstoffzelle",$R2)),Kostenberechnung!$B$17,Kostenberechnung!$B$5*IF($G2=14,Kostenberechnung!$B$10*$F2^Kostenberechnung!$C$10,IF($G2=25,Kostenberechnung!$B$9*$F2^Kostenberechnung!$C$9*Kostenberechnung!$B$15,Kostenberechnung!$B$9*$F2^Kostenberechnung!$C$9)))</f>
        <v>1524.6026762942852</v>
      </c>
      <c r="J2" s="3">
        <v>3.13</v>
      </c>
      <c r="K2" s="5">
        <f>IF(ISNUMBER(SEARCH("Brennstoffzelle",$R2)),Kostenberechnung!$B$18/100,Kostenberechnung!$B$5*IF($G2=14,Kostenberechnung!$B$12*$F2^Kostenberechnung!$C$12,IF($G2=25,Kostenberechnung!$B$11*$F2^Kostenberechnung!$C$11*Kostenberechnung!$B$16,Kostenberechnung!$B$11*$F2^Kostenberechnung!$C$11))/100)</f>
        <v>2.1701943696396817E-2</v>
      </c>
      <c r="L2" s="3"/>
      <c r="M2" s="3">
        <v>500</v>
      </c>
      <c r="N2" s="3"/>
      <c r="O2" s="3">
        <v>250</v>
      </c>
      <c r="P2" s="3"/>
      <c r="Q2" s="3"/>
      <c r="R2" s="3" t="s">
        <v>29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30</v>
      </c>
      <c r="C3" s="2" t="s">
        <v>27</v>
      </c>
      <c r="D3" s="2" t="s">
        <v>31</v>
      </c>
      <c r="E3" s="3">
        <v>168</v>
      </c>
      <c r="F3" s="3">
        <v>160</v>
      </c>
      <c r="G3" s="3">
        <v>3</v>
      </c>
      <c r="H3" s="3">
        <v>41</v>
      </c>
      <c r="I3" s="4">
        <f>IF(ISNUMBER(SEARCH("Brennstoffzelle",$R3)),Kostenberechnung!$B$17,Kostenberechnung!$B$5*IF($G3=14,Kostenberechnung!$B$10*$F3^Kostenberechnung!$C$10,IF($G3=25,Kostenberechnung!$B$9*$F3^Kostenberechnung!$C$9*Kostenberechnung!$B$15,Kostenberechnung!$B$9*$F3^Kostenberechnung!$C$9)))</f>
        <v>1034.1920155559176</v>
      </c>
      <c r="J3" s="3">
        <v>4.08</v>
      </c>
      <c r="K3" s="5">
        <f>IF(ISNUMBER(SEARCH("Brennstoffzelle",$R3)),Kostenberechnung!$B$18/100,Kostenberechnung!$B$5*IF($G3=14,Kostenberechnung!$B$12*$F3^Kostenberechnung!$C$12,IF($G3=25,Kostenberechnung!$B$11*$F3^Kostenberechnung!$C$11*Kostenberechnung!$B$16,Kostenberechnung!$B$11*$F3^Kostenberechnung!$C$11))/100)</f>
        <v>1.3336807817731011E-2</v>
      </c>
      <c r="L3" s="3"/>
      <c r="M3" s="3">
        <v>500</v>
      </c>
      <c r="N3" s="3"/>
      <c r="O3" s="3">
        <v>250</v>
      </c>
      <c r="P3" s="3"/>
      <c r="Q3" s="3"/>
      <c r="R3" s="3" t="s">
        <v>32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33</v>
      </c>
      <c r="C4" s="2" t="s">
        <v>27</v>
      </c>
      <c r="D4" s="2" t="s">
        <v>34</v>
      </c>
      <c r="E4" s="3">
        <v>129</v>
      </c>
      <c r="F4" s="3">
        <v>115</v>
      </c>
      <c r="G4" s="3">
        <v>25</v>
      </c>
      <c r="H4" s="3">
        <v>37.700000000000003</v>
      </c>
      <c r="I4" s="4">
        <f>IF(ISNUMBER(SEARCH("Brennstoffzelle",$R4)),Kostenberechnung!$B$17,Kostenberechnung!$B$5*IF($G4=14,Kostenberechnung!$B$10*$F4^Kostenberechnung!$C$10,IF($G4=25,Kostenberechnung!$B$9*$F4^Kostenberechnung!$C$9*Kostenberechnung!$B$15,Kostenberechnung!$B$9*$F4^Kostenberechnung!$C$9)))</f>
        <v>1685.9582808387966</v>
      </c>
      <c r="J4" s="3">
        <v>4.08</v>
      </c>
      <c r="K4" s="5">
        <f>IF(ISNUMBER(SEARCH("Brennstoffzelle",$R4)),Kostenberechnung!$B$18/100,Kostenberechnung!$B$5*IF($G4=14,Kostenberechnung!$B$12*$F4^Kostenberechnung!$C$12,IF($G4=25,Kostenberechnung!$B$11*$F4^Kostenberechnung!$C$11*Kostenberechnung!$B$16,Kostenberechnung!$B$11*$F4^Kostenberechnung!$C$11))/100)</f>
        <v>1.8363298681671338E-2</v>
      </c>
      <c r="L4" s="3"/>
      <c r="M4" s="3">
        <v>95</v>
      </c>
      <c r="N4" s="3"/>
      <c r="O4" s="3">
        <v>1</v>
      </c>
      <c r="P4" s="3"/>
      <c r="Q4" s="3"/>
      <c r="R4" s="3" t="s">
        <v>35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36</v>
      </c>
      <c r="C5" s="2" t="s">
        <v>27</v>
      </c>
      <c r="D5" s="2" t="s">
        <v>37</v>
      </c>
      <c r="E5" s="3">
        <v>245</v>
      </c>
      <c r="F5" s="3">
        <v>250</v>
      </c>
      <c r="G5" s="3">
        <v>14</v>
      </c>
      <c r="H5" s="3">
        <v>42.4</v>
      </c>
      <c r="I5" s="4">
        <f>IF(ISNUMBER(SEARCH("Brennstoffzelle",$R5)),Kostenberechnung!$B$17,Kostenberechnung!$B$5*IF($G5=14,Kostenberechnung!$B$10*$F5^Kostenberechnung!$C$10,IF($G5=25,Kostenberechnung!$B$9*$F5^Kostenberechnung!$C$9*Kostenberechnung!$B$15,Kostenberechnung!$B$9*$F5^Kostenberechnung!$C$9)))</f>
        <v>932.95529341689416</v>
      </c>
      <c r="J5" s="3">
        <v>4.43</v>
      </c>
      <c r="K5" s="5">
        <f>IF(ISNUMBER(SEARCH("Brennstoffzelle",$R5)),Kostenberechnung!$B$18/100,Kostenberechnung!$B$5*IF($G5=14,Kostenberechnung!$B$12*$F5^Kostenberechnung!$C$12,IF($G5=25,Kostenberechnung!$B$11*$F5^Kostenberechnung!$C$11*Kostenberechnung!$B$16,Kostenberechnung!$B$11*$F5^Kostenberechnung!$C$11))/100)</f>
        <v>1.4005006291744251E-2</v>
      </c>
      <c r="L5" s="3"/>
      <c r="M5" s="3">
        <v>500</v>
      </c>
      <c r="N5" s="3"/>
      <c r="O5" s="3">
        <v>500</v>
      </c>
      <c r="P5" s="3"/>
      <c r="Q5" s="3"/>
      <c r="R5" s="3" t="s">
        <v>38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39</v>
      </c>
      <c r="C6" s="2" t="s">
        <v>27</v>
      </c>
      <c r="D6" s="2" t="s">
        <v>40</v>
      </c>
      <c r="E6" s="3">
        <v>260</v>
      </c>
      <c r="F6" s="3">
        <v>250</v>
      </c>
      <c r="G6" s="3">
        <v>3</v>
      </c>
      <c r="H6" s="3">
        <v>41.8</v>
      </c>
      <c r="I6" s="4">
        <f>IF(ISNUMBER(SEARCH("Brennstoffzelle",$R6)),Kostenberechnung!$B$17,Kostenberechnung!$B$5*IF($G6=14,Kostenberechnung!$B$10*$F6^Kostenberechnung!$C$10,IF($G6=25,Kostenberechnung!$B$9*$F6^Kostenberechnung!$C$9*Kostenberechnung!$B$15,Kostenberechnung!$B$9*$F6^Kostenberechnung!$C$9)))</f>
        <v>841.8799149225207</v>
      </c>
      <c r="J6" s="3">
        <v>4.43</v>
      </c>
      <c r="K6" s="5">
        <f>IF(ISNUMBER(SEARCH("Brennstoffzelle",$R6)),Kostenberechnung!$B$18/100,Kostenberechnung!$B$5*IF($G6=14,Kostenberechnung!$B$12*$F6^Kostenberechnung!$C$12,IF($G6=25,Kostenberechnung!$B$11*$F6^Kostenberechnung!$C$11*Kostenberechnung!$B$16,Kostenberechnung!$B$11*$F6^Kostenberechnung!$C$11))/100)</f>
        <v>1.2340342359469321E-2</v>
      </c>
      <c r="L6" s="3"/>
      <c r="M6" s="3">
        <v>500</v>
      </c>
      <c r="N6" s="3"/>
      <c r="O6" s="3">
        <v>250</v>
      </c>
      <c r="P6" s="3"/>
      <c r="Q6" s="3"/>
      <c r="R6" s="3" t="s">
        <v>41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42</v>
      </c>
      <c r="C7" s="2" t="s">
        <v>27</v>
      </c>
      <c r="D7" s="2" t="s">
        <v>43</v>
      </c>
      <c r="E7" s="3">
        <v>183</v>
      </c>
      <c r="F7" s="3">
        <v>170</v>
      </c>
      <c r="G7" s="3">
        <v>25</v>
      </c>
      <c r="H7" s="3">
        <v>39</v>
      </c>
      <c r="I7" s="4">
        <f>IF(ISNUMBER(SEARCH("Brennstoffzelle",$R7)),Kostenberechnung!$B$17,Kostenberechnung!$B$5*IF($G7=14,Kostenberechnung!$B$10*$F7^Kostenberechnung!$C$10,IF($G7=25,Kostenberechnung!$B$9*$F7^Kostenberechnung!$C$9*Kostenberechnung!$B$15,Kostenberechnung!$B$9*$F7^Kostenberechnung!$C$9)))</f>
        <v>1407.9640806491182</v>
      </c>
      <c r="J7" s="3">
        <v>4.43</v>
      </c>
      <c r="K7" s="5">
        <f>IF(ISNUMBER(SEARCH("Brennstoffzelle",$R7)),Kostenberechnung!$B$18/100,Kostenberechnung!$B$5*IF($G7=14,Kostenberechnung!$B$12*$F7^Kostenberechnung!$C$12,IF($G7=25,Kostenberechnung!$B$11*$F7^Kostenberechnung!$C$11*Kostenberechnung!$B$16,Kostenberechnung!$B$11*$F7^Kostenberechnung!$C$11))/100)</f>
        <v>1.7155919906469891E-2</v>
      </c>
      <c r="L7" s="3"/>
      <c r="M7" s="3">
        <v>95</v>
      </c>
      <c r="N7" s="3"/>
      <c r="O7" s="3">
        <v>1</v>
      </c>
      <c r="P7" s="3"/>
      <c r="Q7" s="3"/>
      <c r="R7" s="3" t="s">
        <v>44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45</v>
      </c>
      <c r="C8" s="2" t="s">
        <v>27</v>
      </c>
      <c r="D8" s="2" t="s">
        <v>46</v>
      </c>
      <c r="E8" s="3">
        <v>345</v>
      </c>
      <c r="F8" s="3">
        <v>360</v>
      </c>
      <c r="G8" s="3">
        <v>14</v>
      </c>
      <c r="H8" s="3">
        <v>42.5</v>
      </c>
      <c r="I8" s="4">
        <f>IF(ISNUMBER(SEARCH("Brennstoffzelle",$R8)),Kostenberechnung!$B$17,Kostenberechnung!$B$5*IF($G8=14,Kostenberechnung!$B$10*$F8^Kostenberechnung!$C$10,IF($G8=25,Kostenberechnung!$B$9*$F8^Kostenberechnung!$C$9*Kostenberechnung!$B$15,Kostenberechnung!$B$9*$F8^Kostenberechnung!$C$9)))</f>
        <v>767.32356768130774</v>
      </c>
      <c r="J8" s="3">
        <v>5.31</v>
      </c>
      <c r="K8" s="5">
        <f>IF(ISNUMBER(SEARCH("Brennstoffzelle",$R8)),Kostenberechnung!$B$18/100,Kostenberechnung!$B$5*IF($G8=14,Kostenberechnung!$B$12*$F8^Kostenberechnung!$C$12,IF($G8=25,Kostenberechnung!$B$11*$F8^Kostenberechnung!$C$11*Kostenberechnung!$B$16,Kostenberechnung!$B$11*$F8^Kostenberechnung!$C$11))/100)</f>
        <v>1.1764840320473846E-2</v>
      </c>
      <c r="L8" s="3"/>
      <c r="M8" s="3">
        <v>500</v>
      </c>
      <c r="N8" s="3"/>
      <c r="O8" s="3">
        <v>500</v>
      </c>
      <c r="P8" s="3"/>
      <c r="Q8" s="3"/>
      <c r="R8" s="3" t="s">
        <v>47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48</v>
      </c>
      <c r="C9" s="2" t="s">
        <v>27</v>
      </c>
      <c r="D9" s="2" t="s">
        <v>46</v>
      </c>
      <c r="E9" s="3">
        <v>345</v>
      </c>
      <c r="F9" s="3">
        <v>360</v>
      </c>
      <c r="G9" s="3">
        <v>14</v>
      </c>
      <c r="H9" s="3">
        <v>42.5</v>
      </c>
      <c r="I9" s="4">
        <f>IF(ISNUMBER(SEARCH("Brennstoffzelle",$R9)),Kostenberechnung!$B$17,Kostenberechnung!$B$5*IF($G9=14,Kostenberechnung!$B$10*$F9^Kostenberechnung!$C$10,IF($G9=25,Kostenberechnung!$B$9*$F9^Kostenberechnung!$C$9*Kostenberechnung!$B$15,Kostenberechnung!$B$9*$F9^Kostenberechnung!$C$9)))</f>
        <v>767.32356768130774</v>
      </c>
      <c r="J9" s="3">
        <v>5.31</v>
      </c>
      <c r="K9" s="5">
        <f>IF(ISNUMBER(SEARCH("Brennstoffzelle",$R9)),Kostenberechnung!$B$18/100,Kostenberechnung!$B$5*IF($G9=14,Kostenberechnung!$B$12*$F9^Kostenberechnung!$C$12,IF($G9=25,Kostenberechnung!$B$11*$F9^Kostenberechnung!$C$11*Kostenberechnung!$B$16,Kostenberechnung!$B$11*$F9^Kostenberechnung!$C$11))/100)</f>
        <v>1.1764840320473846E-2</v>
      </c>
      <c r="L9" s="3"/>
      <c r="M9" s="3">
        <v>500</v>
      </c>
      <c r="N9" s="3"/>
      <c r="O9" s="3">
        <v>250</v>
      </c>
      <c r="P9" s="3"/>
      <c r="Q9" s="3"/>
      <c r="R9" s="3" t="s">
        <v>47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49</v>
      </c>
      <c r="C10" s="2" t="s">
        <v>27</v>
      </c>
      <c r="D10" s="2" t="s">
        <v>50</v>
      </c>
      <c r="E10" s="3">
        <v>381</v>
      </c>
      <c r="F10" s="3">
        <v>360</v>
      </c>
      <c r="G10" s="3">
        <v>3</v>
      </c>
      <c r="H10" s="3">
        <v>42.5</v>
      </c>
      <c r="I10" s="4">
        <f>IF(ISNUMBER(SEARCH("Brennstoffzelle",$R10)),Kostenberechnung!$B$17,Kostenberechnung!$B$5*IF($G10=14,Kostenberechnung!$B$10*$F10^Kostenberechnung!$C$10,IF($G10=25,Kostenberechnung!$B$9*$F10^Kostenberechnung!$C$9*Kostenberechnung!$B$15,Kostenberechnung!$B$9*$F10^Kostenberechnung!$C$9)))</f>
        <v>711.61491106440826</v>
      </c>
      <c r="J10" s="3">
        <v>5.51</v>
      </c>
      <c r="K10" s="5">
        <f>IF(ISNUMBER(SEARCH("Brennstoffzelle",$R10)),Kostenberechnung!$B$18/100,Kostenberechnung!$B$5*IF($G10=14,Kostenberechnung!$B$12*$F10^Kostenberechnung!$C$12,IF($G10=25,Kostenberechnung!$B$11*$F10^Kostenberechnung!$C$11*Kostenberechnung!$B$16,Kostenberechnung!$B$11*$F10^Kostenberechnung!$C$11))/100)</f>
        <v>1.1581695297845728E-2</v>
      </c>
      <c r="L10" s="3"/>
      <c r="M10" s="3">
        <v>500</v>
      </c>
      <c r="N10" s="3"/>
      <c r="O10" s="3">
        <v>250</v>
      </c>
      <c r="P10" s="3"/>
      <c r="Q10" s="3"/>
      <c r="R10" s="3" t="s">
        <v>51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52</v>
      </c>
      <c r="C11" s="2" t="s">
        <v>27</v>
      </c>
      <c r="D11" s="2" t="s">
        <v>53</v>
      </c>
      <c r="E11" s="3">
        <v>250</v>
      </c>
      <c r="F11" s="3">
        <v>240</v>
      </c>
      <c r="G11" s="3">
        <v>25</v>
      </c>
      <c r="H11" s="3">
        <v>40.200000000000003</v>
      </c>
      <c r="I11" s="4">
        <f>IF(ISNUMBER(SEARCH("Brennstoffzelle",$R11)),Kostenberechnung!$B$17,Kostenberechnung!$B$5*IF($G11=14,Kostenberechnung!$B$10*$F11^Kostenberechnung!$C$10,IF($G11=25,Kostenberechnung!$B$9*$F11^Kostenberechnung!$C$9*Kostenberechnung!$B$15,Kostenberechnung!$B$9*$F11^Kostenberechnung!$C$9)))</f>
        <v>1201.0225060254941</v>
      </c>
      <c r="J11" s="3">
        <v>5.51</v>
      </c>
      <c r="K11" s="5">
        <f>IF(ISNUMBER(SEARCH("Brennstoffzelle",$R11)),Kostenberechnung!$B$18/100,Kostenberechnung!$B$5*IF($G11=14,Kostenberechnung!$B$12*$F11^Kostenberechnung!$C$12,IF($G11=25,Kostenberechnung!$B$11*$F11^Kostenberechnung!$C$11*Kostenberechnung!$B$16,Kostenberechnung!$B$11*$F11^Kostenberechnung!$C$11))/100)</f>
        <v>1.615680064309143E-2</v>
      </c>
      <c r="L11" s="3"/>
      <c r="M11" s="3">
        <v>95</v>
      </c>
      <c r="N11" s="3"/>
      <c r="O11" s="3">
        <v>1</v>
      </c>
      <c r="P11" s="3"/>
      <c r="Q11" s="3"/>
      <c r="R11" s="3" t="s">
        <v>54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55</v>
      </c>
      <c r="C12" s="2" t="s">
        <v>27</v>
      </c>
      <c r="D12" s="2" t="s">
        <v>56</v>
      </c>
      <c r="E12" s="3">
        <v>482</v>
      </c>
      <c r="F12" s="3">
        <v>500</v>
      </c>
      <c r="G12" s="3">
        <v>14</v>
      </c>
      <c r="H12" s="3">
        <v>41.9</v>
      </c>
      <c r="I12" s="4">
        <f>IF(ISNUMBER(SEARCH("Brennstoffzelle",$R12)),Kostenberechnung!$B$17,Kostenberechnung!$B$5*IF($G12=14,Kostenberechnung!$B$10*$F12^Kostenberechnung!$C$10,IF($G12=25,Kostenberechnung!$B$9*$F12^Kostenberechnung!$C$9*Kostenberechnung!$B$15,Kostenberechnung!$B$9*$F12^Kostenberechnung!$C$9)))</f>
        <v>643.44103677548128</v>
      </c>
      <c r="J12" s="3">
        <v>5.95</v>
      </c>
      <c r="K12" s="5">
        <f>IF(ISNUMBER(SEARCH("Brennstoffzelle",$R12)),Kostenberechnung!$B$18/100,Kostenberechnung!$B$5*IF($G12=14,Kostenberechnung!$B$12*$F12^Kostenberechnung!$C$12,IF($G12=25,Kostenberechnung!$B$11*$F12^Kostenberechnung!$C$11*Kostenberechnung!$B$16,Kostenberechnung!$B$11*$F12^Kostenberechnung!$C$11))/100)</f>
        <v>1.0055205952938415E-2</v>
      </c>
      <c r="L12" s="3"/>
      <c r="M12" s="3">
        <v>500</v>
      </c>
      <c r="N12" s="3"/>
      <c r="O12" s="3">
        <v>250</v>
      </c>
      <c r="P12" s="3"/>
      <c r="Q12" s="3"/>
      <c r="R12" s="3" t="s">
        <v>57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58</v>
      </c>
      <c r="C13" s="2" t="s">
        <v>27</v>
      </c>
      <c r="D13" s="2" t="s">
        <v>59</v>
      </c>
      <c r="E13" s="3">
        <v>493</v>
      </c>
      <c r="F13" s="3">
        <v>450</v>
      </c>
      <c r="G13" s="3">
        <v>3</v>
      </c>
      <c r="H13" s="3">
        <v>41.3</v>
      </c>
      <c r="I13" s="4">
        <f>IF(ISNUMBER(SEARCH("Brennstoffzelle",$R13)),Kostenberechnung!$B$17,Kostenberechnung!$B$5*IF($G13=14,Kostenberechnung!$B$10*$F13^Kostenberechnung!$C$10,IF($G13=25,Kostenberechnung!$B$9*$F13^Kostenberechnung!$C$9*Kostenberechnung!$B$15,Kostenberechnung!$B$9*$F13^Kostenberechnung!$C$9)))</f>
        <v>642.05099544617769</v>
      </c>
      <c r="J13" s="3">
        <v>5.95</v>
      </c>
      <c r="K13" s="5">
        <f>IF(ISNUMBER(SEARCH("Brennstoffzelle",$R13)),Kostenberechnung!$B$18/100,Kostenberechnung!$B$5*IF($G13=14,Kostenberechnung!$B$12*$F13^Kostenberechnung!$C$12,IF($G13=25,Kostenberechnung!$B$11*$F13^Kostenberechnung!$C$11*Kostenberechnung!$B$16,Kostenberechnung!$B$11*$F13^Kostenberechnung!$C$11))/100)</f>
        <v>1.1140631074137717E-2</v>
      </c>
      <c r="L13" s="3"/>
      <c r="M13" s="3">
        <v>500</v>
      </c>
      <c r="N13" s="3"/>
      <c r="O13" s="3">
        <v>250</v>
      </c>
      <c r="P13" s="3"/>
      <c r="Q13" s="3"/>
      <c r="R13" s="3" t="s">
        <v>60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61</v>
      </c>
      <c r="C14" s="2" t="s">
        <v>27</v>
      </c>
      <c r="D14" s="2" t="s">
        <v>62</v>
      </c>
      <c r="E14" s="3">
        <v>1071</v>
      </c>
      <c r="F14" s="3">
        <v>999</v>
      </c>
      <c r="G14" s="3">
        <v>3</v>
      </c>
      <c r="H14" s="3">
        <v>40.9</v>
      </c>
      <c r="I14" s="4">
        <f>IF(ISNUMBER(SEARCH("Brennstoffzelle",$R14)),Kostenberechnung!$B$17,Kostenberechnung!$B$5*IF($G14=14,Kostenberechnung!$B$10*$F14^Kostenberechnung!$C$10,IF($G14=25,Kostenberechnung!$B$9*$F14^Kostenberechnung!$C$9*Kostenberechnung!$B$15,Kostenberechnung!$B$9*$F14^Kostenberechnung!$C$9)))</f>
        <v>444.52972045823225</v>
      </c>
      <c r="J14" s="3">
        <v>10.54</v>
      </c>
      <c r="K14" s="5">
        <f>IF(ISNUMBER(SEARCH("Brennstoffzelle",$R14)),Kostenberechnung!$B$18/100,Kostenberechnung!$B$5*IF($G14=14,Kostenberechnung!$B$12*$F14^Kostenberechnung!$C$12,IF($G14=25,Kostenberechnung!$B$11*$F14^Kostenberechnung!$C$11*Kostenberechnung!$B$16,Kostenberechnung!$B$11*$F14^Kostenberechnung!$C$11))/100)</f>
        <v>9.6971558405015215E-3</v>
      </c>
      <c r="L14" s="3"/>
      <c r="M14" s="3">
        <v>250</v>
      </c>
      <c r="N14" s="3"/>
      <c r="O14" s="3">
        <v>250</v>
      </c>
      <c r="P14" s="3"/>
      <c r="Q14" s="3"/>
      <c r="R14" s="3" t="s">
        <v>63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64</v>
      </c>
      <c r="C15" s="2" t="s">
        <v>27</v>
      </c>
      <c r="D15" s="2" t="s">
        <v>65</v>
      </c>
      <c r="E15" s="3">
        <v>747</v>
      </c>
      <c r="F15" s="3">
        <v>750</v>
      </c>
      <c r="G15" s="3">
        <v>25</v>
      </c>
      <c r="H15" s="3">
        <v>41.2</v>
      </c>
      <c r="I15" s="4">
        <f>IF(ISNUMBER(SEARCH("Brennstoffzelle",$R15)),Kostenberechnung!$B$17,Kostenberechnung!$B$5*IF($G15=14,Kostenberechnung!$B$10*$F15^Kostenberechnung!$C$10,IF($G15=25,Kostenberechnung!$B$9*$F15^Kostenberechnung!$C$9*Kostenberechnung!$B$15,Kostenberechnung!$B$9*$F15^Kostenberechnung!$C$9)))</f>
        <v>710.27296703332934</v>
      </c>
      <c r="J15" s="3"/>
      <c r="K15" s="5">
        <f>IF(ISNUMBER(SEARCH("Brennstoffzelle",$R15)),Kostenberechnung!$B$18/100,Kostenberechnung!$B$5*IF($G15=14,Kostenberechnung!$B$12*$F15^Kostenberechnung!$C$12,IF($G15=25,Kostenberechnung!$B$11*$F15^Kostenberechnung!$C$11*Kostenberechnung!$B$16,Kostenberechnung!$B$11*$F15^Kostenberechnung!$C$11))/100)</f>
        <v>1.3251085693544362E-2</v>
      </c>
      <c r="L15" s="3"/>
      <c r="M15" s="3">
        <v>95</v>
      </c>
      <c r="N15" s="3"/>
      <c r="O15" s="3">
        <v>1</v>
      </c>
      <c r="P15" s="3"/>
      <c r="Q15" s="3"/>
      <c r="R15" s="3" t="s">
        <v>66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67</v>
      </c>
      <c r="C16" s="2" t="s">
        <v>27</v>
      </c>
      <c r="D16" s="2" t="s">
        <v>68</v>
      </c>
      <c r="E16" s="3">
        <v>585</v>
      </c>
      <c r="F16" s="3">
        <v>550</v>
      </c>
      <c r="G16" s="3">
        <v>3</v>
      </c>
      <c r="H16" s="3">
        <v>42.6</v>
      </c>
      <c r="I16" s="4">
        <f>IF(ISNUMBER(SEARCH("Brennstoffzelle",$R16)),Kostenberechnung!$B$17,Kostenberechnung!$B$5*IF($G16=14,Kostenberechnung!$B$10*$F16^Kostenberechnung!$C$10,IF($G16=25,Kostenberechnung!$B$9*$F16^Kostenberechnung!$C$9*Kostenberechnung!$B$15,Kostenberechnung!$B$9*$F16^Kostenberechnung!$C$9)))</f>
        <v>585.31990392691296</v>
      </c>
      <c r="J16" s="3">
        <v>5.97</v>
      </c>
      <c r="K16" s="5">
        <f>IF(ISNUMBER(SEARCH("Brennstoffzelle",$R16)),Kostenberechnung!$B$18/100,Kostenberechnung!$B$5*IF($G16=14,Kostenberechnung!$B$12*$F16^Kostenberechnung!$C$12,IF($G16=25,Kostenberechnung!$B$11*$F16^Kostenberechnung!$C$11*Kostenberechnung!$B$16,Kostenberechnung!$B$11*$F16^Kostenberechnung!$C$11))/100)</f>
        <v>1.0758349828061455E-2</v>
      </c>
      <c r="L16" s="3"/>
      <c r="M16" s="3">
        <v>500</v>
      </c>
      <c r="N16" s="3"/>
      <c r="O16" s="3">
        <v>300</v>
      </c>
      <c r="P16" s="3"/>
      <c r="Q16" s="3"/>
      <c r="R16" s="3" t="s">
        <v>69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  <row r="17" spans="1:26" x14ac:dyDescent="0.35">
      <c r="A17" s="2">
        <v>16</v>
      </c>
      <c r="B17" s="2" t="s">
        <v>70</v>
      </c>
      <c r="C17" s="2" t="s">
        <v>71</v>
      </c>
      <c r="D17" s="2" t="s">
        <v>72</v>
      </c>
      <c r="E17" s="3">
        <v>12.4</v>
      </c>
      <c r="F17" s="3">
        <v>6</v>
      </c>
      <c r="G17" s="3">
        <v>3</v>
      </c>
      <c r="H17" s="3">
        <v>30.1</v>
      </c>
      <c r="I17" s="4">
        <f>IF(ISNUMBER(SEARCH("Brennstoffzelle",$R17)),Kostenberechnung!$B$17,Kostenberechnung!$B$5*IF($G17=14,Kostenberechnung!$B$10*$F17^Kostenberechnung!$C$10,IF($G17=25,Kostenberechnung!$B$9*$F17^Kostenberechnung!$C$9*Kostenberechnung!$B$15,Kostenberechnung!$B$9*$F17^Kostenberechnung!$C$9)))</f>
        <v>4698.6464320288078</v>
      </c>
      <c r="J17" s="3">
        <v>0.59</v>
      </c>
      <c r="K17" s="5">
        <f>IF(ISNUMBER(SEARCH("Brennstoffzelle",$R17)),Kostenberechnung!$B$18/100,Kostenberechnung!$B$5*IF($G17=14,Kostenberechnung!$B$12*$F17^Kostenberechnung!$C$12,IF($G17=25,Kostenberechnung!$B$11*$F17^Kostenberechnung!$C$11*Kostenberechnung!$B$16,Kostenberechnung!$B$11*$F17^Kostenberechnung!$C$11))/100)</f>
        <v>2.3614048587012496E-2</v>
      </c>
      <c r="L17" s="3"/>
      <c r="M17" s="3">
        <v>240</v>
      </c>
      <c r="N17" s="3"/>
      <c r="O17" s="3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>
        <v>80</v>
      </c>
      <c r="Z17" s="3">
        <v>70</v>
      </c>
    </row>
    <row r="18" spans="1:26" x14ac:dyDescent="0.35">
      <c r="A18" s="2">
        <v>17</v>
      </c>
      <c r="B18" s="2" t="s">
        <v>73</v>
      </c>
      <c r="C18" s="2" t="s">
        <v>71</v>
      </c>
      <c r="D18" s="2" t="s">
        <v>74</v>
      </c>
      <c r="E18" s="3">
        <v>14.6</v>
      </c>
      <c r="F18" s="3">
        <v>6</v>
      </c>
      <c r="G18" s="3">
        <v>3</v>
      </c>
      <c r="H18" s="3">
        <v>27.9</v>
      </c>
      <c r="I18" s="4">
        <f>IF(ISNUMBER(SEARCH("Brennstoffzelle",$R18)),Kostenberechnung!$B$17,Kostenberechnung!$B$5*IF($G18=14,Kostenberechnung!$B$10*$F18^Kostenberechnung!$C$10,IF($G18=25,Kostenberechnung!$B$9*$F18^Kostenberechnung!$C$9*Kostenberechnung!$B$15,Kostenberechnung!$B$9*$F18^Kostenberechnung!$C$9)))</f>
        <v>4698.6464320288078</v>
      </c>
      <c r="J18" s="3">
        <v>0.59</v>
      </c>
      <c r="K18" s="5">
        <f>IF(ISNUMBER(SEARCH("Brennstoffzelle",$R18)),Kostenberechnung!$B$18/100,Kostenberechnung!$B$5*IF($G18=14,Kostenberechnung!$B$12*$F18^Kostenberechnung!$C$12,IF($G18=25,Kostenberechnung!$B$11*$F18^Kostenberechnung!$C$11*Kostenberechnung!$B$16,Kostenberechnung!$B$11*$F18^Kostenberechnung!$C$11))/100)</f>
        <v>2.3614048587012496E-2</v>
      </c>
      <c r="L18" s="3"/>
      <c r="M18" s="3">
        <v>240</v>
      </c>
      <c r="N18" s="3"/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>
        <v>80</v>
      </c>
      <c r="Z18" s="3">
        <v>70</v>
      </c>
    </row>
    <row r="19" spans="1:26" x14ac:dyDescent="0.35">
      <c r="A19" s="2">
        <v>18</v>
      </c>
      <c r="B19" s="2" t="s">
        <v>75</v>
      </c>
      <c r="C19" s="2" t="s">
        <v>71</v>
      </c>
      <c r="D19" s="2" t="s">
        <v>76</v>
      </c>
      <c r="E19" s="3">
        <v>20.100000000000001</v>
      </c>
      <c r="F19" s="3">
        <v>9</v>
      </c>
      <c r="G19" s="3">
        <v>3</v>
      </c>
      <c r="H19" s="3">
        <v>29.3</v>
      </c>
      <c r="I19" s="4">
        <f>IF(ISNUMBER(SEARCH("Brennstoffzelle",$R19)),Kostenberechnung!$B$17,Kostenberechnung!$B$5*IF($G19=14,Kostenberechnung!$B$10*$F19^Kostenberechnung!$C$10,IF($G19=25,Kostenberechnung!$B$9*$F19^Kostenberechnung!$C$9*Kostenberechnung!$B$15,Kostenberechnung!$B$9*$F19^Kostenberechnung!$C$9)))</f>
        <v>3897.5769267494702</v>
      </c>
      <c r="J19" s="3">
        <v>0.59</v>
      </c>
      <c r="K19" s="5">
        <f>IF(ISNUMBER(SEARCH("Brennstoffzelle",$R19)),Kostenberechnung!$B$18/100,Kostenberechnung!$B$5*IF($G19=14,Kostenberechnung!$B$12*$F19^Kostenberechnung!$C$12,IF($G19=25,Kostenberechnung!$B$11*$F19^Kostenberechnung!$C$11*Kostenberechnung!$B$16,Kostenberechnung!$B$11*$F19^Kostenberechnung!$C$11))/100)</f>
        <v>2.2005466179984126E-2</v>
      </c>
      <c r="L19" s="3"/>
      <c r="M19" s="3">
        <v>240</v>
      </c>
      <c r="N19" s="3"/>
      <c r="O19" s="3">
        <v>70</v>
      </c>
      <c r="P19" s="3"/>
      <c r="Q19" s="3"/>
      <c r="R19" s="3"/>
      <c r="S19" s="3"/>
      <c r="T19" s="3"/>
      <c r="U19" s="3"/>
      <c r="V19" s="3"/>
      <c r="W19" s="3"/>
      <c r="X19" s="3"/>
      <c r="Y19" s="3">
        <v>80</v>
      </c>
      <c r="Z19" s="3">
        <v>70</v>
      </c>
    </row>
    <row r="20" spans="1:26" x14ac:dyDescent="0.35">
      <c r="A20" s="2">
        <v>19</v>
      </c>
      <c r="B20" s="2" t="s">
        <v>77</v>
      </c>
      <c r="C20" s="2" t="s">
        <v>71</v>
      </c>
      <c r="D20" s="2" t="s">
        <v>78</v>
      </c>
      <c r="E20" s="3">
        <v>30.8</v>
      </c>
      <c r="F20" s="3">
        <v>14.5</v>
      </c>
      <c r="G20" s="3">
        <v>3</v>
      </c>
      <c r="H20" s="3">
        <v>29.5</v>
      </c>
      <c r="I20" s="4">
        <f>IF(ISNUMBER(SEARCH("Brennstoffzelle",$R20)),Kostenberechnung!$B$17,Kostenberechnung!$B$5*IF($G20=14,Kostenberechnung!$B$10*$F20^Kostenberechnung!$C$10,IF($G20=25,Kostenberechnung!$B$9*$F20^Kostenberechnung!$C$9*Kostenberechnung!$B$15,Kostenberechnung!$B$9*$F20^Kostenberechnung!$C$9)))</f>
        <v>3128.3104359278941</v>
      </c>
      <c r="J20" s="3">
        <v>0.84</v>
      </c>
      <c r="K20" s="5">
        <f>IF(ISNUMBER(SEARCH("Brennstoffzelle",$R20)),Kostenberechnung!$B$18/100,Kostenberechnung!$B$5*IF($G20=14,Kostenberechnung!$B$12*$F20^Kostenberechnung!$C$12,IF($G20=25,Kostenberechnung!$B$11*$F20^Kostenberechnung!$C$11*Kostenberechnung!$B$16,Kostenberechnung!$B$11*$F20^Kostenberechnung!$C$11))/100)</f>
        <v>2.0253064120118416E-2</v>
      </c>
      <c r="L20" s="3"/>
      <c r="M20" s="3">
        <v>240</v>
      </c>
      <c r="N20" s="3"/>
      <c r="O20" s="3">
        <v>150</v>
      </c>
      <c r="P20" s="3"/>
      <c r="Q20" s="3"/>
      <c r="R20" s="3"/>
      <c r="S20" s="3"/>
      <c r="T20" s="3"/>
      <c r="U20" s="3"/>
      <c r="V20" s="3"/>
      <c r="W20" s="3"/>
      <c r="X20" s="3"/>
      <c r="Y20" s="3">
        <v>85</v>
      </c>
      <c r="Z20" s="3">
        <v>75</v>
      </c>
    </row>
    <row r="21" spans="1:26" x14ac:dyDescent="0.35">
      <c r="A21" s="2">
        <v>20</v>
      </c>
      <c r="B21" s="2" t="s">
        <v>79</v>
      </c>
      <c r="C21" s="2" t="s">
        <v>71</v>
      </c>
      <c r="D21" s="2" t="s">
        <v>80</v>
      </c>
      <c r="E21" s="3">
        <v>30.8</v>
      </c>
      <c r="F21" s="3">
        <v>14.5</v>
      </c>
      <c r="G21" s="3">
        <v>14</v>
      </c>
      <c r="H21" s="3">
        <v>29.5</v>
      </c>
      <c r="I21" s="4">
        <f>IF(ISNUMBER(SEARCH("Brennstoffzelle",$R21)),Kostenberechnung!$B$17,Kostenberechnung!$B$5*IF($G21=14,Kostenberechnung!$B$10*$F21^Kostenberechnung!$C$10,IF($G21=25,Kostenberechnung!$B$9*$F21^Kostenberechnung!$C$9*Kostenberechnung!$B$15,Kostenberechnung!$B$9*$F21^Kostenberechnung!$C$9)))</f>
        <v>4292.0367173867617</v>
      </c>
      <c r="J21" s="3">
        <v>0.84</v>
      </c>
      <c r="K21" s="5">
        <f>IF(ISNUMBER(SEARCH("Brennstoffzelle",$R21)),Kostenberechnung!$B$18/100,Kostenberechnung!$B$5*IF($G21=14,Kostenberechnung!$B$12*$F21^Kostenberechnung!$C$12,IF($G21=25,Kostenberechnung!$B$11*$F21^Kostenberechnung!$C$11*Kostenberechnung!$B$16,Kostenberechnung!$B$11*$F21^Kostenberechnung!$C$11))/100)</f>
        <v>5.4621638964792406E-2</v>
      </c>
      <c r="L21" s="3"/>
      <c r="M21" s="3">
        <v>240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85</v>
      </c>
      <c r="Z21" s="3">
        <v>75</v>
      </c>
    </row>
    <row r="22" spans="1:26" x14ac:dyDescent="0.35">
      <c r="A22" s="2">
        <v>21</v>
      </c>
      <c r="B22" s="2" t="s">
        <v>81</v>
      </c>
      <c r="C22" s="2" t="s">
        <v>71</v>
      </c>
      <c r="D22" s="2" t="s">
        <v>82</v>
      </c>
      <c r="E22" s="3">
        <v>38.700000000000003</v>
      </c>
      <c r="F22" s="3">
        <v>20</v>
      </c>
      <c r="G22" s="3">
        <v>3</v>
      </c>
      <c r="H22" s="3">
        <v>32.700000000000003</v>
      </c>
      <c r="I22" s="4">
        <f>IF(ISNUMBER(SEARCH("Brennstoffzelle",$R22)),Kostenberechnung!$B$17,Kostenberechnung!$B$5*IF($G22=14,Kostenberechnung!$B$10*$F22^Kostenberechnung!$C$10,IF($G22=25,Kostenberechnung!$B$9*$F22^Kostenberechnung!$C$9*Kostenberechnung!$B$15,Kostenberechnung!$B$9*$F22^Kostenberechnung!$C$9)))</f>
        <v>2697.2777165684533</v>
      </c>
      <c r="J22" s="3">
        <v>0.84</v>
      </c>
      <c r="K22" s="5">
        <f>IF(ISNUMBER(SEARCH("Brennstoffzelle",$R22)),Kostenberechnung!$B$18/100,Kostenberechnung!$B$5*IF($G22=14,Kostenberechnung!$B$12*$F22^Kostenberechnung!$C$12,IF($G22=25,Kostenberechnung!$B$11*$F22^Kostenberechnung!$C$11*Kostenberechnung!$B$16,Kostenberechnung!$B$11*$F22^Kostenberechnung!$C$11))/100)</f>
        <v>1.9150915975110566E-2</v>
      </c>
      <c r="L22" s="3"/>
      <c r="M22" s="3">
        <v>240</v>
      </c>
      <c r="N22" s="3"/>
      <c r="O22" s="3">
        <v>50</v>
      </c>
      <c r="P22" s="3"/>
      <c r="Q22" s="3"/>
      <c r="R22" s="3"/>
      <c r="S22" s="3"/>
      <c r="T22" s="3"/>
      <c r="U22" s="3"/>
      <c r="V22" s="3"/>
      <c r="W22" s="3"/>
      <c r="X22" s="3"/>
      <c r="Y22" s="3">
        <v>85</v>
      </c>
      <c r="Z22" s="3">
        <v>75</v>
      </c>
    </row>
    <row r="23" spans="1:26" x14ac:dyDescent="0.35">
      <c r="A23" s="2">
        <v>22</v>
      </c>
      <c r="B23" s="2" t="s">
        <v>83</v>
      </c>
      <c r="C23" s="2" t="s">
        <v>71</v>
      </c>
      <c r="D23" s="2" t="s">
        <v>84</v>
      </c>
      <c r="E23" s="3">
        <v>48</v>
      </c>
      <c r="F23" s="3">
        <v>24</v>
      </c>
      <c r="G23" s="3">
        <v>3</v>
      </c>
      <c r="H23" s="3">
        <v>31.2</v>
      </c>
      <c r="I23" s="4">
        <f>IF(ISNUMBER(SEARCH("Brennstoffzelle",$R23)),Kostenberechnung!$B$17,Kostenberechnung!$B$5*IF($G23=14,Kostenberechnung!$B$10*$F23^Kostenberechnung!$C$10,IF($G23=25,Kostenberechnung!$B$9*$F23^Kostenberechnung!$C$9*Kostenberechnung!$B$15,Kostenberechnung!$B$9*$F23^Kostenberechnung!$C$9)))</f>
        <v>2479.8368545971875</v>
      </c>
      <c r="J23" s="3">
        <v>0.84</v>
      </c>
      <c r="K23" s="5">
        <f>IF(ISNUMBER(SEARCH("Brennstoffzelle",$R23)),Kostenberechnung!$B$18/100,Kostenberechnung!$B$5*IF($G23=14,Kostenberechnung!$B$12*$F23^Kostenberechnung!$C$12,IF($G23=25,Kostenberechnung!$B$11*$F23^Kostenberechnung!$C$11*Kostenberechnung!$B$16,Kostenberechnung!$B$11*$F23^Kostenberechnung!$C$11))/100)</f>
        <v>1.8552908982068631E-2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85</v>
      </c>
      <c r="Z23" s="3">
        <v>75</v>
      </c>
    </row>
    <row r="24" spans="1:26" x14ac:dyDescent="0.35">
      <c r="A24" s="2">
        <v>23</v>
      </c>
      <c r="B24" s="2" t="s">
        <v>85</v>
      </c>
      <c r="C24" s="2" t="s">
        <v>86</v>
      </c>
      <c r="D24" s="2" t="s">
        <v>87</v>
      </c>
      <c r="E24" s="3">
        <v>1</v>
      </c>
      <c r="F24" s="3">
        <v>0.70499999999999996</v>
      </c>
      <c r="G24" s="3">
        <v>3</v>
      </c>
      <c r="H24" s="3"/>
      <c r="I24" s="4">
        <f>IF(ISNUMBER(SEARCH("Brennstoffzelle",$R24)),Kostenberechnung!$B$17,Kostenberechnung!$B$5*IF($G24=14,Kostenberechnung!$B$10*$F24^Kostenberechnung!$C$10,IF($G24=25,Kostenberechnung!$B$9*$F24^Kostenberechnung!$C$9*Kostenberechnung!$B$15,Kostenberechnung!$B$9*$F24^Kostenberechnung!$C$9)))</f>
        <v>30000</v>
      </c>
      <c r="J24" s="3">
        <v>1.49</v>
      </c>
      <c r="K24" s="5">
        <f>IF(ISNUMBER(SEARCH("Brennstoffzelle",$R24)),Kostenberechnung!$B$18/100,Kostenberechnung!$B$5*IF($G24=14,Kostenberechnung!$B$12*$F24^Kostenberechnung!$C$12,IF($G24=25,Kostenberechnung!$B$11*$F24^Kostenberechnung!$C$11*Kostenberechnung!$B$16,Kostenberechnung!$B$11*$F24^Kostenberechnung!$C$11))/100)</f>
        <v>3.5000000000000003E-2</v>
      </c>
      <c r="L24" s="3"/>
      <c r="M24" s="3"/>
      <c r="N24" s="3"/>
      <c r="O24" s="3"/>
      <c r="P24" s="3"/>
      <c r="Q24" s="3"/>
      <c r="R24" s="3" t="s">
        <v>88</v>
      </c>
      <c r="S24" s="3"/>
      <c r="T24" s="3"/>
      <c r="U24" s="3"/>
      <c r="V24" s="3"/>
      <c r="W24" s="3"/>
      <c r="X24" s="3"/>
      <c r="Y24" s="3">
        <v>67</v>
      </c>
      <c r="Z24" s="3">
        <v>30</v>
      </c>
    </row>
    <row r="25" spans="1:26" x14ac:dyDescent="0.35">
      <c r="A25" s="2">
        <v>24</v>
      </c>
      <c r="B25" s="2" t="s">
        <v>89</v>
      </c>
      <c r="C25" s="2" t="s">
        <v>86</v>
      </c>
      <c r="D25" s="2" t="s">
        <v>90</v>
      </c>
      <c r="E25" s="3">
        <v>14.7</v>
      </c>
      <c r="F25" s="3">
        <v>5.5</v>
      </c>
      <c r="G25" s="3">
        <v>3</v>
      </c>
      <c r="H25" s="3">
        <v>24</v>
      </c>
      <c r="I25" s="4">
        <f>IF(ISNUMBER(SEARCH("Brennstoffzelle",$R25)),Kostenberechnung!$B$17,Kostenberechnung!$B$5*IF($G25=14,Kostenberechnung!$B$10*$F25^Kostenberechnung!$C$10,IF($G25=25,Kostenberechnung!$B$9*$F25^Kostenberechnung!$C$9*Kostenberechnung!$B$15,Kostenberechnung!$B$9*$F25^Kostenberechnung!$C$9)))</f>
        <v>4890.9507835215263</v>
      </c>
      <c r="J25" s="3">
        <v>0.77</v>
      </c>
      <c r="K25" s="5">
        <f>IF(ISNUMBER(SEARCH("Brennstoffzelle",$R25)),Kostenberechnung!$B$18/100,Kostenberechnung!$B$5*IF($G25=14,Kostenberechnung!$B$12*$F25^Kostenberechnung!$C$12,IF($G25=25,Kostenberechnung!$B$11*$F25^Kostenberechnung!$C$11*Kostenberechnung!$B$16,Kostenberechnung!$B$11*$F25^Kostenberechnung!$C$11))/100)</f>
        <v>2.3974284904998269E-2</v>
      </c>
      <c r="L25" s="3"/>
      <c r="M25" s="3"/>
      <c r="N25" s="3"/>
      <c r="O25" s="3"/>
      <c r="P25" s="3"/>
      <c r="Q25" s="3"/>
      <c r="R25" s="3" t="s">
        <v>91</v>
      </c>
      <c r="S25" s="3"/>
      <c r="T25" s="3"/>
      <c r="U25" s="3"/>
      <c r="V25" s="3"/>
      <c r="W25" s="3"/>
      <c r="X25" s="3"/>
      <c r="Y25" s="3">
        <v>83</v>
      </c>
      <c r="Z25" s="3">
        <v>70</v>
      </c>
    </row>
    <row r="26" spans="1:26" x14ac:dyDescent="0.35">
      <c r="A26" s="2">
        <v>25</v>
      </c>
      <c r="B26" s="2" t="s">
        <v>92</v>
      </c>
      <c r="C26" s="2" t="s">
        <v>86</v>
      </c>
      <c r="D26" s="2" t="s">
        <v>93</v>
      </c>
      <c r="E26" s="3">
        <v>7</v>
      </c>
      <c r="F26" s="3">
        <v>2.85</v>
      </c>
      <c r="G26" s="3">
        <v>3</v>
      </c>
      <c r="H26" s="3">
        <v>29.8</v>
      </c>
      <c r="I26" s="4">
        <f>IF(ISNUMBER(SEARCH("Brennstoffzelle",$R26)),Kostenberechnung!$B$17,Kostenberechnung!$B$5*IF($G26=14,Kostenberechnung!$B$10*$F26^Kostenberechnung!$C$10,IF($G26=25,Kostenberechnung!$B$9*$F26^Kostenberechnung!$C$9*Kostenberechnung!$B$15,Kostenberechnung!$B$9*$F26^Kostenberechnung!$C$9)))</f>
        <v>6622.4244432646801</v>
      </c>
      <c r="J26" s="3">
        <v>0.77</v>
      </c>
      <c r="K26" s="5">
        <f>IF(ISNUMBER(SEARCH("Brennstoffzelle",$R26)),Kostenberechnung!$B$18/100,Kostenberechnung!$B$5*IF($G26=14,Kostenberechnung!$B$12*$F26^Kostenberechnung!$C$12,IF($G26=25,Kostenberechnung!$B$11*$F26^Kostenberechnung!$C$11*Kostenberechnung!$B$16,Kostenberechnung!$B$11*$F26^Kostenberechnung!$C$11))/100)</f>
        <v>2.68797833754865E-2</v>
      </c>
      <c r="L26" s="3"/>
      <c r="M26" s="3"/>
      <c r="N26" s="3"/>
      <c r="O26" s="3"/>
      <c r="P26" s="3"/>
      <c r="Q26" s="3"/>
      <c r="R26" s="3" t="s">
        <v>94</v>
      </c>
      <c r="S26" s="3"/>
      <c r="T26" s="3"/>
      <c r="U26" s="3"/>
      <c r="V26" s="3"/>
      <c r="W26" s="3"/>
      <c r="X26" s="3"/>
      <c r="Y26" s="3">
        <v>83</v>
      </c>
      <c r="Z26" s="3">
        <v>70</v>
      </c>
    </row>
    <row r="27" spans="1:26" x14ac:dyDescent="0.35">
      <c r="A27" s="2">
        <v>26</v>
      </c>
      <c r="B27" s="2" t="s">
        <v>95</v>
      </c>
      <c r="C27" s="2" t="s">
        <v>86</v>
      </c>
      <c r="D27" s="2" t="s">
        <v>96</v>
      </c>
      <c r="E27" s="3">
        <v>14.8</v>
      </c>
      <c r="F27" s="3">
        <v>5.5</v>
      </c>
      <c r="G27" s="3">
        <v>3</v>
      </c>
      <c r="H27" s="3">
        <v>28.4</v>
      </c>
      <c r="I27" s="4">
        <f>IF(ISNUMBER(SEARCH("Brennstoffzelle",$R27)),Kostenberechnung!$B$17,Kostenberechnung!$B$5*IF($G27=14,Kostenberechnung!$B$10*$F27^Kostenberechnung!$C$10,IF($G27=25,Kostenberechnung!$B$9*$F27^Kostenberechnung!$C$9*Kostenberechnung!$B$15,Kostenberechnung!$B$9*$F27^Kostenberechnung!$C$9)))</f>
        <v>4890.9507835215263</v>
      </c>
      <c r="J27" s="3">
        <v>0.77</v>
      </c>
      <c r="K27" s="5">
        <f>IF(ISNUMBER(SEARCH("Brennstoffzelle",$R27)),Kostenberechnung!$B$18/100,Kostenberechnung!$B$5*IF($G27=14,Kostenberechnung!$B$12*$F27^Kostenberechnung!$C$12,IF($G27=25,Kostenberechnung!$B$11*$F27^Kostenberechnung!$C$11*Kostenberechnung!$B$16,Kostenberechnung!$B$11*$F27^Kostenberechnung!$C$11))/100)</f>
        <v>2.3974284904998269E-2</v>
      </c>
      <c r="L27" s="3"/>
      <c r="M27" s="3"/>
      <c r="N27" s="3"/>
      <c r="O27" s="3"/>
      <c r="P27" s="3"/>
      <c r="Q27" s="3"/>
      <c r="R27" s="3" t="s">
        <v>94</v>
      </c>
      <c r="S27" s="3"/>
      <c r="T27" s="3"/>
      <c r="U27" s="3"/>
      <c r="V27" s="3"/>
      <c r="W27" s="3"/>
      <c r="X27" s="3"/>
      <c r="Y27" s="3">
        <v>83</v>
      </c>
      <c r="Z27" s="3">
        <v>70</v>
      </c>
    </row>
    <row r="28" spans="1:26" x14ac:dyDescent="0.35">
      <c r="A28" s="2">
        <v>27</v>
      </c>
      <c r="B28" s="2" t="s">
        <v>97</v>
      </c>
      <c r="C28" s="2" t="s">
        <v>86</v>
      </c>
      <c r="D28" s="2" t="s">
        <v>98</v>
      </c>
      <c r="E28" s="3">
        <v>14.8</v>
      </c>
      <c r="F28" s="3">
        <v>5.5</v>
      </c>
      <c r="G28" s="3">
        <v>3</v>
      </c>
      <c r="H28" s="3">
        <v>28.4</v>
      </c>
      <c r="I28" s="4">
        <f>IF(ISNUMBER(SEARCH("Brennstoffzelle",$R28)),Kostenberechnung!$B$17,Kostenberechnung!$B$5*IF($G28=14,Kostenberechnung!$B$10*$F28^Kostenberechnung!$C$10,IF($G28=25,Kostenberechnung!$B$9*$F28^Kostenberechnung!$C$9*Kostenberechnung!$B$15,Kostenberechnung!$B$9*$F28^Kostenberechnung!$C$9)))</f>
        <v>4890.9507835215263</v>
      </c>
      <c r="J28" s="3">
        <v>0.77</v>
      </c>
      <c r="K28" s="5">
        <f>IF(ISNUMBER(SEARCH("Brennstoffzelle",$R28)),Kostenberechnung!$B$18/100,Kostenberechnung!$B$5*IF($G28=14,Kostenberechnung!$B$12*$F28^Kostenberechnung!$C$12,IF($G28=25,Kostenberechnung!$B$11*$F28^Kostenberechnung!$C$11*Kostenberechnung!$B$16,Kostenberechnung!$B$11*$F28^Kostenberechnung!$C$11))/100)</f>
        <v>2.3974284904998269E-2</v>
      </c>
      <c r="L28" s="3"/>
      <c r="M28" s="3"/>
      <c r="N28" s="3"/>
      <c r="O28" s="3"/>
      <c r="P28" s="3"/>
      <c r="Q28" s="3"/>
      <c r="R28" s="3" t="s">
        <v>94</v>
      </c>
      <c r="S28" s="3"/>
      <c r="T28" s="3"/>
      <c r="U28" s="3"/>
      <c r="V28" s="3"/>
      <c r="W28" s="3"/>
      <c r="X28" s="3"/>
      <c r="Y28" s="3">
        <v>83</v>
      </c>
      <c r="Z28" s="3">
        <v>70</v>
      </c>
    </row>
    <row r="29" spans="1:26" x14ac:dyDescent="0.35">
      <c r="A29" s="2">
        <v>28</v>
      </c>
      <c r="B29" s="2" t="s">
        <v>99</v>
      </c>
      <c r="C29" s="2" t="s">
        <v>86</v>
      </c>
      <c r="D29" s="2" t="s">
        <v>100</v>
      </c>
      <c r="E29" s="3">
        <v>0.95</v>
      </c>
      <c r="F29" s="3">
        <v>0.7</v>
      </c>
      <c r="G29" s="3">
        <v>3</v>
      </c>
      <c r="H29" s="3">
        <v>37.700000000000003</v>
      </c>
      <c r="I29" s="4">
        <f>IF(ISNUMBER(SEARCH("Brennstoffzelle",$R29)),Kostenberechnung!$B$17,Kostenberechnung!$B$5*IF($G29=14,Kostenberechnung!$B$10*$F29^Kostenberechnung!$C$10,IF($G29=25,Kostenberechnung!$B$9*$F29^Kostenberechnung!$C$9*Kostenberechnung!$B$15,Kostenberechnung!$B$9*$F29^Kostenberechnung!$C$9)))</f>
        <v>30000</v>
      </c>
      <c r="J29" s="3"/>
      <c r="K29" s="5">
        <f>IF(ISNUMBER(SEARCH("Brennstoffzelle",$R29)),Kostenberechnung!$B$18/100,Kostenberechnung!$B$5*IF($G29=14,Kostenberechnung!$B$12*$F29^Kostenberechnung!$C$12,IF($G29=25,Kostenberechnung!$B$11*$F29^Kostenberechnung!$C$11*Kostenberechnung!$B$16,Kostenberechnung!$B$11*$F29^Kostenberechnung!$C$11))/100)</f>
        <v>3.5000000000000003E-2</v>
      </c>
      <c r="L29" s="3"/>
      <c r="M29" s="3"/>
      <c r="N29" s="3"/>
      <c r="O29" s="3"/>
      <c r="P29" s="3"/>
      <c r="Q29" s="3"/>
      <c r="R29" s="3" t="s">
        <v>88</v>
      </c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2">
        <v>29</v>
      </c>
      <c r="B30" s="2" t="s">
        <v>101</v>
      </c>
      <c r="C30" s="2" t="s">
        <v>86</v>
      </c>
      <c r="D30" s="2" t="s">
        <v>102</v>
      </c>
      <c r="E30" s="3">
        <v>44</v>
      </c>
      <c r="F30" s="3">
        <v>20</v>
      </c>
      <c r="G30" s="3">
        <v>3</v>
      </c>
      <c r="H30" s="3">
        <v>32</v>
      </c>
      <c r="I30" s="4">
        <f>IF(ISNUMBER(SEARCH("Brennstoffzelle",$R30)),Kostenberechnung!$B$17,Kostenberechnung!$B$5*IF($G30=14,Kostenberechnung!$B$10*$F30^Kostenberechnung!$C$10,IF($G30=25,Kostenberechnung!$B$9*$F30^Kostenberechnung!$C$9*Kostenberechnung!$B$15,Kostenberechnung!$B$9*$F30^Kostenberechnung!$C$9)))</f>
        <v>2697.2777165684533</v>
      </c>
      <c r="J30" s="3"/>
      <c r="K30" s="5">
        <f>IF(ISNUMBER(SEARCH("Brennstoffzelle",$R30)),Kostenberechnung!$B$18/100,Kostenberechnung!$B$5*IF($G30=14,Kostenberechnung!$B$12*$F30^Kostenberechnung!$C$12,IF($G30=25,Kostenberechnung!$B$11*$F30^Kostenberechnung!$C$11*Kostenberechnung!$B$16,Kostenberechnung!$B$11*$F30^Kostenberechnung!$C$11))/100)</f>
        <v>1.9150915975110566E-2</v>
      </c>
      <c r="L30" s="3"/>
      <c r="M30" s="3"/>
      <c r="N30" s="3"/>
      <c r="O30" s="3"/>
      <c r="P30" s="3"/>
      <c r="Q30" s="3"/>
      <c r="R30" s="3" t="s">
        <v>94</v>
      </c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2">
        <v>30</v>
      </c>
      <c r="B31" s="2" t="s">
        <v>103</v>
      </c>
      <c r="C31" s="2" t="s">
        <v>27</v>
      </c>
      <c r="D31" s="2" t="s">
        <v>104</v>
      </c>
      <c r="E31" s="3">
        <v>1566</v>
      </c>
      <c r="F31" s="3">
        <v>1519</v>
      </c>
      <c r="G31" s="3">
        <v>3</v>
      </c>
      <c r="H31" s="3">
        <v>44.3</v>
      </c>
      <c r="I31" s="4">
        <f>IF(ISNUMBER(SEARCH("Brennstoffzelle",$R31)),Kostenberechnung!$B$17,Kostenberechnung!$B$5*IF($G31=14,Kostenberechnung!$B$10*$F31^Kostenberechnung!$C$10,IF($G31=25,Kostenberechnung!$B$9*$F31^Kostenberechnung!$C$9*Kostenberechnung!$B$15,Kostenberechnung!$B$9*$F31^Kostenberechnung!$C$9)))</f>
        <v>366.43956485468686</v>
      </c>
      <c r="J31" s="3">
        <f>4.8*1.9</f>
        <v>9.1199999999999992</v>
      </c>
      <c r="K31" s="5">
        <f>IF(ISNUMBER(SEARCH("Brennstoffzelle",$R31)),Kostenberechnung!$B$18/100,Kostenberechnung!$B$5*IF($G31=14,Kostenberechnung!$B$12*$F31^Kostenberechnung!$C$12,IF($G31=25,Kostenberechnung!$B$11*$F31^Kostenberechnung!$C$11*Kostenberechnung!$B$16,Kostenberechnung!$B$11*$F31^Kostenberechnung!$C$11))/100)</f>
        <v>9.0152488135812007E-3</v>
      </c>
      <c r="L31" s="3"/>
      <c r="M31" s="3">
        <v>500</v>
      </c>
      <c r="N31" s="3"/>
      <c r="O31" s="3">
        <v>1000</v>
      </c>
      <c r="P31" s="3"/>
      <c r="Q31" s="3"/>
      <c r="R31" s="3" t="s">
        <v>105</v>
      </c>
      <c r="S31" s="3"/>
      <c r="T31" s="3"/>
      <c r="U31" s="3"/>
      <c r="V31" s="3"/>
      <c r="W31" s="3"/>
      <c r="X31" s="3"/>
      <c r="Y31" s="3">
        <v>91</v>
      </c>
      <c r="Z31" s="3">
        <v>77</v>
      </c>
    </row>
    <row r="32" spans="1:26" x14ac:dyDescent="0.35">
      <c r="A32" s="2">
        <v>31</v>
      </c>
      <c r="B32" s="2" t="s">
        <v>106</v>
      </c>
      <c r="C32" s="2" t="s">
        <v>27</v>
      </c>
      <c r="D32" s="2" t="s">
        <v>107</v>
      </c>
      <c r="E32" s="3">
        <v>2147</v>
      </c>
      <c r="F32" s="3">
        <v>2032</v>
      </c>
      <c r="G32" s="3">
        <v>3</v>
      </c>
      <c r="H32" s="3">
        <v>44</v>
      </c>
      <c r="I32" s="4">
        <f>IF(ISNUMBER(SEARCH("Brennstoffzelle",$R32)),Kostenberechnung!$B$17,Kostenberechnung!$B$5*IF($G32=14,Kostenberechnung!$B$10*$F32^Kostenberechnung!$C$10,IF($G32=25,Kostenberechnung!$B$9*$F32^Kostenberechnung!$C$9*Kostenberechnung!$B$15,Kostenberechnung!$B$9*$F32^Kostenberechnung!$C$9)))</f>
        <v>320.44069509665633</v>
      </c>
      <c r="J32" s="3">
        <f>5.5*2.1</f>
        <v>11.55</v>
      </c>
      <c r="K32" s="5">
        <f>IF(ISNUMBER(SEARCH("Brennstoffzelle",$R32)),Kostenberechnung!$B$18/100,Kostenberechnung!$B$5*IF($G32=14,Kostenberechnung!$B$12*$F32^Kostenberechnung!$C$12,IF($G32=25,Kostenberechnung!$B$11*$F32^Kostenberechnung!$C$11*Kostenberechnung!$B$16,Kostenberechnung!$B$11*$F32^Kostenberechnung!$C$11))/100)</f>
        <v>8.5701820146472946E-3</v>
      </c>
      <c r="L32" s="3"/>
      <c r="M32" s="3">
        <v>500</v>
      </c>
      <c r="N32" s="3"/>
      <c r="O32" s="3">
        <v>1000</v>
      </c>
      <c r="P32" s="3"/>
      <c r="Q32" s="3"/>
      <c r="R32" s="3" t="s">
        <v>108</v>
      </c>
      <c r="S32" s="3"/>
      <c r="T32" s="3"/>
      <c r="U32" s="3"/>
      <c r="V32" s="3"/>
      <c r="W32" s="3"/>
      <c r="X32" s="3"/>
      <c r="Y32" s="3">
        <v>91</v>
      </c>
      <c r="Z32" s="3">
        <v>78</v>
      </c>
    </row>
    <row r="33" spans="1:26" x14ac:dyDescent="0.35">
      <c r="A33" s="2">
        <v>32</v>
      </c>
      <c r="B33" s="2" t="s">
        <v>109</v>
      </c>
      <c r="C33" s="2" t="s">
        <v>27</v>
      </c>
      <c r="D33" s="2" t="s">
        <v>110</v>
      </c>
      <c r="E33" s="3">
        <v>2683</v>
      </c>
      <c r="F33" s="3">
        <v>2547</v>
      </c>
      <c r="G33" s="3">
        <v>3</v>
      </c>
      <c r="H33" s="3">
        <v>44.1</v>
      </c>
      <c r="I33" s="4">
        <f>IF(ISNUMBER(SEARCH("Brennstoffzelle",$R33)),Kostenberechnung!$B$17,Kostenberechnung!$B$5*IF($G33=14,Kostenberechnung!$B$10*$F33^Kostenberechnung!$C$10,IF($G33=25,Kostenberechnung!$B$9*$F33^Kostenberechnung!$C$9*Kostenberechnung!$B$15,Kostenberechnung!$B$9*$F33^Kostenberechnung!$C$9)))</f>
        <v>288.7494388286039</v>
      </c>
      <c r="J33" s="3">
        <f>6.2*2.1</f>
        <v>13.020000000000001</v>
      </c>
      <c r="K33" s="5">
        <f>IF(ISNUMBER(SEARCH("Brennstoffzelle",$R33)),Kostenberechnung!$B$18/100,Kostenberechnung!$B$5*IF($G33=14,Kostenberechnung!$B$12*$F33^Kostenberechnung!$C$12,IF($G33=25,Kostenberechnung!$B$11*$F33^Kostenberechnung!$C$11*Kostenberechnung!$B$16,Kostenberechnung!$B$11*$F33^Kostenberechnung!$C$11))/100)</f>
        <v>8.2398581175828628E-3</v>
      </c>
      <c r="L33" s="3"/>
      <c r="M33" s="3">
        <v>500</v>
      </c>
      <c r="N33" s="3"/>
      <c r="O33" s="3">
        <v>1000</v>
      </c>
      <c r="P33" s="3"/>
      <c r="Q33" s="3"/>
      <c r="R33" s="3" t="s">
        <v>111</v>
      </c>
      <c r="S33" s="3"/>
      <c r="T33" s="3"/>
      <c r="U33" s="3"/>
      <c r="V33" s="3"/>
      <c r="W33" s="3"/>
      <c r="X33" s="3"/>
      <c r="Y33" s="3">
        <v>92</v>
      </c>
      <c r="Z33" s="3">
        <v>77</v>
      </c>
    </row>
    <row r="34" spans="1:26" x14ac:dyDescent="0.35">
      <c r="A34" s="2">
        <v>33</v>
      </c>
      <c r="B34" s="2" t="s">
        <v>112</v>
      </c>
      <c r="C34" s="2" t="s">
        <v>27</v>
      </c>
      <c r="D34" s="2" t="s">
        <v>113</v>
      </c>
      <c r="E34" s="3">
        <v>1052</v>
      </c>
      <c r="F34" s="3">
        <v>1035</v>
      </c>
      <c r="G34" s="3">
        <v>3</v>
      </c>
      <c r="H34" s="3">
        <v>43.8</v>
      </c>
      <c r="I34" s="4">
        <f>IF(ISNUMBER(SEARCH("Brennstoffzelle",$R34)),Kostenberechnung!$B$17,Kostenberechnung!$B$5*IF($G34=14,Kostenberechnung!$B$10*$F34^Kostenberechnung!$C$10,IF($G34=25,Kostenberechnung!$B$9*$F34^Kostenberechnung!$C$9*Kostenberechnung!$B$15,Kostenberechnung!$B$9*$F34^Kostenberechnung!$C$9)))</f>
        <v>437.33374713200612</v>
      </c>
      <c r="J34" s="3">
        <f>6.295*1.675</f>
        <v>10.544124999999999</v>
      </c>
      <c r="K34" s="5">
        <f>IF(ISNUMBER(SEARCH("Brennstoffzelle",$R34)),Kostenberechnung!$B$18/100,Kostenberechnung!$B$5*IF($G34=14,Kostenberechnung!$B$12*$F34^Kostenberechnung!$C$12,IF($G34=25,Kostenberechnung!$B$11*$F34^Kostenberechnung!$C$11*Kostenberechnung!$B$16,Kostenberechnung!$B$11*$F34^Kostenberechnung!$C$11))/100)</f>
        <v>9.6376055890135953E-3</v>
      </c>
      <c r="L34" s="3"/>
      <c r="M34" s="3">
        <v>500</v>
      </c>
      <c r="N34" s="3"/>
      <c r="O34" s="3">
        <v>1000</v>
      </c>
      <c r="P34" s="3"/>
      <c r="Q34" s="3"/>
      <c r="R34" s="3" t="s">
        <v>114</v>
      </c>
      <c r="S34" s="3"/>
      <c r="T34" s="3"/>
      <c r="U34" s="3"/>
      <c r="V34" s="3"/>
      <c r="W34" s="3"/>
      <c r="X34" s="3"/>
      <c r="Y34" s="3">
        <v>90</v>
      </c>
      <c r="Z34" s="3">
        <v>70</v>
      </c>
    </row>
    <row r="35" spans="1:26" x14ac:dyDescent="0.35">
      <c r="A35" s="2">
        <v>34</v>
      </c>
      <c r="B35" s="2" t="s">
        <v>115</v>
      </c>
      <c r="C35" s="2" t="s">
        <v>27</v>
      </c>
      <c r="D35" s="2" t="s">
        <v>116</v>
      </c>
      <c r="E35" s="3">
        <v>628</v>
      </c>
      <c r="F35" s="3">
        <v>600</v>
      </c>
      <c r="G35" s="3">
        <v>3</v>
      </c>
      <c r="H35" s="3">
        <v>42.8</v>
      </c>
      <c r="I35" s="4">
        <f>IF(ISNUMBER(SEARCH("Brennstoffzelle",$R35)),Kostenberechnung!$B$17,Kostenberechnung!$B$5*IF($G35=14,Kostenberechnung!$B$10*$F35^Kostenberechnung!$C$10,IF($G35=25,Kostenberechnung!$B$9*$F35^Kostenberechnung!$C$9*Kostenberechnung!$B$15,Kostenberechnung!$B$9*$F35^Kostenberechnung!$C$9)))</f>
        <v>562.30606274910394</v>
      </c>
      <c r="J35" s="3">
        <f>4.545*1.31</f>
        <v>5.9539499999999999</v>
      </c>
      <c r="K35" s="5">
        <f>IF(ISNUMBER(SEARCH("Brennstoffzelle",$R35)),Kostenberechnung!$B$18/100,Kostenberechnung!$B$5*IF($G35=14,Kostenberechnung!$B$12*$F35^Kostenberechnung!$C$12,IF($G35=25,Kostenberechnung!$B$11*$F35^Kostenberechnung!$C$11*Kostenberechnung!$B$16,Kostenberechnung!$B$11*$F35^Kostenberechnung!$C$11))/100)</f>
        <v>1.0596695441078854E-2</v>
      </c>
      <c r="L35" s="3"/>
      <c r="M35" s="3">
        <v>500</v>
      </c>
      <c r="N35" s="3"/>
      <c r="O35" s="3">
        <v>1000</v>
      </c>
      <c r="P35" s="3"/>
      <c r="Q35" s="3"/>
      <c r="R35" s="3" t="s">
        <v>117</v>
      </c>
      <c r="S35" s="3"/>
      <c r="T35" s="3"/>
      <c r="U35" s="3"/>
      <c r="V35" s="3"/>
      <c r="W35" s="3"/>
      <c r="X35" s="3"/>
      <c r="Y35" s="3">
        <v>90</v>
      </c>
      <c r="Z35" s="3">
        <v>70</v>
      </c>
    </row>
    <row r="36" spans="1:26" x14ac:dyDescent="0.35">
      <c r="A36" s="2">
        <v>35</v>
      </c>
      <c r="B36" s="2" t="s">
        <v>118</v>
      </c>
      <c r="C36" s="2" t="s">
        <v>27</v>
      </c>
      <c r="D36" s="2" t="s">
        <v>119</v>
      </c>
      <c r="E36" s="3">
        <v>786</v>
      </c>
      <c r="F36" s="3">
        <v>800</v>
      </c>
      <c r="G36" s="3">
        <v>3</v>
      </c>
      <c r="H36" s="3">
        <v>43.4</v>
      </c>
      <c r="I36" s="4">
        <f>IF(ISNUMBER(SEARCH("Brennstoffzelle",$R36)),Kostenberechnung!$B$17,Kostenberechnung!$B$5*IF($G36=14,Kostenberechnung!$B$10*$F36^Kostenberechnung!$C$10,IF($G36=25,Kostenberechnung!$B$9*$F36^Kostenberechnung!$C$9*Kostenberechnung!$B$15,Kostenberechnung!$B$9*$F36^Kostenberechnung!$C$9)))</f>
        <v>492.4657238241208</v>
      </c>
      <c r="J36" s="3">
        <f>5.505*1.675</f>
        <v>9.2208749999999995</v>
      </c>
      <c r="K36" s="5">
        <f>IF(ISNUMBER(SEARCH("Brennstoffzelle",$R36)),Kostenberechnung!$B$18/100,Kostenberechnung!$B$5*IF($G36=14,Kostenberechnung!$B$12*$F36^Kostenberechnung!$C$12,IF($G36=25,Kostenberechnung!$B$11*$F36^Kostenberechnung!$C$11*Kostenberechnung!$B$16,Kostenberechnung!$B$11*$F36^Kostenberechnung!$C$11))/100)</f>
        <v>1.0079317188023174E-2</v>
      </c>
      <c r="L36" s="3"/>
      <c r="M36" s="3">
        <v>500</v>
      </c>
      <c r="N36" s="3"/>
      <c r="O36" s="3">
        <v>1000</v>
      </c>
      <c r="P36" s="3"/>
      <c r="Q36" s="3"/>
      <c r="R36" s="3" t="s">
        <v>120</v>
      </c>
      <c r="S36" s="3"/>
      <c r="T36" s="3"/>
      <c r="U36" s="3"/>
      <c r="V36" s="3"/>
      <c r="W36" s="3"/>
      <c r="X36" s="3"/>
      <c r="Y36" s="3">
        <v>90</v>
      </c>
      <c r="Z36" s="3">
        <v>70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topLeftCell="C18" zoomScaleNormal="100" workbookViewId="0">
      <selection activeCell="K40" sqref="K40"/>
    </sheetView>
  </sheetViews>
  <sheetFormatPr baseColWidth="10" defaultColWidth="8.6328125" defaultRowHeight="14.5" x14ac:dyDescent="0.35"/>
  <cols>
    <col min="1" max="1" width="40" customWidth="1"/>
    <col min="2" max="3" width="22" customWidth="1"/>
    <col min="4" max="5" width="24" customWidth="1"/>
    <col min="6" max="6" width="12.1796875" customWidth="1"/>
  </cols>
  <sheetData>
    <row r="1" spans="1:4" ht="16.5" x14ac:dyDescent="0.35">
      <c r="A1" s="6" t="s">
        <v>121</v>
      </c>
    </row>
    <row r="3" spans="1:4" x14ac:dyDescent="0.35">
      <c r="A3" s="7" t="s">
        <v>122</v>
      </c>
    </row>
    <row r="5" spans="1:4" x14ac:dyDescent="0.35">
      <c r="A5" s="8" t="s">
        <v>123</v>
      </c>
      <c r="B5" s="9">
        <v>1.1499999999999999</v>
      </c>
      <c r="C5" s="10" t="s">
        <v>124</v>
      </c>
    </row>
    <row r="7" spans="1:4" x14ac:dyDescent="0.35">
      <c r="A7" s="8" t="s">
        <v>125</v>
      </c>
    </row>
    <row r="8" spans="1:4" x14ac:dyDescent="0.35">
      <c r="A8" s="11" t="s">
        <v>126</v>
      </c>
      <c r="B8" s="11" t="s">
        <v>127</v>
      </c>
      <c r="C8" s="11" t="s">
        <v>128</v>
      </c>
      <c r="D8" s="11" t="s">
        <v>129</v>
      </c>
    </row>
    <row r="9" spans="1:4" x14ac:dyDescent="0.35">
      <c r="A9" s="12" t="s">
        <v>130</v>
      </c>
      <c r="B9" s="9">
        <v>9332.6</v>
      </c>
      <c r="C9" s="9">
        <v>-0.46100000000000002</v>
      </c>
      <c r="D9" s="12" t="s">
        <v>131</v>
      </c>
    </row>
    <row r="10" spans="1:4" x14ac:dyDescent="0.35">
      <c r="A10" s="12" t="s">
        <v>132</v>
      </c>
      <c r="B10" s="9">
        <v>15648</v>
      </c>
      <c r="C10" s="9">
        <v>-0.53600000000000003</v>
      </c>
      <c r="D10" s="12" t="s">
        <v>131</v>
      </c>
    </row>
    <row r="11" spans="1:4" x14ac:dyDescent="0.35">
      <c r="A11" s="12" t="s">
        <v>133</v>
      </c>
      <c r="B11" s="9">
        <v>2.8046000000000002</v>
      </c>
      <c r="C11" s="9">
        <v>-0.17399999999999999</v>
      </c>
      <c r="D11" s="12" t="s">
        <v>134</v>
      </c>
    </row>
    <row r="12" spans="1:4" x14ac:dyDescent="0.35">
      <c r="A12" s="12" t="s">
        <v>135</v>
      </c>
      <c r="B12" s="9">
        <v>17.053000000000001</v>
      </c>
      <c r="C12" s="9">
        <v>-0.47799999999999998</v>
      </c>
      <c r="D12" s="12" t="s">
        <v>134</v>
      </c>
    </row>
    <row r="14" spans="1:4" x14ac:dyDescent="0.35">
      <c r="A14" s="8" t="s">
        <v>136</v>
      </c>
    </row>
    <row r="15" spans="1:4" x14ac:dyDescent="0.35">
      <c r="A15" s="12" t="s">
        <v>137</v>
      </c>
      <c r="B15" s="9">
        <v>1.4</v>
      </c>
      <c r="C15" s="12"/>
    </row>
    <row r="16" spans="1:4" x14ac:dyDescent="0.35">
      <c r="A16" s="12" t="s">
        <v>138</v>
      </c>
      <c r="B16" s="9">
        <v>1.3</v>
      </c>
      <c r="C16" s="12"/>
    </row>
    <row r="17" spans="1:6" x14ac:dyDescent="0.35">
      <c r="A17" s="12" t="s">
        <v>139</v>
      </c>
      <c r="B17" s="9">
        <v>30000</v>
      </c>
      <c r="C17" s="12" t="s">
        <v>131</v>
      </c>
    </row>
    <row r="18" spans="1:6" x14ac:dyDescent="0.35">
      <c r="A18" s="12" t="s">
        <v>140</v>
      </c>
      <c r="B18" s="9">
        <v>3.5</v>
      </c>
      <c r="C18" s="12" t="s">
        <v>134</v>
      </c>
    </row>
    <row r="21" spans="1:6" x14ac:dyDescent="0.35">
      <c r="A21" s="8" t="s">
        <v>141</v>
      </c>
    </row>
    <row r="22" spans="1:6" ht="30" customHeight="1" x14ac:dyDescent="0.35">
      <c r="A22" s="1" t="s">
        <v>142</v>
      </c>
      <c r="B22" s="1" t="s">
        <v>143</v>
      </c>
      <c r="C22" s="1" t="s">
        <v>144</v>
      </c>
      <c r="D22" s="1" t="s">
        <v>145</v>
      </c>
      <c r="E22" s="1" t="s">
        <v>146</v>
      </c>
      <c r="F22" s="1" t="s">
        <v>210</v>
      </c>
    </row>
    <row r="23" spans="1:6" x14ac:dyDescent="0.35">
      <c r="A23" s="12">
        <v>1</v>
      </c>
      <c r="B23" s="13">
        <f t="shared" ref="B23:B37" si="0">$B$5*$B$9*A23^$C$9</f>
        <v>10732.49</v>
      </c>
      <c r="C23" s="13">
        <f t="shared" ref="C23:C37" si="1">$B$5*$B$10*A23^$C$10</f>
        <v>17995.199999999997</v>
      </c>
      <c r="D23" s="14">
        <f t="shared" ref="D23:D37" si="2">$B$5*$B$11*A23^$C$11/100</f>
        <v>3.2252900000000001E-2</v>
      </c>
      <c r="E23" s="14">
        <f t="shared" ref="E23:E37" si="3">$B$5*$B$12*A23^$C$12/100</f>
        <v>0.19610949999999999</v>
      </c>
      <c r="F23">
        <f>A23*B23</f>
        <v>10732.49</v>
      </c>
    </row>
    <row r="24" spans="1:6" x14ac:dyDescent="0.35">
      <c r="A24" s="12">
        <v>5</v>
      </c>
      <c r="B24" s="13">
        <f t="shared" si="0"/>
        <v>5110.6403615425743</v>
      </c>
      <c r="C24" s="13">
        <f t="shared" si="1"/>
        <v>7594.6673353124406</v>
      </c>
      <c r="D24" s="14">
        <f t="shared" si="2"/>
        <v>2.4375188859015871E-2</v>
      </c>
      <c r="E24" s="14">
        <f t="shared" si="3"/>
        <v>9.0863815675421497E-2</v>
      </c>
      <c r="F24">
        <f t="shared" ref="F24:F37" si="4">A24*B24</f>
        <v>25553.201807712871</v>
      </c>
    </row>
    <row r="25" spans="1:6" x14ac:dyDescent="0.35">
      <c r="A25" s="12">
        <v>10</v>
      </c>
      <c r="B25" s="13">
        <f t="shared" si="0"/>
        <v>3712.7909131250753</v>
      </c>
      <c r="C25" s="13">
        <f t="shared" si="1"/>
        <v>5237.8936683032152</v>
      </c>
      <c r="D25" s="14">
        <f t="shared" si="2"/>
        <v>2.1605721319050284E-2</v>
      </c>
      <c r="E25" s="14">
        <f t="shared" si="3"/>
        <v>6.5237698666710586E-2</v>
      </c>
      <c r="F25">
        <f t="shared" si="4"/>
        <v>37127.909131250752</v>
      </c>
    </row>
    <row r="26" spans="1:6" x14ac:dyDescent="0.35">
      <c r="A26" s="12">
        <v>20</v>
      </c>
      <c r="B26" s="13">
        <f t="shared" si="0"/>
        <v>2697.2777165684533</v>
      </c>
      <c r="C26" s="13">
        <f t="shared" si="1"/>
        <v>3612.4729193714247</v>
      </c>
      <c r="D26" s="14">
        <f t="shared" si="2"/>
        <v>1.9150915975110563E-2</v>
      </c>
      <c r="E26" s="14">
        <f t="shared" si="3"/>
        <v>4.6838857643084444E-2</v>
      </c>
      <c r="F26">
        <f t="shared" si="4"/>
        <v>53945.554331369065</v>
      </c>
    </row>
    <row r="27" spans="1:6" x14ac:dyDescent="0.35">
      <c r="A27" s="12">
        <v>50</v>
      </c>
      <c r="B27" s="13">
        <f t="shared" si="0"/>
        <v>1767.9717469651048</v>
      </c>
      <c r="C27" s="13">
        <f t="shared" si="1"/>
        <v>2210.5928218915205</v>
      </c>
      <c r="D27" s="14">
        <f t="shared" si="2"/>
        <v>1.632856386827591E-2</v>
      </c>
      <c r="E27" s="14">
        <f t="shared" si="3"/>
        <v>3.0226716333174478E-2</v>
      </c>
      <c r="F27">
        <f t="shared" si="4"/>
        <v>88398.587348255242</v>
      </c>
    </row>
    <row r="28" spans="1:6" x14ac:dyDescent="0.35">
      <c r="A28" s="12">
        <v>100</v>
      </c>
      <c r="B28" s="13">
        <f t="shared" si="0"/>
        <v>1284.4005784849674</v>
      </c>
      <c r="C28" s="13">
        <f t="shared" si="1"/>
        <v>1524.6026762942852</v>
      </c>
      <c r="D28" s="14">
        <f t="shared" si="2"/>
        <v>1.4473340186974316E-2</v>
      </c>
      <c r="E28" s="14">
        <f t="shared" si="3"/>
        <v>2.1701943696396817E-2</v>
      </c>
      <c r="F28">
        <f t="shared" si="4"/>
        <v>128440.05784849674</v>
      </c>
    </row>
    <row r="29" spans="1:6" x14ac:dyDescent="0.35">
      <c r="A29" s="12">
        <v>160</v>
      </c>
      <c r="B29" s="13">
        <f t="shared" si="0"/>
        <v>1034.1920155559176</v>
      </c>
      <c r="C29" s="13">
        <f t="shared" si="1"/>
        <v>1185.0819054269652</v>
      </c>
      <c r="D29" s="14">
        <f t="shared" si="2"/>
        <v>1.3336807817731009E-2</v>
      </c>
      <c r="E29" s="14">
        <f t="shared" si="3"/>
        <v>1.7335216929488358E-2</v>
      </c>
      <c r="F29">
        <f t="shared" si="4"/>
        <v>165470.72248894681</v>
      </c>
    </row>
    <row r="30" spans="1:6" x14ac:dyDescent="0.35">
      <c r="A30" s="12">
        <v>250</v>
      </c>
      <c r="B30" s="13">
        <f t="shared" si="0"/>
        <v>841.87991492252081</v>
      </c>
      <c r="C30" s="13">
        <f t="shared" si="1"/>
        <v>932.95529341689416</v>
      </c>
      <c r="D30" s="14">
        <f t="shared" si="2"/>
        <v>1.2340342359469321E-2</v>
      </c>
      <c r="E30" s="14">
        <f t="shared" si="3"/>
        <v>1.4005006291744249E-2</v>
      </c>
      <c r="F30">
        <f t="shared" si="4"/>
        <v>210469.97873063022</v>
      </c>
    </row>
    <row r="31" spans="1:6" x14ac:dyDescent="0.35">
      <c r="A31" s="12">
        <v>360</v>
      </c>
      <c r="B31" s="13">
        <f t="shared" si="0"/>
        <v>711.61491106440837</v>
      </c>
      <c r="C31" s="13">
        <f t="shared" si="1"/>
        <v>767.32356768130774</v>
      </c>
      <c r="D31" s="14">
        <f t="shared" si="2"/>
        <v>1.1581695297845727E-2</v>
      </c>
      <c r="E31" s="14">
        <f t="shared" si="3"/>
        <v>1.1764840320473846E-2</v>
      </c>
      <c r="F31">
        <f t="shared" si="4"/>
        <v>256181.36798318702</v>
      </c>
    </row>
    <row r="32" spans="1:6" x14ac:dyDescent="0.35">
      <c r="A32" s="12">
        <v>500</v>
      </c>
      <c r="B32" s="13">
        <f t="shared" si="0"/>
        <v>611.61104615927036</v>
      </c>
      <c r="C32" s="13">
        <f t="shared" si="1"/>
        <v>643.44103677548117</v>
      </c>
      <c r="D32" s="14">
        <f t="shared" si="2"/>
        <v>1.0938253629232815E-2</v>
      </c>
      <c r="E32" s="14">
        <f t="shared" si="3"/>
        <v>1.0055205952938415E-2</v>
      </c>
      <c r="F32">
        <f t="shared" si="4"/>
        <v>305805.52307963517</v>
      </c>
    </row>
    <row r="33" spans="1:6" x14ac:dyDescent="0.35">
      <c r="A33" s="12">
        <v>750</v>
      </c>
      <c r="B33" s="13">
        <f t="shared" si="0"/>
        <v>507.33783359523528</v>
      </c>
      <c r="C33" s="13">
        <f t="shared" si="1"/>
        <v>517.7544504292332</v>
      </c>
      <c r="D33" s="14">
        <f t="shared" si="2"/>
        <v>1.0193142841187967E-2</v>
      </c>
      <c r="E33" s="14">
        <f t="shared" si="3"/>
        <v>8.2836043692951361E-3</v>
      </c>
      <c r="F33">
        <f t="shared" si="4"/>
        <v>380503.37519642647</v>
      </c>
    </row>
    <row r="34" spans="1:6" x14ac:dyDescent="0.35">
      <c r="A34" s="12">
        <v>1000</v>
      </c>
      <c r="B34" s="13">
        <f t="shared" si="0"/>
        <v>444.32473700060081</v>
      </c>
      <c r="C34" s="13">
        <f t="shared" si="1"/>
        <v>443.76871081399366</v>
      </c>
      <c r="D34" s="14">
        <f t="shared" si="2"/>
        <v>9.6954678381038079E-3</v>
      </c>
      <c r="E34" s="14">
        <f t="shared" si="3"/>
        <v>7.2193588956550037E-3</v>
      </c>
      <c r="F34">
        <f t="shared" si="4"/>
        <v>444324.73700060078</v>
      </c>
    </row>
    <row r="35" spans="1:6" x14ac:dyDescent="0.35">
      <c r="A35" s="12">
        <v>1500</v>
      </c>
      <c r="B35" s="13">
        <f t="shared" si="0"/>
        <v>368.57207026956615</v>
      </c>
      <c r="C35" s="13">
        <f t="shared" si="1"/>
        <v>357.08512801206513</v>
      </c>
      <c r="D35" s="14">
        <f t="shared" si="2"/>
        <v>9.0350152717081876E-3</v>
      </c>
      <c r="E35" s="14">
        <f t="shared" si="3"/>
        <v>5.9473981111328265E-3</v>
      </c>
      <c r="F35">
        <f t="shared" si="4"/>
        <v>552858.10540434928</v>
      </c>
    </row>
    <row r="36" spans="1:6" x14ac:dyDescent="0.35">
      <c r="A36" s="12">
        <v>2000</v>
      </c>
      <c r="B36" s="13">
        <f t="shared" si="0"/>
        <v>322.79415676093191</v>
      </c>
      <c r="C36" s="13">
        <f t="shared" si="1"/>
        <v>306.05860901319835</v>
      </c>
      <c r="D36" s="14">
        <f t="shared" si="2"/>
        <v>8.593885256827638E-3</v>
      </c>
      <c r="E36" s="14">
        <f t="shared" si="3"/>
        <v>5.1832993882181353E-3</v>
      </c>
      <c r="F36">
        <f t="shared" si="4"/>
        <v>645588.31352186378</v>
      </c>
    </row>
    <row r="37" spans="1:6" x14ac:dyDescent="0.35">
      <c r="A37" s="12">
        <v>2547</v>
      </c>
      <c r="B37" s="13">
        <f t="shared" si="0"/>
        <v>288.7494388286039</v>
      </c>
      <c r="C37" s="13">
        <f t="shared" si="1"/>
        <v>268.85936173643671</v>
      </c>
      <c r="D37" s="14">
        <f t="shared" si="2"/>
        <v>8.2398581175828628E-3</v>
      </c>
      <c r="E37" s="14">
        <f t="shared" si="3"/>
        <v>4.6176051812381828E-3</v>
      </c>
      <c r="F37">
        <f t="shared" si="4"/>
        <v>735444.82069645415</v>
      </c>
    </row>
    <row r="39" spans="1:6" x14ac:dyDescent="0.35">
      <c r="A39" s="15"/>
    </row>
    <row r="40" spans="1:6" x14ac:dyDescent="0.35">
      <c r="A40" s="8" t="s">
        <v>147</v>
      </c>
    </row>
    <row r="41" spans="1:6" x14ac:dyDescent="0.35">
      <c r="A41" s="10" t="s">
        <v>148</v>
      </c>
    </row>
    <row r="42" spans="1:6" x14ac:dyDescent="0.35">
      <c r="A42" s="10" t="s">
        <v>149</v>
      </c>
    </row>
    <row r="43" spans="1:6" x14ac:dyDescent="0.35">
      <c r="A43" s="10" t="s">
        <v>150</v>
      </c>
    </row>
    <row r="44" spans="1:6" x14ac:dyDescent="0.35">
      <c r="A44" s="10" t="s">
        <v>151</v>
      </c>
    </row>
    <row r="45" spans="1:6" x14ac:dyDescent="0.35">
      <c r="A45" s="10" t="s">
        <v>152</v>
      </c>
    </row>
    <row r="46" spans="1:6" x14ac:dyDescent="0.35">
      <c r="A46" s="10" t="s">
        <v>153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9"/>
  <sheetViews>
    <sheetView topLeftCell="A17" zoomScaleNormal="100" workbookViewId="0">
      <selection activeCell="A9" sqref="A9"/>
    </sheetView>
  </sheetViews>
  <sheetFormatPr baseColWidth="10" defaultColWidth="10.6328125" defaultRowHeight="14.5" x14ac:dyDescent="0.35"/>
  <sheetData>
    <row r="3" spans="1:2" x14ac:dyDescent="0.35">
      <c r="A3" t="s">
        <v>154</v>
      </c>
      <c r="B3" t="s">
        <v>155</v>
      </c>
    </row>
    <row r="4" spans="1:2" x14ac:dyDescent="0.35">
      <c r="A4" s="16" t="s">
        <v>156</v>
      </c>
      <c r="B4" s="16" t="s">
        <v>0</v>
      </c>
    </row>
    <row r="5" spans="1:2" x14ac:dyDescent="0.35">
      <c r="A5" s="17" t="s">
        <v>157</v>
      </c>
      <c r="B5" s="18">
        <v>1</v>
      </c>
    </row>
    <row r="6" spans="1:2" x14ac:dyDescent="0.35">
      <c r="A6" s="17" t="s">
        <v>158</v>
      </c>
      <c r="B6" s="18">
        <v>2</v>
      </c>
    </row>
    <row r="7" spans="1:2" x14ac:dyDescent="0.35">
      <c r="A7" s="17" t="s">
        <v>159</v>
      </c>
      <c r="B7" s="18">
        <v>3</v>
      </c>
    </row>
    <row r="8" spans="1:2" ht="28.5" customHeight="1" x14ac:dyDescent="0.35">
      <c r="A8" s="17" t="s">
        <v>160</v>
      </c>
      <c r="B8" s="18">
        <v>4</v>
      </c>
    </row>
    <row r="9" spans="1:2" ht="28.5" customHeight="1" x14ac:dyDescent="0.35">
      <c r="A9" s="17" t="s">
        <v>161</v>
      </c>
      <c r="B9" s="18">
        <v>5</v>
      </c>
    </row>
    <row r="10" spans="1:2" x14ac:dyDescent="0.35">
      <c r="A10" s="17" t="s">
        <v>162</v>
      </c>
      <c r="B10" s="18">
        <v>6</v>
      </c>
    </row>
    <row r="11" spans="1:2" x14ac:dyDescent="0.35">
      <c r="A11" s="17" t="s">
        <v>163</v>
      </c>
      <c r="B11" s="18">
        <v>7</v>
      </c>
    </row>
    <row r="12" spans="1:2" x14ac:dyDescent="0.35">
      <c r="A12" s="17" t="s">
        <v>164</v>
      </c>
      <c r="B12" s="18">
        <v>8</v>
      </c>
    </row>
    <row r="13" spans="1:2" x14ac:dyDescent="0.35">
      <c r="A13" s="17" t="s">
        <v>165</v>
      </c>
      <c r="B13" s="18">
        <v>9</v>
      </c>
    </row>
    <row r="14" spans="1:2" x14ac:dyDescent="0.35">
      <c r="A14" s="17" t="s">
        <v>166</v>
      </c>
      <c r="B14" s="18">
        <v>10</v>
      </c>
    </row>
    <row r="15" spans="1:2" x14ac:dyDescent="0.35">
      <c r="A15" s="17" t="s">
        <v>167</v>
      </c>
      <c r="B15" s="18">
        <v>11</v>
      </c>
    </row>
    <row r="16" spans="1:2" x14ac:dyDescent="0.35">
      <c r="A16" s="17" t="s">
        <v>168</v>
      </c>
      <c r="B16" s="18">
        <v>12</v>
      </c>
    </row>
    <row r="17" spans="1:2" ht="28.5" customHeight="1" x14ac:dyDescent="0.35">
      <c r="A17" s="17" t="s">
        <v>169</v>
      </c>
      <c r="B17" s="18">
        <v>13</v>
      </c>
    </row>
    <row r="18" spans="1:2" x14ac:dyDescent="0.35">
      <c r="A18" s="17" t="s">
        <v>170</v>
      </c>
      <c r="B18" s="18">
        <v>14</v>
      </c>
    </row>
    <row r="19" spans="1:2" x14ac:dyDescent="0.35">
      <c r="A19" s="17" t="s">
        <v>171</v>
      </c>
      <c r="B19" s="18">
        <v>15</v>
      </c>
    </row>
    <row r="20" spans="1:2" x14ac:dyDescent="0.35">
      <c r="A20" s="17" t="s">
        <v>172</v>
      </c>
      <c r="B20" s="18">
        <v>16</v>
      </c>
    </row>
    <row r="21" spans="1:2" ht="28.5" customHeight="1" x14ac:dyDescent="0.35">
      <c r="A21" s="17" t="s">
        <v>173</v>
      </c>
      <c r="B21" s="18">
        <v>17</v>
      </c>
    </row>
    <row r="22" spans="1:2" ht="29" x14ac:dyDescent="0.35">
      <c r="A22" s="17" t="s">
        <v>174</v>
      </c>
      <c r="B22" s="18">
        <v>18</v>
      </c>
    </row>
    <row r="23" spans="1:2" ht="28.5" customHeight="1" x14ac:dyDescent="0.35">
      <c r="A23" s="17" t="s">
        <v>175</v>
      </c>
      <c r="B23" s="18">
        <v>19</v>
      </c>
    </row>
    <row r="24" spans="1:2" ht="28.5" customHeight="1" x14ac:dyDescent="0.35">
      <c r="A24" s="17" t="s">
        <v>176</v>
      </c>
      <c r="B24" s="18">
        <v>20</v>
      </c>
    </row>
    <row r="25" spans="1:2" ht="28.5" customHeight="1" x14ac:dyDescent="0.35">
      <c r="A25" s="17" t="s">
        <v>177</v>
      </c>
      <c r="B25" s="18">
        <v>21</v>
      </c>
    </row>
    <row r="26" spans="1:2" ht="43.5" customHeight="1" x14ac:dyDescent="0.35">
      <c r="A26" s="17" t="s">
        <v>178</v>
      </c>
      <c r="B26" s="18">
        <v>22</v>
      </c>
    </row>
    <row r="27" spans="1:2" ht="29" x14ac:dyDescent="0.35">
      <c r="A27" s="17" t="s">
        <v>179</v>
      </c>
      <c r="B27" s="18">
        <v>23</v>
      </c>
    </row>
    <row r="28" spans="1:2" x14ac:dyDescent="0.35">
      <c r="A28" s="17" t="s">
        <v>180</v>
      </c>
      <c r="B28" s="18">
        <v>24</v>
      </c>
    </row>
    <row r="29" spans="1:2" ht="28.5" customHeight="1" x14ac:dyDescent="0.35">
      <c r="A29" s="17" t="s">
        <v>181</v>
      </c>
      <c r="B29" s="18">
        <v>25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zoomScaleNormal="100"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19" t="s">
        <v>182</v>
      </c>
      <c r="B1" s="19" t="s">
        <v>183</v>
      </c>
      <c r="C1" s="19" t="s">
        <v>184</v>
      </c>
    </row>
    <row r="2" spans="1:3" x14ac:dyDescent="0.35">
      <c r="A2" s="15" t="s">
        <v>4</v>
      </c>
      <c r="B2" s="15" t="s">
        <v>185</v>
      </c>
      <c r="C2" s="15" t="s">
        <v>186</v>
      </c>
    </row>
    <row r="3" spans="1:3" x14ac:dyDescent="0.35">
      <c r="A3" s="15" t="s">
        <v>5</v>
      </c>
      <c r="B3" s="15" t="s">
        <v>187</v>
      </c>
      <c r="C3" s="15" t="s">
        <v>186</v>
      </c>
    </row>
    <row r="4" spans="1:3" x14ac:dyDescent="0.35">
      <c r="A4" s="15" t="s">
        <v>6</v>
      </c>
      <c r="B4" s="15" t="s">
        <v>188</v>
      </c>
      <c r="C4" s="15" t="s">
        <v>186</v>
      </c>
    </row>
    <row r="5" spans="1:3" x14ac:dyDescent="0.35">
      <c r="A5" s="15" t="s">
        <v>7</v>
      </c>
      <c r="B5" s="15" t="s">
        <v>189</v>
      </c>
      <c r="C5" s="15" t="s">
        <v>186</v>
      </c>
    </row>
    <row r="6" spans="1:3" x14ac:dyDescent="0.35">
      <c r="A6" s="15" t="s">
        <v>9</v>
      </c>
      <c r="B6" s="15" t="s">
        <v>190</v>
      </c>
      <c r="C6" s="15" t="s">
        <v>191</v>
      </c>
    </row>
    <row r="7" spans="1:3" x14ac:dyDescent="0.35">
      <c r="A7" s="15" t="s">
        <v>12</v>
      </c>
      <c r="B7" s="15" t="s">
        <v>192</v>
      </c>
      <c r="C7" s="15" t="s">
        <v>193</v>
      </c>
    </row>
    <row r="8" spans="1:3" x14ac:dyDescent="0.35">
      <c r="A8" s="15" t="s">
        <v>14</v>
      </c>
      <c r="B8" s="15" t="s">
        <v>194</v>
      </c>
      <c r="C8" s="15" t="s">
        <v>193</v>
      </c>
    </row>
    <row r="9" spans="1:3" x14ac:dyDescent="0.35">
      <c r="A9" s="15" t="s">
        <v>17</v>
      </c>
      <c r="B9" s="15" t="s">
        <v>195</v>
      </c>
      <c r="C9" s="15" t="s">
        <v>196</v>
      </c>
    </row>
    <row r="10" spans="1:3" x14ac:dyDescent="0.35">
      <c r="A10" s="15" t="s">
        <v>18</v>
      </c>
      <c r="B10" s="15" t="s">
        <v>197</v>
      </c>
      <c r="C10" s="15" t="s">
        <v>196</v>
      </c>
    </row>
    <row r="11" spans="1:3" x14ac:dyDescent="0.35">
      <c r="A11" s="15" t="s">
        <v>24</v>
      </c>
      <c r="B11" s="15" t="s">
        <v>198</v>
      </c>
      <c r="C11" s="15" t="s">
        <v>199</v>
      </c>
    </row>
    <row r="12" spans="1:3" x14ac:dyDescent="0.35">
      <c r="A12" s="15" t="s">
        <v>25</v>
      </c>
      <c r="B12" s="15" t="s">
        <v>200</v>
      </c>
      <c r="C12" s="15" t="s">
        <v>199</v>
      </c>
    </row>
    <row r="13" spans="1:3" x14ac:dyDescent="0.35">
      <c r="A13" s="15" t="s">
        <v>8</v>
      </c>
      <c r="B13" s="15" t="s">
        <v>201</v>
      </c>
      <c r="C13" s="15" t="s">
        <v>202</v>
      </c>
    </row>
    <row r="14" spans="1:3" x14ac:dyDescent="0.35">
      <c r="A14" s="15" t="s">
        <v>10</v>
      </c>
      <c r="B14" s="15" t="s">
        <v>203</v>
      </c>
      <c r="C14" s="15" t="s">
        <v>202</v>
      </c>
    </row>
    <row r="15" spans="1:3" x14ac:dyDescent="0.35">
      <c r="A15" s="15" t="s">
        <v>11</v>
      </c>
      <c r="B15" s="15" t="s">
        <v>204</v>
      </c>
      <c r="C15" s="15" t="s">
        <v>205</v>
      </c>
    </row>
    <row r="16" spans="1:3" x14ac:dyDescent="0.35">
      <c r="A16" s="15" t="s">
        <v>206</v>
      </c>
      <c r="B16" s="15" t="s">
        <v>207</v>
      </c>
      <c r="C16" s="15" t="s">
        <v>205</v>
      </c>
    </row>
    <row r="17" spans="1:3" x14ac:dyDescent="0.35">
      <c r="A17" s="15" t="s">
        <v>208</v>
      </c>
      <c r="B17" s="15" t="s">
        <v>209</v>
      </c>
      <c r="C17" s="15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Tab_BHKW</vt:lpstr>
      <vt:lpstr>Kostenberechnung</vt:lpstr>
      <vt:lpstr>Energieträger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</cp:lastModifiedBy>
  <cp:revision>0</cp:revision>
  <dcterms:created xsi:type="dcterms:W3CDTF">2026-06-13T11:53:52Z</dcterms:created>
  <dcterms:modified xsi:type="dcterms:W3CDTF">2026-06-19T11:26:38Z</dcterms:modified>
  <dc:language>en-US</dc:language>
</cp:coreProperties>
</file>