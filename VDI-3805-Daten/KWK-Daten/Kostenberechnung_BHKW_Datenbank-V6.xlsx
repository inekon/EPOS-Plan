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6-Material-Tools,Literatur,Vorträge,Kurse\9-Software\01-WP_WaermePlan\40-Daten\KWK-Daten\"/>
    </mc:Choice>
  </mc:AlternateContent>
  <xr:revisionPtr revIDLastSave="0" documentId="13_ncr:1_{9957186B-0AFE-4CFC-B6F6-112EB4A5E4FC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Tab_BHKW" sheetId="1" r:id="rId1"/>
    <sheet name="Kostenberechnung" sheetId="2" r:id="rId2"/>
    <sheet name="Energieträger" sheetId="3" r:id="rId3"/>
    <sheet name="Legen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6" i="2" l="1"/>
  <c r="D56" i="2"/>
  <c r="C56" i="2"/>
  <c r="F55" i="2"/>
  <c r="C55" i="2"/>
  <c r="D55" i="2" s="1"/>
  <c r="F54" i="2"/>
  <c r="C54" i="2"/>
  <c r="D54" i="2" s="1"/>
  <c r="F53" i="2"/>
  <c r="C53" i="2"/>
  <c r="D53" i="2" s="1"/>
  <c r="F52" i="2"/>
  <c r="D52" i="2"/>
  <c r="C52" i="2"/>
  <c r="C48" i="2"/>
  <c r="D48" i="2" s="1"/>
  <c r="C47" i="2"/>
  <c r="D47" i="2" s="1"/>
  <c r="C46" i="2"/>
  <c r="D46" i="2" s="1"/>
  <c r="D45" i="2"/>
  <c r="C45" i="2"/>
  <c r="D44" i="2"/>
  <c r="C44" i="2"/>
  <c r="C43" i="2"/>
  <c r="D43" i="2" s="1"/>
  <c r="C42" i="2"/>
  <c r="D42" i="2" s="1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  <author>2G-Daten</author>
    <author>Dirk Engelmann</author>
  </authors>
  <commentList>
    <comment ref="I1" authorId="0" shapeId="0" xr:uid="{00000000-0006-0000-0000-000012000000}">
      <text>
        <r>
          <rPr>
            <sz val="10"/>
            <rFont val="Arial"/>
            <family val="2"/>
          </rPr>
          <t>Berechnet im Blatt 'Kostenberechnung' (ASUE-Interpolation × Preisfaktor).</t>
        </r>
      </text>
    </comment>
    <comment ref="K1" authorId="0" shapeId="0" xr:uid="{00000000-0006-0000-0000-00001A000000}">
      <text>
        <r>
          <rPr>
            <sz val="10"/>
            <rFont val="Arial"/>
            <family val="2"/>
          </rPr>
          <t>Vollwartung in €/kWhel; berechnet im Blatt 'Kostenberechnung'.</t>
        </r>
      </text>
    </comment>
    <comment ref="J15" authorId="1" shapeId="0" xr:uid="{00000000-0006-0000-0000-000013000000}">
      <text>
        <r>
          <rPr>
            <sz val="10"/>
            <rFont val="Arial"/>
            <family val="2"/>
          </rPr>
          <t>Modullaenge im Datenblatt nicht lesbar -&gt; Grundflaeche nicht ermittelbar</t>
        </r>
      </text>
    </comment>
    <comment ref="M17" authorId="0" shapeId="0" xr:uid="{00000000-0006-0000-0000-00001B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18" authorId="0" shapeId="0" xr:uid="{00000000-0006-0000-0000-00001C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19" authorId="0" shapeId="0" xr:uid="{00000000-0006-0000-0000-00001D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0" authorId="0" shapeId="0" xr:uid="{00000000-0006-0000-0000-00001E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1" authorId="0" shapeId="0" xr:uid="{00000000-0006-0000-0000-00001F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2" authorId="0" shapeId="0" xr:uid="{00000000-0006-0000-0000-000020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3" authorId="0" shapeId="0" xr:uid="{00000000-0006-0000-0000-000021000000}">
      <text>
        <r>
          <rPr>
            <sz val="10"/>
            <rFont val="Arial"/>
            <family val="2"/>
          </rPr>
          <t>XRGI 25: Emissionen im Datenblatt nur in kg/MWh angegeben; XRGI 15 BIOGENIC: CO &lt; TA-Luft</t>
        </r>
      </text>
    </comment>
    <comment ref="B24" authorId="0" shapeId="0" xr:uid="{00000000-0006-0000-0000-000001000000}">
      <text>
        <r>
          <rPr>
            <sz val="10"/>
            <rFont val="Arial"/>
            <family val="2"/>
          </rPr>
          <t>el. Wirkungsgrad wg. Degradation nicht fest ausgewiesen; VL/RL = Auslegungspunkt 67/30 C</t>
        </r>
      </text>
    </comment>
    <comment ref="B25" authorId="0" shapeId="0" xr:uid="{00000000-0006-0000-0000-000002000000}">
      <text>
        <r>
          <rPr>
            <sz val="10"/>
            <rFont val="Arial"/>
            <family val="2"/>
          </rPr>
          <t>Wirkungsgrad = Herstellerangabe (ErP); andere Hersteller teils Hi-bezogen</t>
        </r>
      </text>
    </comment>
    <comment ref="B26" authorId="0" shapeId="0" xr:uid="{00000000-0006-0000-0000-000003000000}">
      <text>
        <r>
          <rPr>
            <sz val="10"/>
            <rFont val="Arial"/>
            <family val="2"/>
          </rPr>
          <t>el. Wirkungsgrad Hi; Wartungsintervall 9000 Bh</t>
        </r>
      </text>
    </comment>
    <comment ref="B27" authorId="0" shapeId="0" xr:uid="{00000000-0006-0000-0000-000004000000}">
      <text>
        <r>
          <rPr>
            <sz val="10"/>
            <rFont val="Arial"/>
            <family val="2"/>
          </rPr>
          <t>el. Wirkungsgrad Hi (Stufe 3); Wartungsintervall 7000-11000 Bh</t>
        </r>
      </text>
    </comment>
    <comment ref="B28" authorId="0" shapeId="0" xr:uid="{00000000-0006-0000-0000-000005000000}">
      <text>
        <r>
          <rPr>
            <sz val="10"/>
            <rFont val="Arial"/>
            <family val="2"/>
          </rPr>
          <t>Englisches Datenblatt desselben Geraets (Dachs Gen2 G5.5)</t>
        </r>
      </text>
    </comment>
    <comment ref="B29" authorId="0" shapeId="0" xr:uid="{00000000-0006-0000-0000-000006000000}">
      <text>
        <r>
          <rPr>
            <sz val="10"/>
            <rFont val="Arial"/>
            <family val="2"/>
          </rPr>
          <t>el. Wirkungsgrad Hi 37,7%; Zusatz-Brennwertkessel 4,8-20 kW (26 kW WW)</t>
        </r>
      </text>
    </comment>
    <comment ref="B30" authorId="0" shapeId="0" xr:uid="{00000000-0006-0000-0000-000007000000}">
      <text>
        <r>
          <rPr>
            <sz val="10"/>
            <rFont val="Arial"/>
            <family val="2"/>
          </rPr>
          <t>Pel 10-20 kW, Pth 29-44 kW (Maximalwerte); Gewicht 807 kg</t>
        </r>
      </text>
    </comment>
    <comment ref="B31" authorId="2" shapeId="0" xr:uid="{00000000-0006-0000-0000-000008000000}">
      <text>
        <r>
          <rPr>
            <sz val="10"/>
            <rFont val="Arial"/>
            <family val="2"/>
          </rPr>
          <t>Dirk Engelmann:
Quelle: 2G/MTU Technisches Datenblatt TD_0431_L64_1519_50_500_DE_SI V2 (P003520413), 25.06.2021. Werte bei 100% Last.</t>
        </r>
      </text>
    </comment>
    <comment ref="E31" authorId="2" shapeId="0" xr:uid="{00000000-0006-0000-0000-00000E000000}">
      <text>
        <r>
          <rPr>
            <sz val="10"/>
            <rFont val="Arial"/>
            <family val="2"/>
          </rPr>
          <t>Dirk Engelmann:
Thermische Leistung gesamt bei Auslegungstemp. (Tol. +/-8%)</t>
        </r>
      </text>
    </comment>
    <comment ref="J31" authorId="2" shapeId="0" xr:uid="{00000000-0006-0000-0000-000014000000}">
      <text>
        <r>
          <rPr>
            <sz val="10"/>
            <rFont val="Arial"/>
            <family val="2"/>
          </rPr>
          <t>Dirk Engelmann:
Grundflaeche aus Aggregatabmessungen L~4800 x B~1900 mm</t>
        </r>
      </text>
    </comment>
    <comment ref="M31" authorId="2" shapeId="0" xr:uid="{00000000-0006-0000-0000-000022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1" authorId="2" shapeId="0" xr:uid="{00000000-0006-0000-0000-000028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2" authorId="2" shapeId="0" xr:uid="{00000000-0006-0000-0000-000009000000}">
      <text>
        <r>
          <rPr>
            <sz val="10"/>
            <rFont val="Arial"/>
            <family val="2"/>
          </rPr>
          <t>Dirk Engelmann:
Quelle: 2G/MTU Technisches Datenblatt (P003520447). Werte bei 100% Last.</t>
        </r>
      </text>
    </comment>
    <comment ref="J32" authorId="2" shapeId="0" xr:uid="{00000000-0006-0000-0000-000015000000}">
      <text>
        <r>
          <rPr>
            <sz val="10"/>
            <rFont val="Arial"/>
            <family val="2"/>
          </rPr>
          <t>Dirk Engelmann:
Grundflaeche aus Aggregatabmessungen L~5500 x B~2100 mm</t>
        </r>
      </text>
    </comment>
    <comment ref="M32" authorId="2" shapeId="0" xr:uid="{00000000-0006-0000-0000-000023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2" authorId="2" shapeId="0" xr:uid="{00000000-0006-0000-0000-000029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3" authorId="2" shapeId="0" xr:uid="{00000000-0006-0000-0000-00000A000000}">
      <text>
        <r>
          <rPr>
            <sz val="10"/>
            <rFont val="Arial"/>
            <family val="2"/>
          </rPr>
          <t>Dirk Engelmann:
Quelle: 2G/MTU Technisches Datenblatt (P003520557). Werte bei 100% Last.</t>
        </r>
      </text>
    </comment>
    <comment ref="J33" authorId="2" shapeId="0" xr:uid="{00000000-0006-0000-0000-000016000000}">
      <text>
        <r>
          <rPr>
            <sz val="10"/>
            <rFont val="Arial"/>
            <family val="2"/>
          </rPr>
          <t>Dirk Engelmann:
Grundflaeche aus Aggregatabmessungen L~6200 x B~2100 mm</t>
        </r>
      </text>
    </comment>
    <comment ref="M33" authorId="2" shapeId="0" xr:uid="{00000000-0006-0000-0000-000024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3" authorId="2" shapeId="0" xr:uid="{00000000-0006-0000-0000-00002A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4" authorId="2" shapeId="0" xr:uid="{00000000-0006-0000-0000-00000B000000}">
      <text>
        <r>
          <rPr>
            <sz val="10"/>
            <rFont val="Arial"/>
            <family val="2"/>
          </rPr>
          <t>Dirk Engelmann:
Quelle: 2G Technisches Datenblatt avus 1000plus (P003521036). Werte bei 100% Last. Hinweis: abweichende Neuspezifikation zur bestehenden Zeile 14.</t>
        </r>
      </text>
    </comment>
    <comment ref="E34" authorId="2" shapeId="0" xr:uid="{00000000-0006-0000-0000-00000F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4" authorId="2" shapeId="0" xr:uid="{00000000-0006-0000-0000-000017000000}">
      <text>
        <r>
          <rPr>
            <sz val="10"/>
            <rFont val="Arial"/>
            <family val="2"/>
          </rPr>
          <t>Dirk Engelmann:
Grundflaeche Modul L 6295 x B 1675 mm (ohne Schaltschraenke)</t>
        </r>
      </text>
    </comment>
    <comment ref="M34" authorId="2" shapeId="0" xr:uid="{00000000-0006-0000-0000-000025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4" authorId="2" shapeId="0" xr:uid="{00000000-0006-0000-0000-00002B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  <comment ref="B35" authorId="2" shapeId="0" xr:uid="{00000000-0006-0000-0000-00000C000000}">
      <text>
        <r>
          <rPr>
            <sz val="10"/>
            <rFont val="Arial"/>
            <family val="2"/>
          </rPr>
          <t>Dirk Engelmann:
Quelle: 2G Technisches Datenblatt avus 500plus (P003521147). Werte bei 100% Last. Hinweis: abweichende Neuspezifikation zur bestehenden Zeile 16.</t>
        </r>
      </text>
    </comment>
    <comment ref="E35" authorId="2" shapeId="0" xr:uid="{00000000-0006-0000-0000-000010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5" authorId="2" shapeId="0" xr:uid="{00000000-0006-0000-0000-000018000000}">
      <text>
        <r>
          <rPr>
            <sz val="10"/>
            <rFont val="Arial"/>
            <family val="2"/>
          </rPr>
          <t>Dirk Engelmann:
Grundflaeche Modul L 4545 x B 1310 mm (ohne Schaltschraenke)</t>
        </r>
      </text>
    </comment>
    <comment ref="M35" authorId="2" shapeId="0" xr:uid="{00000000-0006-0000-0000-000026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5" authorId="2" shapeId="0" xr:uid="{00000000-0006-0000-0000-00002C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  <comment ref="B36" authorId="2" shapeId="0" xr:uid="{00000000-0006-0000-0000-00000D000000}">
      <text>
        <r>
          <rPr>
            <sz val="10"/>
            <rFont val="Arial"/>
            <family val="2"/>
          </rPr>
          <t>Dirk Engelmann:
Quelle: 2G Technisches Datenblatt avus 416plus (P003521084). Werte bei 100% Last.</t>
        </r>
      </text>
    </comment>
    <comment ref="E36" authorId="2" shapeId="0" xr:uid="{00000000-0006-0000-0000-000011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6" authorId="2" shapeId="0" xr:uid="{00000000-0006-0000-0000-000019000000}">
      <text>
        <r>
          <rPr>
            <sz val="10"/>
            <rFont val="Arial"/>
            <family val="2"/>
          </rPr>
          <t>Dirk Engelmann:
Grundflaeche Modul L 5505 x B 1675 mm (ohne Schaltschraenke)</t>
        </r>
      </text>
    </comment>
    <comment ref="M36" authorId="2" shapeId="0" xr:uid="{00000000-0006-0000-0000-000027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6" authorId="2" shapeId="0" xr:uid="{00000000-0006-0000-0000-00002D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</commentList>
</comments>
</file>

<file path=xl/sharedStrings.xml><?xml version="1.0" encoding="utf-8"?>
<sst xmlns="http://schemas.openxmlformats.org/spreadsheetml/2006/main" count="305" uniqueCount="233">
  <si>
    <t>ID</t>
  </si>
  <si>
    <t>Bezeichner</t>
  </si>
  <si>
    <t>Firma</t>
  </si>
  <si>
    <t>Beschreibung</t>
  </si>
  <si>
    <t>Ptherm</t>
  </si>
  <si>
    <t>Pel</t>
  </si>
  <si>
    <t>Brennstoff</t>
  </si>
  <si>
    <t>Wirkungsgrad</t>
  </si>
  <si>
    <t>Investition_kwel</t>
  </si>
  <si>
    <t>Raumbedarf</t>
  </si>
  <si>
    <t>Wartungskosten_kwhel</t>
  </si>
  <si>
    <t>Nutzungsdauer</t>
  </si>
  <si>
    <t>NOX</t>
  </si>
  <si>
    <t>SO2</t>
  </si>
  <si>
    <t>CO</t>
  </si>
  <si>
    <t>CO2</t>
  </si>
  <si>
    <t>Staub</t>
  </si>
  <si>
    <t>Motortyp</t>
  </si>
  <si>
    <t>Grenzleistung</t>
  </si>
  <si>
    <t>Kosten_Modul</t>
  </si>
  <si>
    <t>Kosten_Montage</t>
  </si>
  <si>
    <t>Kosten_Lieferung</t>
  </si>
  <si>
    <t>Kosten_Schallschutzhaube</t>
  </si>
  <si>
    <t>Kosten_Abgasreinigung</t>
  </si>
  <si>
    <t>Vorlauf</t>
  </si>
  <si>
    <t>Ruecklauf</t>
  </si>
  <si>
    <t>Agenitor 404 BG | bt135-0</t>
  </si>
  <si>
    <t>2G Energy AG</t>
  </si>
  <si>
    <t>BHKW-Modul, Biogas (50% CH4), 100 kWel</t>
  </si>
  <si>
    <t>agenitor 404 BG | bt135</t>
  </si>
  <si>
    <t>Agenitor 404 EG | ct80-1</t>
  </si>
  <si>
    <t>BHKW-Modul, Erdgas, 160 kWel</t>
  </si>
  <si>
    <t>agenitor 404 EG | ct80</t>
  </si>
  <si>
    <t>Agenitor 404c pure H2 | ct0-0</t>
  </si>
  <si>
    <t>BHKW-Modul, 100% Wasserstoff, 115 kWel</t>
  </si>
  <si>
    <t>agenitor 404 pure H2 | ct0</t>
  </si>
  <si>
    <t>Agenitor 406 BG | ct135-1</t>
  </si>
  <si>
    <t>BHKW-Modul, Biogas (50% CH4), 250 kWel</t>
  </si>
  <si>
    <t>agenitor 406 BG | ct135</t>
  </si>
  <si>
    <t>Agenitor 406 EG | ct80-1</t>
  </si>
  <si>
    <t>BHKW-Modul, Erdgas, 250 kWel</t>
  </si>
  <si>
    <t>agenitor 406 EG | ct80</t>
  </si>
  <si>
    <t>Agenitor 406 pure H2 | ct0-0</t>
  </si>
  <si>
    <t>BHKW-Modul, 100% Wasserstoff, 170 kWel</t>
  </si>
  <si>
    <t>agenitor 406 pure H2 | ct0</t>
  </si>
  <si>
    <t>Agenitor 408 BG | ct135-1</t>
  </si>
  <si>
    <t>BHKW-Modul, Biogas (50% CH4), 360 kWel</t>
  </si>
  <si>
    <t>agenitor 408 BG | ct135</t>
  </si>
  <si>
    <t>Agenitor 408 BG | ct135-0</t>
  </si>
  <si>
    <t>Agenitor 408 EG | ct80-1</t>
  </si>
  <si>
    <t>BHKW-Modul, Erdgas, 360 kWel</t>
  </si>
  <si>
    <t>agenitor 408 EG | ct80</t>
  </si>
  <si>
    <t>Agenitor 408 pure H2 | ct0-0</t>
  </si>
  <si>
    <t>BHKW-Modul, 100% Wasserstoff, 240 kWel</t>
  </si>
  <si>
    <t>agenitor 408 pure H2 | ct0</t>
  </si>
  <si>
    <t>Agenitor 412 BG | ct135-B-1</t>
  </si>
  <si>
    <t>BHKW-Modul, Biogas (50% CH4), 500 kWel</t>
  </si>
  <si>
    <t>agenitor 412 BG | ct135-B</t>
  </si>
  <si>
    <t>Agenitor 412 EG | ct70-1</t>
  </si>
  <si>
    <t>BHKW-Modul, Erdgas, 450 kWel</t>
  </si>
  <si>
    <t>agenitor 412 EG | ct70</t>
  </si>
  <si>
    <t>Agenitor 420 EG | ct70-1 (avus 1000plus)</t>
  </si>
  <si>
    <t>BHKW-Modul, Erdgas, 999 kWel</t>
  </si>
  <si>
    <t>agenitor 420 EG | ct70</t>
  </si>
  <si>
    <t>Agenitor 420 H2 | ct0-0</t>
  </si>
  <si>
    <t>BHKW-Modul, 100% Wasserstoff, 750 kWel</t>
  </si>
  <si>
    <t>agenitor 420 H2 | ct0</t>
  </si>
  <si>
    <t>avus 500plus EG</t>
  </si>
  <si>
    <t>BHKW-Modul, Erdgas, 550 kWel</t>
  </si>
  <si>
    <t>avus 500plus EG (V-Motor)</t>
  </si>
  <si>
    <t>EC-POWER XRGI 6</t>
  </si>
  <si>
    <t>EC POWER A/S</t>
  </si>
  <si>
    <t>BHKW (Power Unit), Erdgas, 6,0 kWel</t>
  </si>
  <si>
    <t>EC-POWER XRGI 6 LowNOx</t>
  </si>
  <si>
    <t>BHKW (Power Unit), Erdgas, Low-NOx, 6,0 kWel</t>
  </si>
  <si>
    <t>EC-POWER XRGI 9</t>
  </si>
  <si>
    <t>BHKW (Power Unit), Erdgas, 9,0 kWel</t>
  </si>
  <si>
    <t>EC-POWER XRGI 15</t>
  </si>
  <si>
    <t>BHKW (Power Unit), Erdgas, 14,5 kWel</t>
  </si>
  <si>
    <t>EC-POWER XRGI 15 BIOGENIC</t>
  </si>
  <si>
    <t>BHKW (Power Unit), Biogas, 14,5 kWel</t>
  </si>
  <si>
    <t>EC-POWER XRGI 20</t>
  </si>
  <si>
    <t>BHKW (Power Unit), Erdgas, 20,0 kWel</t>
  </si>
  <si>
    <t>EC-POWER XRGI 25</t>
  </si>
  <si>
    <t>BHKW (Power Unit), Erdgas, 24,0 kWel</t>
  </si>
  <si>
    <t>SenerTec Dachs 0.8 GenD</t>
  </si>
  <si>
    <t>SenerTec GmbH</t>
  </si>
  <si>
    <t>Brennstoffzellen-Heizgeraet (PEM), Erdgas + bis 20% H2</t>
  </si>
  <si>
    <t>PEM-Brennstoffzelle</t>
  </si>
  <si>
    <t>SenerTec Dachs Gen1.1 G5.5</t>
  </si>
  <si>
    <t>BHKW, Erdgas, 5,5 kWel (auch F5.5 Fluessiggas / HR5.3 Heizoel)</t>
  </si>
  <si>
    <t>Verbrennungsmotor (Magermotor)</t>
  </si>
  <si>
    <t>SenerTec Dachs Gen2 2.9 (G2.9)</t>
  </si>
  <si>
    <t>BHKW, Erdgas, 2,85 kWel (auch F3.0 Fluessiggas)</t>
  </si>
  <si>
    <t>Verbrennungsmotor (Otto)</t>
  </si>
  <si>
    <t>SenerTec Dachs Gen2 5.5 (G5.5)</t>
  </si>
  <si>
    <t>BHKW, Erdgas, 5,5 kWel (auch F5.5 Fluessiggas)</t>
  </si>
  <si>
    <t>SenerTec Dachs Gen2 G5.5 (EN)</t>
  </si>
  <si>
    <t>BHKW, Erdgas, 5,5 kWel - engl. Datenblatt, identisch mit Dachs Gen2 5.5</t>
  </si>
  <si>
    <t>SenerTec Dachs InnoGen</t>
  </si>
  <si>
    <t>Brennstoffzellen-Heizgeraet (PEM), Erdgas</t>
  </si>
  <si>
    <t>SenerTec Dachs Pro 20 (G20.0)</t>
  </si>
  <si>
    <t>BHKW, Erdgas, 10-20 kWel (auch F20.0 Fluessiggas)</t>
  </si>
  <si>
    <t>avus 1200e | 12V4000L64FNER</t>
  </si>
  <si>
    <t>BHKW-Modul, Erdgas, 1519 kWel</t>
  </si>
  <si>
    <t>12V4000L64FNER</t>
  </si>
  <si>
    <t>avus 1600e | 16V4000L64FNER</t>
  </si>
  <si>
    <t>BHKW-Modul, Erdgas, 2032 kWel</t>
  </si>
  <si>
    <t>16V4000L64FNER</t>
  </si>
  <si>
    <t>avus 2000e | 20V4000L64FNER</t>
  </si>
  <si>
    <t>BHKW-Modul, Erdgas, 2547 kWel</t>
  </si>
  <si>
    <t>20V4000L64FNER TR</t>
  </si>
  <si>
    <t>avus 1000plus | ct80-0</t>
  </si>
  <si>
    <t>BHKW-Modul, Erdgas, 1035 kWel</t>
  </si>
  <si>
    <t>agenitor 420</t>
  </si>
  <si>
    <t>avus 500plus | ct80-B-0</t>
  </si>
  <si>
    <t>BHKW-Modul, Erdgas, 600 kWel</t>
  </si>
  <si>
    <t>agenitor 412</t>
  </si>
  <si>
    <t>avus 416plus | ct80-0</t>
  </si>
  <si>
    <t>BHKW-Modul, Erdgas, 800 kWel</t>
  </si>
  <si>
    <t>agenitor 416</t>
  </si>
  <si>
    <t>Kostenberechnung – Investition &amp; Wartung (Interpolation, an Stichproben kalibriert)</t>
  </si>
  <si>
    <t>Modell: Potenzfunktion  Wert = Preisfaktor × a × Pel^b   |   a, b an aktuelle Marktstichproben (2025/26) angepasst</t>
  </si>
  <si>
    <t>Preisfaktor (global, anpassbar)</t>
  </si>
  <si>
    <t>1,00 = Stichproben-kalibriertes Niveau 2025/26</t>
  </si>
  <si>
    <t>Modell-Koeffizienten (verwendet)</t>
  </si>
  <si>
    <t>Funktion</t>
  </si>
  <si>
    <t>a</t>
  </si>
  <si>
    <t>b</t>
  </si>
  <si>
    <t>Einheit</t>
  </si>
  <si>
    <t>Herkunft</t>
  </si>
  <si>
    <t>Investition Erdgas / Gas</t>
  </si>
  <si>
    <t>€/kWel</t>
  </si>
  <si>
    <t>Fit an Stichproben, R²=0,93</t>
  </si>
  <si>
    <t>Investition Biogas</t>
  </si>
  <si>
    <t>ASUE (keine Biogas-Stichprobe)</t>
  </si>
  <si>
    <t>Wartung Erdgas / Gas</t>
  </si>
  <si>
    <t>ct/kWhel</t>
  </si>
  <si>
    <t>Fit an Stichproben, R²=0,97</t>
  </si>
  <si>
    <t>Wartung Biogas</t>
  </si>
  <si>
    <t>Zuschläge / Sonderfälle</t>
  </si>
  <si>
    <t>H2-Aufschlag Investition (Faktor)</t>
  </si>
  <si>
    <t>H2-Aufschlag Wartung (Faktor)</t>
  </si>
  <si>
    <t>Brennstoffzelle Investition</t>
  </si>
  <si>
    <t>Brennstoffzelle Wartung</t>
  </si>
  <si>
    <t>ASUE-Referenz 2011 (Basis 87/127 Anlagen): Invest Erdgas 9332,6·p^-0,461 | Biogas 15648·p^-0,536 | Wartung Erdgas 2,8046·p^-0,174 | Biogas 17,053·p^-0,478</t>
  </si>
  <si>
    <t>Interpolations-/Stützstellentabelle (aus Koeffizienten berechnet)</t>
  </si>
  <si>
    <t>Pel [kWel]</t>
  </si>
  <si>
    <t>Invest Erdgas [€/kWel]</t>
  </si>
  <si>
    <t>Invest Biogas [€/kWel]</t>
  </si>
  <si>
    <t>Wartung Erdgas [€/kWhel]</t>
  </si>
  <si>
    <t>Wartung Biogas [€/kWhel]</t>
  </si>
  <si>
    <t>Stichproben Investition (Erdgas) – Markt 2025/26</t>
  </si>
  <si>
    <t>Stichprobe [€/kWel]</t>
  </si>
  <si>
    <t>Modell [€/kWel]</t>
  </si>
  <si>
    <t>Abw.</t>
  </si>
  <si>
    <t>Quelle</t>
  </si>
  <si>
    <t>EFH-Stromheizung 7–15k €/kW o. Inst. (heizungsfinder)</t>
  </si>
  <si>
    <t>Nano-BHKW 22k € / 2 kW (ihr-bhkw)</t>
  </si>
  <si>
    <t>Angebot 28k € / 4 kW (ihr-bhkw)</t>
  </si>
  <si>
    <t>Erdgas 30 kW ~1.700 €/kW (heizungsfinder)</t>
  </si>
  <si>
    <t>Sokratherm GG50 schlüsselfertig 190k € – Projekt (nicht im Fit)</t>
  </si>
  <si>
    <t>Erdgas 250 kW ~180k € (heizungsfinder/ihr-bhkw)</t>
  </si>
  <si>
    <t>Erdgas 500 kW 500–600 €/kW</t>
  </si>
  <si>
    <t>Stichproben Wartung/Vollwartung (Erdgas) – Markt 2025/26</t>
  </si>
  <si>
    <t>Stichprobe [ct/kWhel]</t>
  </si>
  <si>
    <t>Modell [ct/kWhel]</t>
  </si>
  <si>
    <t>Stichprobe [€/kWhel]</t>
  </si>
  <si>
    <t>Nano ≤2,5 kW: 2–3 ct (ihr-bhkw)</t>
  </si>
  <si>
    <t>Mikro 2,5–15 kW: 1,5–2,5 ct (ihr-bhkw)</t>
  </si>
  <si>
    <t>~30 kW ~1,4 ct (ihr-bhkw/bhkw-ratgeber)</t>
  </si>
  <si>
    <t>Mini 15–50 kW: 1–1,5 ct (ihr-bhkw)</t>
  </si>
  <si>
    <t>MW-Klasse ~0,8–1 ct (kwk-flexperten)</t>
  </si>
  <si>
    <t>Bewertung: Die ASUE-Funktionen (2011) liegen für mittlere/große BHKW (≥100 kW) und für die Wartung weiterhin auf Markt-Niveau 2025/26.</t>
  </si>
  <si>
    <t>Für Klein-BHKW (&lt;15 kW) unterschätzte die ASUE-Kurve die Preise; die hier verwendete Funktion ist an die Stichproben nachgefittet (steilerer Exponent).</t>
  </si>
  <si>
    <t>Investition = Modul inkl. Schalldämpfung, Kat., Schaltschrank, Lüftung, Transport/Montage, Inbetriebnahme (ohne Spitzenlastkessel).</t>
  </si>
  <si>
    <t>Quellen Stichproben: heizungsfinder.de, ihr-bhkw.de, bhkw-ratgeber.de, kwk-flexperten.net, Sokratherm (Projektbeispiel); Funktionsbasis: ASUE/BHKW-Infozentrum BHKW-Kenndaten.</t>
  </si>
  <si>
    <t>Gelbe Zellen sind anpassbar – Stützstellentabelle, Diagramme und Tab_BHKW rechnen automatisch nach.</t>
  </si>
  <si>
    <t>Energieträger</t>
  </si>
  <si>
    <t>Nummer</t>
  </si>
  <si>
    <t>Name</t>
  </si>
  <si>
    <t>Stadtgas</t>
  </si>
  <si>
    <t>Erdgas LL</t>
  </si>
  <si>
    <t>Erdgas E</t>
  </si>
  <si>
    <t>Flüssiggas (Propan)</t>
  </si>
  <si>
    <t>Flüssiggas (Butan)</t>
  </si>
  <si>
    <t>Heizöl S</t>
  </si>
  <si>
    <t>Heizöl M</t>
  </si>
  <si>
    <t>Heizöl L</t>
  </si>
  <si>
    <t>Heizöl EL</t>
  </si>
  <si>
    <t>Koks</t>
  </si>
  <si>
    <t>Kohle</t>
  </si>
  <si>
    <t>Holz</t>
  </si>
  <si>
    <t>Elektrische Energie</t>
  </si>
  <si>
    <t>Biogas</t>
  </si>
  <si>
    <t>Pellets</t>
  </si>
  <si>
    <t>Rapsöl</t>
  </si>
  <si>
    <t>Tierische Fette</t>
  </si>
  <si>
    <t>Heizöl Bio 5</t>
  </si>
  <si>
    <t>Heizöl Bio 10</t>
  </si>
  <si>
    <t>Heizöl Bio 15</t>
  </si>
  <si>
    <t>Heizöl Bio 20</t>
  </si>
  <si>
    <t>Heizöl EL schwefelarm</t>
  </si>
  <si>
    <t>Fernwärme</t>
  </si>
  <si>
    <t>Sonstige</t>
  </si>
  <si>
    <t>Wasserstoff</t>
  </si>
  <si>
    <t>Feld</t>
  </si>
  <si>
    <t>Einheit / Bedeutung</t>
  </si>
  <si>
    <t>Nutzbare therm. Leistung bei 100% Last (kW)</t>
  </si>
  <si>
    <t>2G Technical Specification</t>
  </si>
  <si>
    <t>Elektrische Leistung bei 100% Last (kW)</t>
  </si>
  <si>
    <t>Brennstoffart (Erdgas / Biogas 50% CH4 / Wasserstoff)</t>
  </si>
  <si>
    <t>Elektrischer Wirkungsgrad bei 100% Last (%)</t>
  </si>
  <si>
    <t>Modul-Grundflaeche = Laenge x Breite (m2)</t>
  </si>
  <si>
    <t>2G Technical Specification, Kap. 8.1</t>
  </si>
  <si>
    <t>NOx-Emission, mit Katalysator (mg/Nm3, 5% O2)</t>
  </si>
  <si>
    <t>2G Technical Specification, Kap. 1.2</t>
  </si>
  <si>
    <t>CO-Emission, mit Katalysator (mg/Nm3, 5% O2)</t>
  </si>
  <si>
    <t>Motortyp-Bezeichnung</t>
  </si>
  <si>
    <t>2G Technical Specification, Kap. 1.3</t>
  </si>
  <si>
    <t>ISO-Standardleistung mechanisch (kW)</t>
  </si>
  <si>
    <t>Heizwasser-Vorlauftemperatur max (degC)</t>
  </si>
  <si>
    <t>2G Technical Specification, Kap. 3.1</t>
  </si>
  <si>
    <t>Heizwasser-Ruecklauftemperatur max (degC)</t>
  </si>
  <si>
    <t>Spez. Investition (€/kWel), interpoliert – Blatt 'Kostenberechnung'</t>
  </si>
  <si>
    <t>ASUE-Funktion, an Marktstichproben 2025/26 kalibriert – Blatt 'Kostenberechnung'</t>
  </si>
  <si>
    <t>Spez. Vollwartungskosten (€/kWhel), interpoliert – Blatt 'Kostenberechnung'</t>
  </si>
  <si>
    <t>Nutzungsdauer - nicht im Datenblatt enthalten</t>
  </si>
  <si>
    <t>-</t>
  </si>
  <si>
    <t>SO2 / CO2 / Staub</t>
  </si>
  <si>
    <t>Emissionen - nicht im Datenblatt angegeben</t>
  </si>
  <si>
    <t>Kosten_*</t>
  </si>
  <si>
    <t>Kostenpositionen - nicht im Datenblatt enthalten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</si>
</sst>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+0%;\-0%"/>
  </numFmts>
  <fonts count="10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3"/>
      <color rgb="FF1F4E78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1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0C0C0"/>
        <bgColor rgb="FFBFBFB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2" fillId="2" borderId="1" xfId="0" applyFont="1" applyFill="1" applyBorder="1"/>
    <xf numFmtId="2" fontId="3" fillId="0" borderId="1" xfId="0" applyNumberFormat="1" applyFont="1" applyBorder="1"/>
    <xf numFmtId="0" fontId="9" fillId="4" borderId="2" xfId="1" applyFont="1" applyFill="1" applyBorder="1" applyAlignment="1">
      <alignment horizontal="center"/>
    </xf>
    <xf numFmtId="0" fontId="9" fillId="0" borderId="3" xfId="1" applyFont="1" applyBorder="1" applyAlignment="1">
      <alignment wrapText="1"/>
    </xf>
    <xf numFmtId="0" fontId="9" fillId="0" borderId="3" xfId="1" applyFont="1" applyBorder="1" applyAlignment="1">
      <alignment horizontal="right" wrapText="1"/>
    </xf>
    <xf numFmtId="0" fontId="2" fillId="2" borderId="0" xfId="0" applyFont="1" applyFill="1"/>
    <xf numFmtId="0" fontId="3" fillId="0" borderId="0" xfId="0" applyFont="1"/>
  </cellXfs>
  <cellStyles count="2">
    <cellStyle name="Standard" xfId="0" builtinId="0"/>
    <cellStyle name="Standard_Energieträger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Investition spez. – Modellkurve vs. Stichproben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Kostenberechnung!$B$23</c:f>
              <c:strCache>
                <c:ptCount val="1"/>
                <c:pt idx="0">
                  <c:v>Invest Erdgas [€/kWel]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Kostenberechnung!$A$24:$A$38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250</c:v>
                </c:pt>
                <c:pt idx="8">
                  <c:v>360</c:v>
                </c:pt>
                <c:pt idx="9">
                  <c:v>500</c:v>
                </c:pt>
                <c:pt idx="10">
                  <c:v>750</c:v>
                </c:pt>
                <c:pt idx="11">
                  <c:v>1000</c:v>
                </c:pt>
                <c:pt idx="12">
                  <c:v>1500</c:v>
                </c:pt>
                <c:pt idx="13">
                  <c:v>2000</c:v>
                </c:pt>
                <c:pt idx="14">
                  <c:v>2547</c:v>
                </c:pt>
              </c:numCache>
            </c:numRef>
          </c:xVal>
          <c:yVal>
            <c:numRef>
              <c:f>Kostenberechnung!$B$24:$B$38</c:f>
              <c:numCache>
                <c:formatCode>#,##0</c:formatCode>
                <c:ptCount val="15"/>
                <c:pt idx="0">
                  <c:v>12841.8</c:v>
                </c:pt>
                <c:pt idx="1">
                  <c:v>5570.0676472806754</c:v>
                </c:pt>
                <c:pt idx="2">
                  <c:v>3887.1016860991344</c:v>
                </c:pt>
                <c:pt idx="3">
                  <c:v>2712.6348322629919</c:v>
                </c:pt>
                <c:pt idx="4">
                  <c:v>1686.0112556986521</c:v>
                </c:pt>
                <c:pt idx="5">
                  <c:v>1176.5920290048693</c:v>
                </c:pt>
                <c:pt idx="6">
                  <c:v>921.90810023956544</c:v>
                </c:pt>
                <c:pt idx="7">
                  <c:v>731.29909734757814</c:v>
                </c:pt>
                <c:pt idx="8">
                  <c:v>605.20833977261384</c:v>
                </c:pt>
                <c:pt idx="9">
                  <c:v>510.34101098041936</c:v>
                </c:pt>
                <c:pt idx="10">
                  <c:v>413.49389913433697</c:v>
                </c:pt>
                <c:pt idx="11">
                  <c:v>356.14422119918015</c:v>
                </c:pt>
                <c:pt idx="12">
                  <c:v>288.55894296031977</c:v>
                </c:pt>
                <c:pt idx="13">
                  <c:v>248.5371615538007</c:v>
                </c:pt>
                <c:pt idx="14">
                  <c:v>219.22843290509252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13-4159-9352-A49B5B0F2996}"/>
            </c:ext>
          </c:extLst>
        </c:ser>
        <c:ser>
          <c:idx val="1"/>
          <c:order val="1"/>
          <c:tx>
            <c:strRef>
              <c:f>Kostenberechnung!$B$41</c:f>
              <c:strCache>
                <c:ptCount val="1"/>
                <c:pt idx="0">
                  <c:v>Stichprobe [€/kWel]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Kostenberechnung!$A$42:$A$48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30</c:v>
                </c:pt>
                <c:pt idx="4">
                  <c:v>50</c:v>
                </c:pt>
                <c:pt idx="5">
                  <c:v>250</c:v>
                </c:pt>
                <c:pt idx="6">
                  <c:v>500</c:v>
                </c:pt>
              </c:numCache>
            </c:numRef>
          </c:xVal>
          <c:yVal>
            <c:numRef>
              <c:f>Kostenberechnung!$B$42:$B$48</c:f>
              <c:numCache>
                <c:formatCode>#,##0</c:formatCode>
                <c:ptCount val="7"/>
                <c:pt idx="0">
                  <c:v>11000</c:v>
                </c:pt>
                <c:pt idx="1">
                  <c:v>11000</c:v>
                </c:pt>
                <c:pt idx="2">
                  <c:v>7000</c:v>
                </c:pt>
                <c:pt idx="3">
                  <c:v>1700</c:v>
                </c:pt>
                <c:pt idx="4">
                  <c:v>3800</c:v>
                </c:pt>
                <c:pt idx="5">
                  <c:v>750</c:v>
                </c:pt>
                <c:pt idx="6">
                  <c:v>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13-4159-9352-A49B5B0F2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8139"/>
        <c:axId val="58182924"/>
      </c:scatterChart>
      <c:valAx>
        <c:axId val="78408139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Pel [kWel]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de-DE"/>
          </a:p>
        </c:txPr>
        <c:crossAx val="58182924"/>
        <c:crosses val="autoZero"/>
        <c:crossBetween val="midCat"/>
      </c:valAx>
      <c:valAx>
        <c:axId val="5818292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€/kWel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de-DE"/>
          </a:p>
        </c:txPr>
        <c:crossAx val="7840813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Wartung spez. – Modellkurve vs. Stichproben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Kostenberechnung!$D$23</c:f>
              <c:strCache>
                <c:ptCount val="1"/>
                <c:pt idx="0">
                  <c:v>Wartung Erdgas [€/kWhel]</c:v>
                </c:pt>
              </c:strCache>
            </c:strRef>
          </c:tx>
          <c:spPr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Kostenberechnung!$A$24:$A$38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250</c:v>
                </c:pt>
                <c:pt idx="8">
                  <c:v>360</c:v>
                </c:pt>
                <c:pt idx="9">
                  <c:v>500</c:v>
                </c:pt>
                <c:pt idx="10">
                  <c:v>750</c:v>
                </c:pt>
                <c:pt idx="11">
                  <c:v>1000</c:v>
                </c:pt>
                <c:pt idx="12">
                  <c:v>1500</c:v>
                </c:pt>
                <c:pt idx="13">
                  <c:v>2000</c:v>
                </c:pt>
                <c:pt idx="14">
                  <c:v>2547</c:v>
                </c:pt>
              </c:numCache>
            </c:numRef>
          </c:xVal>
          <c:yVal>
            <c:numRef>
              <c:f>Kostenberechnung!$D$24:$D$38</c:f>
              <c:numCache>
                <c:formatCode>0.0000</c:formatCode>
                <c:ptCount val="15"/>
                <c:pt idx="0">
                  <c:v>2.8641999999999997E-2</c:v>
                </c:pt>
                <c:pt idx="1">
                  <c:v>2.0960573422960573E-2</c:v>
                </c:pt>
                <c:pt idx="2">
                  <c:v>1.8323285157894005E-2</c:v>
                </c:pt>
                <c:pt idx="3">
                  <c:v>1.6017824140713649E-2</c:v>
                </c:pt>
                <c:pt idx="4">
                  <c:v>1.3409208990359647E-2</c:v>
                </c:pt>
                <c:pt idx="5">
                  <c:v>1.1722043815986969E-2</c:v>
                </c:pt>
                <c:pt idx="6">
                  <c:v>1.0700499813309337E-2</c:v>
                </c:pt>
                <c:pt idx="7">
                  <c:v>9.8130266596695905E-3</c:v>
                </c:pt>
                <c:pt idx="8">
                  <c:v>9.1428302231328588E-3</c:v>
                </c:pt>
                <c:pt idx="9">
                  <c:v>8.5783381074001769E-3</c:v>
                </c:pt>
                <c:pt idx="10">
                  <c:v>7.9294206105059144E-3</c:v>
                </c:pt>
                <c:pt idx="11">
                  <c:v>7.4989997721408167E-3</c:v>
                </c:pt>
                <c:pt idx="12">
                  <c:v>6.9317299699456405E-3</c:v>
                </c:pt>
                <c:pt idx="13">
                  <c:v>6.5554652752677625E-3</c:v>
                </c:pt>
                <c:pt idx="14">
                  <c:v>6.2550923369391305E-3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0C-44F0-8BBC-D5C9B0C5EB9A}"/>
            </c:ext>
          </c:extLst>
        </c:ser>
        <c:ser>
          <c:idx val="1"/>
          <c:order val="1"/>
          <c:tx>
            <c:strRef>
              <c:f>Kostenberechnung!$F$51</c:f>
              <c:strCache>
                <c:ptCount val="1"/>
                <c:pt idx="0">
                  <c:v>Stichprobe [€/kWhel]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Kostenberechnung!$A$52:$A$56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500</c:v>
                </c:pt>
              </c:numCache>
            </c:numRef>
          </c:xVal>
          <c:yVal>
            <c:numRef>
              <c:f>Kostenberechnung!$F$52:$F$56</c:f>
              <c:numCache>
                <c:formatCode>0.0000</c:formatCode>
                <c:ptCount val="5"/>
                <c:pt idx="0">
                  <c:v>2.5000000000000001E-2</c:v>
                </c:pt>
                <c:pt idx="1">
                  <c:v>0.02</c:v>
                </c:pt>
                <c:pt idx="2">
                  <c:v>1.3999999999999999E-2</c:v>
                </c:pt>
                <c:pt idx="3">
                  <c:v>1.2500000000000001E-2</c:v>
                </c:pt>
                <c:pt idx="4">
                  <c:v>9.0000000000000011E-3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0C-44F0-8BBC-D5C9B0C5E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52017"/>
        <c:axId val="96939265"/>
      </c:scatterChart>
      <c:valAx>
        <c:axId val="80252017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Pel [kWel]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de-DE"/>
          </a:p>
        </c:txPr>
        <c:crossAx val="96939265"/>
        <c:crosses val="autoZero"/>
        <c:crossBetween val="midCat"/>
      </c:valAx>
      <c:valAx>
        <c:axId val="96939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€/kWhel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de-DE"/>
          </a:p>
        </c:txPr>
        <c:crossAx val="8025201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16</xdr:col>
      <xdr:colOff>4680</xdr:colOff>
      <xdr:row>21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16</xdr:col>
      <xdr:colOff>4680</xdr:colOff>
      <xdr:row>40</xdr:row>
      <xdr:rowOff>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zoomScaleNormal="100" workbookViewId="0">
      <pane ySplit="1" topLeftCell="A29" activePane="bottomLeft" state="frozen"/>
      <selection activeCell="E1" sqref="E1"/>
      <selection pane="bottomLeft" activeCell="G1" sqref="G1"/>
    </sheetView>
  </sheetViews>
  <sheetFormatPr baseColWidth="10" defaultColWidth="8.7265625" defaultRowHeight="14.5" x14ac:dyDescent="0.35"/>
  <cols>
    <col min="1" max="1" width="5" customWidth="1"/>
    <col min="2" max="2" width="34" customWidth="1"/>
    <col min="3" max="3" width="14" customWidth="1"/>
    <col min="4" max="4" width="38" customWidth="1"/>
    <col min="5" max="5" width="9" customWidth="1"/>
    <col min="6" max="6" width="8" customWidth="1"/>
    <col min="7" max="7" width="12" customWidth="1"/>
    <col min="8" max="8" width="13" customWidth="1"/>
    <col min="9" max="9" width="15" customWidth="1"/>
    <col min="10" max="10" width="11" customWidth="1"/>
    <col min="11" max="11" width="18" customWidth="1"/>
    <col min="12" max="12" width="13" customWidth="1"/>
    <col min="13" max="13" width="8" customWidth="1"/>
    <col min="14" max="14" width="7" customWidth="1"/>
    <col min="15" max="17" width="8" customWidth="1"/>
    <col min="18" max="18" width="28" customWidth="1"/>
    <col min="19" max="19" width="13" customWidth="1"/>
    <col min="20" max="20" width="12" customWidth="1"/>
    <col min="21" max="22" width="13" customWidth="1"/>
    <col min="23" max="23" width="22" customWidth="1"/>
    <col min="24" max="24" width="20" customWidth="1"/>
    <col min="25" max="25" width="9" customWidth="1"/>
    <col min="26" max="26" width="10" customWidth="1"/>
  </cols>
  <sheetData>
    <row r="1" spans="1:2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 t="s">
        <v>27</v>
      </c>
      <c r="D2" s="2" t="s">
        <v>28</v>
      </c>
      <c r="E2" s="3">
        <v>110</v>
      </c>
      <c r="F2" s="3">
        <v>100</v>
      </c>
      <c r="G2" s="3">
        <v>14</v>
      </c>
      <c r="H2" s="3">
        <v>38.6</v>
      </c>
      <c r="I2" s="4">
        <f>IF(ISNUMBER(SEARCH("Brennstoffzelle",$R2)),Kostenberechnung!$B$17,Kostenberechnung!$B$5*IF($G2=14,Kostenberechnung!$B$10*$F2^Kostenberechnung!$C$10,IF($G2=25,Kostenberechnung!$B$9*$F2^Kostenberechnung!$C$9*Kostenberechnung!$B$15,Kostenberechnung!$B$9*$F2^Kostenberechnung!$C$9)))</f>
        <v>1325.7414576472047</v>
      </c>
      <c r="J2" s="3">
        <v>3.13</v>
      </c>
      <c r="K2" s="5">
        <f>IF(ISNUMBER(SEARCH("Brennstoffzelle",$R2)),Kostenberechnung!$B$18/100,Kostenberechnung!$B$5*IF($G2=14,Kostenberechnung!$B$12*$F2^Kostenberechnung!$C$12,IF($G2=25,Kostenberechnung!$B$11*$F2^Kostenberechnung!$C$11*Kostenberechnung!$B$16,Kostenberechnung!$B$11*$F2^Kostenberechnung!$C$11))/100)</f>
        <v>1.8871255388171145E-2</v>
      </c>
      <c r="L2" s="3"/>
      <c r="M2" s="3">
        <v>500</v>
      </c>
      <c r="N2" s="3"/>
      <c r="O2" s="3">
        <v>250</v>
      </c>
      <c r="P2" s="3"/>
      <c r="Q2" s="3"/>
      <c r="R2" s="3" t="s">
        <v>29</v>
      </c>
      <c r="S2" s="3">
        <v>105</v>
      </c>
      <c r="T2" s="3"/>
      <c r="U2" s="3"/>
      <c r="V2" s="3"/>
      <c r="W2" s="3"/>
      <c r="X2" s="3"/>
      <c r="Y2" s="3">
        <v>90</v>
      </c>
      <c r="Z2" s="3">
        <v>70</v>
      </c>
    </row>
    <row r="3" spans="1:26" x14ac:dyDescent="0.35">
      <c r="A3" s="2">
        <v>2</v>
      </c>
      <c r="B3" s="2" t="s">
        <v>30</v>
      </c>
      <c r="C3" s="2" t="s">
        <v>27</v>
      </c>
      <c r="D3" s="2" t="s">
        <v>31</v>
      </c>
      <c r="E3" s="3">
        <v>168</v>
      </c>
      <c r="F3" s="3">
        <v>160</v>
      </c>
      <c r="G3" s="3">
        <v>3</v>
      </c>
      <c r="H3" s="3">
        <v>41</v>
      </c>
      <c r="I3" s="4">
        <f>IF(ISNUMBER(SEARCH("Brennstoffzelle",$R3)),Kostenberechnung!$B$17,Kostenberechnung!$B$5*IF($G3=14,Kostenberechnung!$B$10*$F3^Kostenberechnung!$C$10,IF($G3=25,Kostenberechnung!$B$9*$F3^Kostenberechnung!$C$9*Kostenberechnung!$B$15,Kostenberechnung!$B$9*$F3^Kostenberechnung!$C$9)))</f>
        <v>921.90810023956544</v>
      </c>
      <c r="J3" s="3">
        <v>4.08</v>
      </c>
      <c r="K3" s="5">
        <f>IF(ISNUMBER(SEARCH("Brennstoffzelle",$R3)),Kostenberechnung!$B$18/100,Kostenberechnung!$B$5*IF($G3=14,Kostenberechnung!$B$12*$F3^Kostenberechnung!$C$12,IF($G3=25,Kostenberechnung!$B$11*$F3^Kostenberechnung!$C$11*Kostenberechnung!$B$16,Kostenberechnung!$B$11*$F3^Kostenberechnung!$C$11))/100)</f>
        <v>1.0700499813309337E-2</v>
      </c>
      <c r="L3" s="3"/>
      <c r="M3" s="3">
        <v>500</v>
      </c>
      <c r="N3" s="3"/>
      <c r="O3" s="3">
        <v>250</v>
      </c>
      <c r="P3" s="3"/>
      <c r="Q3" s="3"/>
      <c r="R3" s="3" t="s">
        <v>32</v>
      </c>
      <c r="S3" s="3">
        <v>167</v>
      </c>
      <c r="T3" s="3"/>
      <c r="U3" s="3"/>
      <c r="V3" s="3"/>
      <c r="W3" s="3"/>
      <c r="X3" s="3"/>
      <c r="Y3" s="3">
        <v>90</v>
      </c>
      <c r="Z3" s="3">
        <v>70</v>
      </c>
    </row>
    <row r="4" spans="1:26" x14ac:dyDescent="0.35">
      <c r="A4" s="2">
        <v>3</v>
      </c>
      <c r="B4" s="2" t="s">
        <v>33</v>
      </c>
      <c r="C4" s="2" t="s">
        <v>27</v>
      </c>
      <c r="D4" s="2" t="s">
        <v>34</v>
      </c>
      <c r="E4" s="3">
        <v>129</v>
      </c>
      <c r="F4" s="3">
        <v>115</v>
      </c>
      <c r="G4" s="3">
        <v>25</v>
      </c>
      <c r="H4" s="3">
        <v>37.700000000000003</v>
      </c>
      <c r="I4" s="4">
        <f>IF(ISNUMBER(SEARCH("Brennstoffzelle",$R4)),Kostenberechnung!$B$17,Kostenberechnung!$B$5*IF($G4=14,Kostenberechnung!$B$10*$F4^Kostenberechnung!$C$10,IF($G4=25,Kostenberechnung!$B$9*$F4^Kostenberechnung!$C$9*Kostenberechnung!$B$15,Kostenberechnung!$B$9*$F4^Kostenberechnung!$C$9)))</f>
        <v>1531.9752829645863</v>
      </c>
      <c r="J4" s="3">
        <v>4.08</v>
      </c>
      <c r="K4" s="5">
        <f>IF(ISNUMBER(SEARCH("Brennstoffzelle",$R4)),Kostenberechnung!$B$18/100,Kostenberechnung!$B$5*IF($G4=14,Kostenberechnung!$B$12*$F4^Kostenberechnung!$C$12,IF($G4=25,Kostenberechnung!$B$11*$F4^Kostenberechnung!$C$11*Kostenberechnung!$B$16,Kostenberechnung!$B$11*$F4^Kostenberechnung!$C$11))/100)</f>
        <v>1.4831029941768182E-2</v>
      </c>
      <c r="L4" s="3"/>
      <c r="M4" s="3">
        <v>95</v>
      </c>
      <c r="N4" s="3"/>
      <c r="O4" s="3">
        <v>1</v>
      </c>
      <c r="P4" s="3"/>
      <c r="Q4" s="3"/>
      <c r="R4" s="3" t="s">
        <v>35</v>
      </c>
      <c r="S4" s="3">
        <v>121</v>
      </c>
      <c r="T4" s="3"/>
      <c r="U4" s="3"/>
      <c r="V4" s="3"/>
      <c r="W4" s="3"/>
      <c r="X4" s="3"/>
      <c r="Y4" s="3">
        <v>90</v>
      </c>
      <c r="Z4" s="3">
        <v>70</v>
      </c>
    </row>
    <row r="5" spans="1:26" x14ac:dyDescent="0.35">
      <c r="A5" s="2">
        <v>4</v>
      </c>
      <c r="B5" s="2" t="s">
        <v>36</v>
      </c>
      <c r="C5" s="2" t="s">
        <v>27</v>
      </c>
      <c r="D5" s="2" t="s">
        <v>37</v>
      </c>
      <c r="E5" s="3">
        <v>245</v>
      </c>
      <c r="F5" s="3">
        <v>250</v>
      </c>
      <c r="G5" s="3">
        <v>14</v>
      </c>
      <c r="H5" s="3">
        <v>42.4</v>
      </c>
      <c r="I5" s="4">
        <f>IF(ISNUMBER(SEARCH("Brennstoffzelle",$R5)),Kostenberechnung!$B$17,Kostenberechnung!$B$5*IF($G5=14,Kostenberechnung!$B$10*$F5^Kostenberechnung!$C$10,IF($G5=25,Kostenberechnung!$B$9*$F5^Kostenberechnung!$C$9*Kostenberechnung!$B$15,Kostenberechnung!$B$9*$F5^Kostenberechnung!$C$9)))</f>
        <v>811.2654725364298</v>
      </c>
      <c r="J5" s="3">
        <v>4.43</v>
      </c>
      <c r="K5" s="5">
        <f>IF(ISNUMBER(SEARCH("Brennstoffzelle",$R5)),Kostenberechnung!$B$18/100,Kostenberechnung!$B$5*IF($G5=14,Kostenberechnung!$B$12*$F5^Kostenberechnung!$C$12,IF($G5=25,Kostenberechnung!$B$11*$F5^Kostenberechnung!$C$11*Kostenberechnung!$B$16,Kostenberechnung!$B$11*$F5^Kostenberechnung!$C$11))/100)</f>
        <v>1.2178266340647175E-2</v>
      </c>
      <c r="L5" s="3"/>
      <c r="M5" s="3">
        <v>500</v>
      </c>
      <c r="N5" s="3"/>
      <c r="O5" s="3">
        <v>500</v>
      </c>
      <c r="P5" s="3"/>
      <c r="Q5" s="3"/>
      <c r="R5" s="3" t="s">
        <v>38</v>
      </c>
      <c r="S5" s="3">
        <v>261</v>
      </c>
      <c r="T5" s="3"/>
      <c r="U5" s="3"/>
      <c r="V5" s="3"/>
      <c r="W5" s="3"/>
      <c r="X5" s="3"/>
      <c r="Y5" s="3">
        <v>90</v>
      </c>
      <c r="Z5" s="3">
        <v>70</v>
      </c>
    </row>
    <row r="6" spans="1:26" x14ac:dyDescent="0.35">
      <c r="A6" s="2">
        <v>5</v>
      </c>
      <c r="B6" s="2" t="s">
        <v>39</v>
      </c>
      <c r="C6" s="2" t="s">
        <v>27</v>
      </c>
      <c r="D6" s="2" t="s">
        <v>40</v>
      </c>
      <c r="E6" s="3">
        <v>260</v>
      </c>
      <c r="F6" s="3">
        <v>250</v>
      </c>
      <c r="G6" s="3">
        <v>3</v>
      </c>
      <c r="H6" s="3">
        <v>41.8</v>
      </c>
      <c r="I6" s="4">
        <f>IF(ISNUMBER(SEARCH("Brennstoffzelle",$R6)),Kostenberechnung!$B$17,Kostenberechnung!$B$5*IF($G6=14,Kostenberechnung!$B$10*$F6^Kostenberechnung!$C$10,IF($G6=25,Kostenberechnung!$B$9*$F6^Kostenberechnung!$C$9*Kostenberechnung!$B$15,Kostenberechnung!$B$9*$F6^Kostenberechnung!$C$9)))</f>
        <v>731.29909734757814</v>
      </c>
      <c r="J6" s="3">
        <v>4.43</v>
      </c>
      <c r="K6" s="5">
        <f>IF(ISNUMBER(SEARCH("Brennstoffzelle",$R6)),Kostenberechnung!$B$18/100,Kostenberechnung!$B$5*IF($G6=14,Kostenberechnung!$B$12*$F6^Kostenberechnung!$C$12,IF($G6=25,Kostenberechnung!$B$11*$F6^Kostenberechnung!$C$11*Kostenberechnung!$B$16,Kostenberechnung!$B$11*$F6^Kostenberechnung!$C$11))/100)</f>
        <v>9.8130266596695905E-3</v>
      </c>
      <c r="L6" s="3"/>
      <c r="M6" s="3">
        <v>500</v>
      </c>
      <c r="N6" s="3"/>
      <c r="O6" s="3">
        <v>250</v>
      </c>
      <c r="P6" s="3"/>
      <c r="Q6" s="3"/>
      <c r="R6" s="3" t="s">
        <v>41</v>
      </c>
      <c r="S6" s="3">
        <v>261</v>
      </c>
      <c r="T6" s="3"/>
      <c r="U6" s="3"/>
      <c r="V6" s="3"/>
      <c r="W6" s="3"/>
      <c r="X6" s="3"/>
      <c r="Y6" s="3">
        <v>90</v>
      </c>
      <c r="Z6" s="3">
        <v>70</v>
      </c>
    </row>
    <row r="7" spans="1:26" x14ac:dyDescent="0.35">
      <c r="A7" s="2">
        <v>6</v>
      </c>
      <c r="B7" s="2" t="s">
        <v>42</v>
      </c>
      <c r="C7" s="2" t="s">
        <v>27</v>
      </c>
      <c r="D7" s="2" t="s">
        <v>43</v>
      </c>
      <c r="E7" s="3">
        <v>183</v>
      </c>
      <c r="F7" s="3">
        <v>170</v>
      </c>
      <c r="G7" s="3">
        <v>25</v>
      </c>
      <c r="H7" s="3">
        <v>39</v>
      </c>
      <c r="I7" s="4">
        <f>IF(ISNUMBER(SEARCH("Brennstoffzelle",$R7)),Kostenberechnung!$B$17,Kostenberechnung!$B$5*IF($G7=14,Kostenberechnung!$B$10*$F7^Kostenberechnung!$C$10,IF($G7=25,Kostenberechnung!$B$9*$F7^Kostenberechnung!$C$9*Kostenberechnung!$B$15,Kostenberechnung!$B$9*$F7^Kostenberechnung!$C$9)))</f>
        <v>1250.6936571808815</v>
      </c>
      <c r="J7" s="3">
        <v>4.43</v>
      </c>
      <c r="K7" s="5">
        <f>IF(ISNUMBER(SEARCH("Brennstoffzelle",$R7)),Kostenberechnung!$B$18/100,Kostenberechnung!$B$5*IF($G7=14,Kostenberechnung!$B$12*$F7^Kostenberechnung!$C$12,IF($G7=25,Kostenberechnung!$B$11*$F7^Kostenberechnung!$C$11*Kostenberechnung!$B$16,Kostenberechnung!$B$11*$F7^Kostenberechnung!$C$11))/100)</f>
        <v>1.3748002484932848E-2</v>
      </c>
      <c r="L7" s="3"/>
      <c r="M7" s="3">
        <v>95</v>
      </c>
      <c r="N7" s="3"/>
      <c r="O7" s="3">
        <v>1</v>
      </c>
      <c r="P7" s="3"/>
      <c r="Q7" s="3"/>
      <c r="R7" s="3" t="s">
        <v>44</v>
      </c>
      <c r="S7" s="3">
        <v>178</v>
      </c>
      <c r="T7" s="3"/>
      <c r="U7" s="3"/>
      <c r="V7" s="3"/>
      <c r="W7" s="3"/>
      <c r="X7" s="3"/>
      <c r="Y7" s="3">
        <v>90</v>
      </c>
      <c r="Z7" s="3">
        <v>70</v>
      </c>
    </row>
    <row r="8" spans="1:26" x14ac:dyDescent="0.35">
      <c r="A8" s="2">
        <v>7</v>
      </c>
      <c r="B8" s="2" t="s">
        <v>45</v>
      </c>
      <c r="C8" s="2" t="s">
        <v>27</v>
      </c>
      <c r="D8" s="2" t="s">
        <v>46</v>
      </c>
      <c r="E8" s="3">
        <v>345</v>
      </c>
      <c r="F8" s="3">
        <v>360</v>
      </c>
      <c r="G8" s="3">
        <v>14</v>
      </c>
      <c r="H8" s="3">
        <v>42.5</v>
      </c>
      <c r="I8" s="4">
        <f>IF(ISNUMBER(SEARCH("Brennstoffzelle",$R8)),Kostenberechnung!$B$17,Kostenberechnung!$B$5*IF($G8=14,Kostenberechnung!$B$10*$F8^Kostenberechnung!$C$10,IF($G8=25,Kostenberechnung!$B$9*$F8^Kostenberechnung!$C$9*Kostenberechnung!$B$15,Kostenberechnung!$B$9*$F8^Kostenberechnung!$C$9)))</f>
        <v>667.23788494026769</v>
      </c>
      <c r="J8" s="3">
        <v>5.31</v>
      </c>
      <c r="K8" s="5">
        <f>IF(ISNUMBER(SEARCH("Brennstoffzelle",$R8)),Kostenberechnung!$B$18/100,Kostenberechnung!$B$5*IF($G8=14,Kostenberechnung!$B$12*$F8^Kostenberechnung!$C$12,IF($G8=25,Kostenberechnung!$B$11*$F8^Kostenberechnung!$C$11*Kostenberechnung!$B$16,Kostenberechnung!$B$11*$F8^Kostenberechnung!$C$11))/100)</f>
        <v>1.0230295930846824E-2</v>
      </c>
      <c r="L8" s="3"/>
      <c r="M8" s="3">
        <v>500</v>
      </c>
      <c r="N8" s="3"/>
      <c r="O8" s="3">
        <v>500</v>
      </c>
      <c r="P8" s="3"/>
      <c r="Q8" s="3"/>
      <c r="R8" s="3" t="s">
        <v>47</v>
      </c>
      <c r="S8" s="3">
        <v>374</v>
      </c>
      <c r="T8" s="3"/>
      <c r="U8" s="3"/>
      <c r="V8" s="3"/>
      <c r="W8" s="3"/>
      <c r="X8" s="3"/>
      <c r="Y8" s="3">
        <v>90</v>
      </c>
      <c r="Z8" s="3">
        <v>70</v>
      </c>
    </row>
    <row r="9" spans="1:26" x14ac:dyDescent="0.35">
      <c r="A9" s="2">
        <v>8</v>
      </c>
      <c r="B9" s="2" t="s">
        <v>48</v>
      </c>
      <c r="C9" s="2" t="s">
        <v>27</v>
      </c>
      <c r="D9" s="2" t="s">
        <v>46</v>
      </c>
      <c r="E9" s="3">
        <v>345</v>
      </c>
      <c r="F9" s="3">
        <v>360</v>
      </c>
      <c r="G9" s="3">
        <v>14</v>
      </c>
      <c r="H9" s="3">
        <v>42.5</v>
      </c>
      <c r="I9" s="4">
        <f>IF(ISNUMBER(SEARCH("Brennstoffzelle",$R9)),Kostenberechnung!$B$17,Kostenberechnung!$B$5*IF($G9=14,Kostenberechnung!$B$10*$F9^Kostenberechnung!$C$10,IF($G9=25,Kostenberechnung!$B$9*$F9^Kostenberechnung!$C$9*Kostenberechnung!$B$15,Kostenberechnung!$B$9*$F9^Kostenberechnung!$C$9)))</f>
        <v>667.23788494026769</v>
      </c>
      <c r="J9" s="3">
        <v>5.31</v>
      </c>
      <c r="K9" s="5">
        <f>IF(ISNUMBER(SEARCH("Brennstoffzelle",$R9)),Kostenberechnung!$B$18/100,Kostenberechnung!$B$5*IF($G9=14,Kostenberechnung!$B$12*$F9^Kostenberechnung!$C$12,IF($G9=25,Kostenberechnung!$B$11*$F9^Kostenberechnung!$C$11*Kostenberechnung!$B$16,Kostenberechnung!$B$11*$F9^Kostenberechnung!$C$11))/100)</f>
        <v>1.0230295930846824E-2</v>
      </c>
      <c r="L9" s="3"/>
      <c r="M9" s="3">
        <v>500</v>
      </c>
      <c r="N9" s="3"/>
      <c r="O9" s="3">
        <v>250</v>
      </c>
      <c r="P9" s="3"/>
      <c r="Q9" s="3"/>
      <c r="R9" s="3" t="s">
        <v>47</v>
      </c>
      <c r="S9" s="3">
        <v>374</v>
      </c>
      <c r="T9" s="3"/>
      <c r="U9" s="3"/>
      <c r="V9" s="3"/>
      <c r="W9" s="3"/>
      <c r="X9" s="3"/>
      <c r="Y9" s="3">
        <v>90</v>
      </c>
      <c r="Z9" s="3">
        <v>70</v>
      </c>
    </row>
    <row r="10" spans="1:26" x14ac:dyDescent="0.35">
      <c r="A10" s="2">
        <v>9</v>
      </c>
      <c r="B10" s="2" t="s">
        <v>49</v>
      </c>
      <c r="C10" s="2" t="s">
        <v>27</v>
      </c>
      <c r="D10" s="2" t="s">
        <v>50</v>
      </c>
      <c r="E10" s="3">
        <v>381</v>
      </c>
      <c r="F10" s="3">
        <v>360</v>
      </c>
      <c r="G10" s="3">
        <v>3</v>
      </c>
      <c r="H10" s="3">
        <v>42.5</v>
      </c>
      <c r="I10" s="4">
        <f>IF(ISNUMBER(SEARCH("Brennstoffzelle",$R10)),Kostenberechnung!$B$17,Kostenberechnung!$B$5*IF($G10=14,Kostenberechnung!$B$10*$F10^Kostenberechnung!$C$10,IF($G10=25,Kostenberechnung!$B$9*$F10^Kostenberechnung!$C$9*Kostenberechnung!$B$15,Kostenberechnung!$B$9*$F10^Kostenberechnung!$C$9)))</f>
        <v>605.20833977261384</v>
      </c>
      <c r="J10" s="3">
        <v>5.51</v>
      </c>
      <c r="K10" s="5">
        <f>IF(ISNUMBER(SEARCH("Brennstoffzelle",$R10)),Kostenberechnung!$B$18/100,Kostenberechnung!$B$5*IF($G10=14,Kostenberechnung!$B$12*$F10^Kostenberechnung!$C$12,IF($G10=25,Kostenberechnung!$B$11*$F10^Kostenberechnung!$C$11*Kostenberechnung!$B$16,Kostenberechnung!$B$11*$F10^Kostenberechnung!$C$11))/100)</f>
        <v>9.1428302231328588E-3</v>
      </c>
      <c r="L10" s="3"/>
      <c r="M10" s="3">
        <v>500</v>
      </c>
      <c r="N10" s="3"/>
      <c r="O10" s="3">
        <v>250</v>
      </c>
      <c r="P10" s="3"/>
      <c r="Q10" s="3"/>
      <c r="R10" s="3" t="s">
        <v>51</v>
      </c>
      <c r="S10" s="3">
        <v>373</v>
      </c>
      <c r="T10" s="3"/>
      <c r="U10" s="3"/>
      <c r="V10" s="3"/>
      <c r="W10" s="3"/>
      <c r="X10" s="3"/>
      <c r="Y10" s="3">
        <v>90</v>
      </c>
      <c r="Z10" s="3">
        <v>70</v>
      </c>
    </row>
    <row r="11" spans="1:26" x14ac:dyDescent="0.35">
      <c r="A11" s="2">
        <v>10</v>
      </c>
      <c r="B11" s="2" t="s">
        <v>52</v>
      </c>
      <c r="C11" s="2" t="s">
        <v>27</v>
      </c>
      <c r="D11" s="2" t="s">
        <v>53</v>
      </c>
      <c r="E11" s="3">
        <v>250</v>
      </c>
      <c r="F11" s="3">
        <v>240</v>
      </c>
      <c r="G11" s="3">
        <v>25</v>
      </c>
      <c r="H11" s="3">
        <v>40.200000000000003</v>
      </c>
      <c r="I11" s="4">
        <f>IF(ISNUMBER(SEARCH("Brennstoffzelle",$R11)),Kostenberechnung!$B$17,Kostenberechnung!$B$5*IF($G11=14,Kostenberechnung!$B$10*$F11^Kostenberechnung!$C$10,IF($G11=25,Kostenberechnung!$B$9*$F11^Kostenberechnung!$C$9*Kostenberechnung!$B$15,Kostenberechnung!$B$9*$F11^Kostenberechnung!$C$9)))</f>
        <v>1045.7414033627372</v>
      </c>
      <c r="J11" s="3">
        <v>5.51</v>
      </c>
      <c r="K11" s="5">
        <f>IF(ISNUMBER(SEARCH("Brennstoffzelle",$R11)),Kostenberechnung!$B$18/100,Kostenberechnung!$B$5*IF($G11=14,Kostenberechnung!$B$12*$F11^Kostenberechnung!$C$12,IF($G11=25,Kostenberechnung!$B$11*$F11^Kostenberechnung!$C$11*Kostenberechnung!$B$16,Kostenberechnung!$B$11*$F11^Kostenberechnung!$C$11))/100)</f>
        <v>1.2858363882384927E-2</v>
      </c>
      <c r="L11" s="3"/>
      <c r="M11" s="3">
        <v>95</v>
      </c>
      <c r="N11" s="3"/>
      <c r="O11" s="3">
        <v>1</v>
      </c>
      <c r="P11" s="3"/>
      <c r="Q11" s="3"/>
      <c r="R11" s="3" t="s">
        <v>54</v>
      </c>
      <c r="S11" s="3">
        <v>250</v>
      </c>
      <c r="T11" s="3"/>
      <c r="U11" s="3"/>
      <c r="V11" s="3"/>
      <c r="W11" s="3"/>
      <c r="X11" s="3"/>
      <c r="Y11" s="3">
        <v>90</v>
      </c>
      <c r="Z11" s="3">
        <v>70</v>
      </c>
    </row>
    <row r="12" spans="1:26" x14ac:dyDescent="0.35">
      <c r="A12" s="2">
        <v>11</v>
      </c>
      <c r="B12" s="2" t="s">
        <v>55</v>
      </c>
      <c r="C12" s="2" t="s">
        <v>27</v>
      </c>
      <c r="D12" s="2" t="s">
        <v>56</v>
      </c>
      <c r="E12" s="3">
        <v>482</v>
      </c>
      <c r="F12" s="3">
        <v>500</v>
      </c>
      <c r="G12" s="3">
        <v>14</v>
      </c>
      <c r="H12" s="3">
        <v>41.9</v>
      </c>
      <c r="I12" s="4">
        <f>IF(ISNUMBER(SEARCH("Brennstoffzelle",$R12)),Kostenberechnung!$B$17,Kostenberechnung!$B$5*IF($G12=14,Kostenberechnung!$B$10*$F12^Kostenberechnung!$C$10,IF($G12=25,Kostenberechnung!$B$9*$F12^Kostenberechnung!$C$9*Kostenberechnung!$B$15,Kostenberechnung!$B$9*$F12^Kostenberechnung!$C$9)))</f>
        <v>559.51394502215771</v>
      </c>
      <c r="J12" s="3">
        <v>5.95</v>
      </c>
      <c r="K12" s="5">
        <f>IF(ISNUMBER(SEARCH("Brennstoffzelle",$R12)),Kostenberechnung!$B$18/100,Kostenberechnung!$B$5*IF($G12=14,Kostenberechnung!$B$12*$F12^Kostenberechnung!$C$12,IF($G12=25,Kostenberechnung!$B$11*$F12^Kostenberechnung!$C$11*Kostenberechnung!$B$16,Kostenberechnung!$B$11*$F12^Kostenberechnung!$C$11))/100)</f>
        <v>8.7436573503812329E-3</v>
      </c>
      <c r="L12" s="3"/>
      <c r="M12" s="3">
        <v>500</v>
      </c>
      <c r="N12" s="3"/>
      <c r="O12" s="3">
        <v>250</v>
      </c>
      <c r="P12" s="3"/>
      <c r="Q12" s="3"/>
      <c r="R12" s="3" t="s">
        <v>57</v>
      </c>
      <c r="S12" s="3">
        <v>620</v>
      </c>
      <c r="T12" s="3"/>
      <c r="U12" s="3"/>
      <c r="V12" s="3"/>
      <c r="W12" s="3"/>
      <c r="X12" s="3"/>
      <c r="Y12" s="3">
        <v>90</v>
      </c>
      <c r="Z12" s="3">
        <v>70</v>
      </c>
    </row>
    <row r="13" spans="1:26" x14ac:dyDescent="0.35">
      <c r="A13" s="2">
        <v>12</v>
      </c>
      <c r="B13" s="2" t="s">
        <v>58</v>
      </c>
      <c r="C13" s="2" t="s">
        <v>27</v>
      </c>
      <c r="D13" s="2" t="s">
        <v>59</v>
      </c>
      <c r="E13" s="3">
        <v>493</v>
      </c>
      <c r="F13" s="3">
        <v>450</v>
      </c>
      <c r="G13" s="3">
        <v>3</v>
      </c>
      <c r="H13" s="3">
        <v>41.3</v>
      </c>
      <c r="I13" s="4">
        <f>IF(ISNUMBER(SEARCH("Brennstoffzelle",$R13)),Kostenberechnung!$B$17,Kostenberechnung!$B$5*IF($G13=14,Kostenberechnung!$B$10*$F13^Kostenberechnung!$C$10,IF($G13=25,Kostenberechnung!$B$9*$F13^Kostenberechnung!$C$9*Kostenberechnung!$B$15,Kostenberechnung!$B$9*$F13^Kostenberechnung!$C$9)))</f>
        <v>539.02462637885912</v>
      </c>
      <c r="J13" s="3">
        <v>5.95</v>
      </c>
      <c r="K13" s="5">
        <f>IF(ISNUMBER(SEARCH("Brennstoffzelle",$R13)),Kostenberechnung!$B$18/100,Kostenberechnung!$B$5*IF($G13=14,Kostenberechnung!$B$12*$F13^Kostenberechnung!$C$12,IF($G13=25,Kostenberechnung!$B$11*$F13^Kostenberechnung!$C$11*Kostenberechnung!$B$16,Kostenberechnung!$B$11*$F13^Kostenberechnung!$C$11))/100)</f>
        <v>8.7554830727490981E-3</v>
      </c>
      <c r="L13" s="3"/>
      <c r="M13" s="3">
        <v>500</v>
      </c>
      <c r="N13" s="3"/>
      <c r="O13" s="3">
        <v>250</v>
      </c>
      <c r="P13" s="3"/>
      <c r="Q13" s="3"/>
      <c r="R13" s="3" t="s">
        <v>60</v>
      </c>
      <c r="S13" s="3">
        <v>468</v>
      </c>
      <c r="T13" s="3"/>
      <c r="U13" s="3"/>
      <c r="V13" s="3"/>
      <c r="W13" s="3"/>
      <c r="X13" s="3"/>
      <c r="Y13" s="3">
        <v>90</v>
      </c>
      <c r="Z13" s="3">
        <v>70</v>
      </c>
    </row>
    <row r="14" spans="1:26" x14ac:dyDescent="0.35">
      <c r="A14" s="2">
        <v>13</v>
      </c>
      <c r="B14" s="2" t="s">
        <v>61</v>
      </c>
      <c r="C14" s="2" t="s">
        <v>27</v>
      </c>
      <c r="D14" s="2" t="s">
        <v>62</v>
      </c>
      <c r="E14" s="3">
        <v>1071</v>
      </c>
      <c r="F14" s="3">
        <v>999</v>
      </c>
      <c r="G14" s="3">
        <v>3</v>
      </c>
      <c r="H14" s="3">
        <v>40.9</v>
      </c>
      <c r="I14" s="4">
        <f>IF(ISNUMBER(SEARCH("Brennstoffzelle",$R14)),Kostenberechnung!$B$17,Kostenberechnung!$B$5*IF($G14=14,Kostenberechnung!$B$10*$F14^Kostenberechnung!$C$10,IF($G14=25,Kostenberechnung!$B$9*$F14^Kostenberechnung!$C$9*Kostenberechnung!$B$15,Kostenberechnung!$B$9*$F14^Kostenberechnung!$C$9)))</f>
        <v>356.32920055306994</v>
      </c>
      <c r="J14" s="3">
        <v>10.54</v>
      </c>
      <c r="K14" s="5">
        <f>IF(ISNUMBER(SEARCH("Brennstoffzelle",$R14)),Kostenberechnung!$B$18/100,Kostenberechnung!$B$5*IF($G14=14,Kostenberechnung!$B$12*$F14^Kostenberechnung!$C$12,IF($G14=25,Kostenberechnung!$B$11*$F14^Kostenberechnung!$C$11*Kostenberechnung!$B$16,Kostenberechnung!$B$11*$F14^Kostenberechnung!$C$11))/100)</f>
        <v>7.5004554472514516E-3</v>
      </c>
      <c r="L14" s="3"/>
      <c r="M14" s="3">
        <v>250</v>
      </c>
      <c r="N14" s="3"/>
      <c r="O14" s="3">
        <v>250</v>
      </c>
      <c r="P14" s="3"/>
      <c r="Q14" s="3"/>
      <c r="R14" s="3" t="s">
        <v>63</v>
      </c>
      <c r="S14" s="3">
        <v>1027</v>
      </c>
      <c r="T14" s="3"/>
      <c r="U14" s="3"/>
      <c r="V14" s="3"/>
      <c r="W14" s="3"/>
      <c r="X14" s="3"/>
      <c r="Y14" s="3">
        <v>90</v>
      </c>
      <c r="Z14" s="3">
        <v>70</v>
      </c>
    </row>
    <row r="15" spans="1:26" x14ac:dyDescent="0.35">
      <c r="A15" s="2">
        <v>14</v>
      </c>
      <c r="B15" s="2" t="s">
        <v>64</v>
      </c>
      <c r="C15" s="2" t="s">
        <v>27</v>
      </c>
      <c r="D15" s="2" t="s">
        <v>65</v>
      </c>
      <c r="E15" s="3">
        <v>747</v>
      </c>
      <c r="F15" s="3">
        <v>750</v>
      </c>
      <c r="G15" s="3">
        <v>25</v>
      </c>
      <c r="H15" s="3">
        <v>41.2</v>
      </c>
      <c r="I15" s="4">
        <f>IF(ISNUMBER(SEARCH("Brennstoffzelle",$R15)),Kostenberechnung!$B$17,Kostenberechnung!$B$5*IF($G15=14,Kostenberechnung!$B$10*$F15^Kostenberechnung!$C$10,IF($G15=25,Kostenberechnung!$B$9*$F15^Kostenberechnung!$C$9*Kostenberechnung!$B$15,Kostenberechnung!$B$9*$F15^Kostenberechnung!$C$9)))</f>
        <v>578.89145878807176</v>
      </c>
      <c r="J15" s="3"/>
      <c r="K15" s="5">
        <f>IF(ISNUMBER(SEARCH("Brennstoffzelle",$R15)),Kostenberechnung!$B$18/100,Kostenberechnung!$B$5*IF($G15=14,Kostenberechnung!$B$12*$F15^Kostenberechnung!$C$12,IF($G15=25,Kostenberechnung!$B$11*$F15^Kostenberechnung!$C$11*Kostenberechnung!$B$16,Kostenberechnung!$B$11*$F15^Kostenberechnung!$C$11))/100)</f>
        <v>1.030824679365769E-2</v>
      </c>
      <c r="L15" s="3"/>
      <c r="M15" s="3">
        <v>95</v>
      </c>
      <c r="N15" s="3"/>
      <c r="O15" s="3">
        <v>1</v>
      </c>
      <c r="P15" s="3"/>
      <c r="Q15" s="3"/>
      <c r="R15" s="3" t="s">
        <v>66</v>
      </c>
      <c r="S15" s="3">
        <v>770</v>
      </c>
      <c r="T15" s="3"/>
      <c r="U15" s="3"/>
      <c r="V15" s="3"/>
      <c r="W15" s="3"/>
      <c r="X15" s="3"/>
      <c r="Y15" s="3">
        <v>90</v>
      </c>
      <c r="Z15" s="3">
        <v>70</v>
      </c>
    </row>
    <row r="16" spans="1:26" x14ac:dyDescent="0.35">
      <c r="A16" s="2">
        <v>15</v>
      </c>
      <c r="B16" s="2" t="s">
        <v>67</v>
      </c>
      <c r="C16" s="2" t="s">
        <v>27</v>
      </c>
      <c r="D16" s="2" t="s">
        <v>68</v>
      </c>
      <c r="E16" s="3">
        <v>585</v>
      </c>
      <c r="F16" s="3">
        <v>550</v>
      </c>
      <c r="G16" s="3">
        <v>3</v>
      </c>
      <c r="H16" s="3">
        <v>42.6</v>
      </c>
      <c r="I16" s="4">
        <f>IF(ISNUMBER(SEARCH("Brennstoffzelle",$R16)),Kostenberechnung!$B$17,Kostenberechnung!$B$5*IF($G16=14,Kostenberechnung!$B$10*$F16^Kostenberechnung!$C$10,IF($G16=25,Kostenberechnung!$B$9*$F16^Kostenberechnung!$C$9*Kostenberechnung!$B$15,Kostenberechnung!$B$9*$F16^Kostenberechnung!$C$9)))</f>
        <v>485.71069454365323</v>
      </c>
      <c r="J16" s="3">
        <v>5.97</v>
      </c>
      <c r="K16" s="5">
        <f>IF(ISNUMBER(SEARCH("Brennstoffzelle",$R16)),Kostenberechnung!$B$18/100,Kostenberechnung!$B$5*IF($G16=14,Kostenberechnung!$B$12*$F16^Kostenberechnung!$C$12,IF($G16=25,Kostenberechnung!$B$11*$F16^Kostenberechnung!$C$11*Kostenberechnung!$B$16,Kostenberechnung!$B$11*$F16^Kostenberechnung!$C$11))/100)</f>
        <v>8.4211805484509378E-3</v>
      </c>
      <c r="L16" s="3"/>
      <c r="M16" s="3">
        <v>500</v>
      </c>
      <c r="N16" s="3"/>
      <c r="O16" s="3">
        <v>300</v>
      </c>
      <c r="P16" s="3"/>
      <c r="Q16" s="3"/>
      <c r="R16" s="3" t="s">
        <v>69</v>
      </c>
      <c r="S16" s="3">
        <v>569</v>
      </c>
      <c r="T16" s="3"/>
      <c r="U16" s="3"/>
      <c r="V16" s="3"/>
      <c r="W16" s="3"/>
      <c r="X16" s="3"/>
      <c r="Y16" s="3">
        <v>90</v>
      </c>
      <c r="Z16" s="3">
        <v>70</v>
      </c>
    </row>
    <row r="17" spans="1:26" x14ac:dyDescent="0.35">
      <c r="A17" s="2">
        <v>16</v>
      </c>
      <c r="B17" s="2" t="s">
        <v>70</v>
      </c>
      <c r="C17" s="2" t="s">
        <v>71</v>
      </c>
      <c r="D17" s="2" t="s">
        <v>72</v>
      </c>
      <c r="E17" s="3">
        <v>12.4</v>
      </c>
      <c r="F17" s="3">
        <v>6</v>
      </c>
      <c r="G17" s="3">
        <v>3</v>
      </c>
      <c r="H17" s="3">
        <v>30.1</v>
      </c>
      <c r="I17" s="4">
        <f>IF(ISNUMBER(SEARCH("Brennstoffzelle",$R17)),Kostenberechnung!$B$17,Kostenberechnung!$B$5*IF($G17=14,Kostenberechnung!$B$10*$F17^Kostenberechnung!$C$10,IF($G17=25,Kostenberechnung!$B$9*$F17^Kostenberechnung!$C$9*Kostenberechnung!$B$15,Kostenberechnung!$B$9*$F17^Kostenberechnung!$C$9)))</f>
        <v>5067.1691612202249</v>
      </c>
      <c r="J17" s="3">
        <v>0.59</v>
      </c>
      <c r="K17" s="5">
        <f>IF(ISNUMBER(SEARCH("Brennstoffzelle",$R17)),Kostenberechnung!$B$18/100,Kostenberechnung!$B$5*IF($G17=14,Kostenberechnung!$B$12*$F17^Kostenberechnung!$C$12,IF($G17=25,Kostenberechnung!$B$11*$F17^Kostenberechnung!$C$11*Kostenberechnung!$B$16,Kostenberechnung!$B$11*$F17^Kostenberechnung!$C$11))/100)</f>
        <v>2.0232148213267756E-2</v>
      </c>
      <c r="L17" s="3"/>
      <c r="M17" s="3">
        <v>240</v>
      </c>
      <c r="N17" s="3"/>
      <c r="O17" s="3">
        <v>150</v>
      </c>
      <c r="P17" s="3"/>
      <c r="Q17" s="3"/>
      <c r="R17" s="3"/>
      <c r="S17" s="3"/>
      <c r="T17" s="3"/>
      <c r="U17" s="3"/>
      <c r="V17" s="3"/>
      <c r="W17" s="3"/>
      <c r="X17" s="3"/>
      <c r="Y17" s="3">
        <v>80</v>
      </c>
      <c r="Z17" s="3">
        <v>70</v>
      </c>
    </row>
    <row r="18" spans="1:26" x14ac:dyDescent="0.35">
      <c r="A18" s="2">
        <v>17</v>
      </c>
      <c r="B18" s="2" t="s">
        <v>73</v>
      </c>
      <c r="C18" s="2" t="s">
        <v>71</v>
      </c>
      <c r="D18" s="2" t="s">
        <v>74</v>
      </c>
      <c r="E18" s="3">
        <v>14.6</v>
      </c>
      <c r="F18" s="3">
        <v>6</v>
      </c>
      <c r="G18" s="3">
        <v>3</v>
      </c>
      <c r="H18" s="3">
        <v>27.9</v>
      </c>
      <c r="I18" s="4">
        <f>IF(ISNUMBER(SEARCH("Brennstoffzelle",$R18)),Kostenberechnung!$B$17,Kostenberechnung!$B$5*IF($G18=14,Kostenberechnung!$B$10*$F18^Kostenberechnung!$C$10,IF($G18=25,Kostenberechnung!$B$9*$F18^Kostenberechnung!$C$9*Kostenberechnung!$B$15,Kostenberechnung!$B$9*$F18^Kostenberechnung!$C$9)))</f>
        <v>5067.1691612202249</v>
      </c>
      <c r="J18" s="3">
        <v>0.59</v>
      </c>
      <c r="K18" s="5">
        <f>IF(ISNUMBER(SEARCH("Brennstoffzelle",$R18)),Kostenberechnung!$B$18/100,Kostenberechnung!$B$5*IF($G18=14,Kostenberechnung!$B$12*$F18^Kostenberechnung!$C$12,IF($G18=25,Kostenberechnung!$B$11*$F18^Kostenberechnung!$C$11*Kostenberechnung!$B$16,Kostenberechnung!$B$11*$F18^Kostenberechnung!$C$11))/100)</f>
        <v>2.0232148213267756E-2</v>
      </c>
      <c r="L18" s="3"/>
      <c r="M18" s="3">
        <v>240</v>
      </c>
      <c r="N18" s="3"/>
      <c r="O18" s="3">
        <v>150</v>
      </c>
      <c r="P18" s="3"/>
      <c r="Q18" s="3"/>
      <c r="R18" s="3"/>
      <c r="S18" s="3"/>
      <c r="T18" s="3"/>
      <c r="U18" s="3"/>
      <c r="V18" s="3"/>
      <c r="W18" s="3"/>
      <c r="X18" s="3"/>
      <c r="Y18" s="3">
        <v>80</v>
      </c>
      <c r="Z18" s="3">
        <v>70</v>
      </c>
    </row>
    <row r="19" spans="1:26" x14ac:dyDescent="0.35">
      <c r="A19" s="2">
        <v>18</v>
      </c>
      <c r="B19" s="2" t="s">
        <v>75</v>
      </c>
      <c r="C19" s="2" t="s">
        <v>71</v>
      </c>
      <c r="D19" s="2" t="s">
        <v>76</v>
      </c>
      <c r="E19" s="3">
        <v>20.100000000000001</v>
      </c>
      <c r="F19" s="3">
        <v>9</v>
      </c>
      <c r="G19" s="3">
        <v>3</v>
      </c>
      <c r="H19" s="3">
        <v>29.3</v>
      </c>
      <c r="I19" s="4">
        <f>IF(ISNUMBER(SEARCH("Brennstoffzelle",$R19)),Kostenberechnung!$B$17,Kostenberechnung!$B$5*IF($G19=14,Kostenberechnung!$B$10*$F19^Kostenberechnung!$C$10,IF($G19=25,Kostenberechnung!$B$9*$F19^Kostenberechnung!$C$9*Kostenberechnung!$B$15,Kostenberechnung!$B$9*$F19^Kostenberechnung!$C$9)))</f>
        <v>4105.5754661398532</v>
      </c>
      <c r="J19" s="3">
        <v>0.59</v>
      </c>
      <c r="K19" s="5">
        <f>IF(ISNUMBER(SEARCH("Brennstoffzelle",$R19)),Kostenberechnung!$B$18/100,Kostenberechnung!$B$5*IF($G19=14,Kostenberechnung!$B$12*$F19^Kostenberechnung!$C$12,IF($G19=25,Kostenberechnung!$B$11*$F19^Kostenberechnung!$C$11*Kostenberechnung!$B$16,Kostenberechnung!$B$11*$F19^Kostenberechnung!$C$11))/100)</f>
        <v>1.8701665873801374E-2</v>
      </c>
      <c r="L19" s="3"/>
      <c r="M19" s="3">
        <v>240</v>
      </c>
      <c r="N19" s="3"/>
      <c r="O19" s="3">
        <v>70</v>
      </c>
      <c r="P19" s="3"/>
      <c r="Q19" s="3"/>
      <c r="R19" s="3"/>
      <c r="S19" s="3"/>
      <c r="T19" s="3"/>
      <c r="U19" s="3"/>
      <c r="V19" s="3"/>
      <c r="W19" s="3"/>
      <c r="X19" s="3"/>
      <c r="Y19" s="3">
        <v>80</v>
      </c>
      <c r="Z19" s="3">
        <v>70</v>
      </c>
    </row>
    <row r="20" spans="1:26" x14ac:dyDescent="0.35">
      <c r="A20" s="2">
        <v>19</v>
      </c>
      <c r="B20" s="2" t="s">
        <v>77</v>
      </c>
      <c r="C20" s="2" t="s">
        <v>71</v>
      </c>
      <c r="D20" s="2" t="s">
        <v>78</v>
      </c>
      <c r="E20" s="3">
        <v>30.8</v>
      </c>
      <c r="F20" s="3">
        <v>14.5</v>
      </c>
      <c r="G20" s="3">
        <v>3</v>
      </c>
      <c r="H20" s="3">
        <v>29.5</v>
      </c>
      <c r="I20" s="4">
        <f>IF(ISNUMBER(SEARCH("Brennstoffzelle",$R20)),Kostenberechnung!$B$17,Kostenberechnung!$B$5*IF($G20=14,Kostenberechnung!$B$10*$F20^Kostenberechnung!$C$10,IF($G20=25,Kostenberechnung!$B$9*$F20^Kostenberechnung!$C$9*Kostenberechnung!$B$15,Kostenberechnung!$B$9*$F20^Kostenberechnung!$C$9)))</f>
        <v>3205.3533256216556</v>
      </c>
      <c r="J20" s="3">
        <v>0.84</v>
      </c>
      <c r="K20" s="5">
        <f>IF(ISNUMBER(SEARCH("Brennstoffzelle",$R20)),Kostenberechnung!$B$18/100,Kostenberechnung!$B$5*IF($G20=14,Kostenberechnung!$B$12*$F20^Kostenberechnung!$C$12,IF($G20=25,Kostenberechnung!$B$11*$F20^Kostenberechnung!$C$11*Kostenberechnung!$B$16,Kostenberechnung!$B$11*$F20^Kostenberechnung!$C$11))/100)</f>
        <v>1.7048962203852436E-2</v>
      </c>
      <c r="L20" s="3"/>
      <c r="M20" s="3">
        <v>240</v>
      </c>
      <c r="N20" s="3"/>
      <c r="O20" s="3">
        <v>150</v>
      </c>
      <c r="P20" s="3"/>
      <c r="Q20" s="3"/>
      <c r="R20" s="3"/>
      <c r="S20" s="3"/>
      <c r="T20" s="3"/>
      <c r="U20" s="3"/>
      <c r="V20" s="3"/>
      <c r="W20" s="3"/>
      <c r="X20" s="3"/>
      <c r="Y20" s="3">
        <v>85</v>
      </c>
      <c r="Z20" s="3">
        <v>75</v>
      </c>
    </row>
    <row r="21" spans="1:26" x14ac:dyDescent="0.35">
      <c r="A21" s="2">
        <v>20</v>
      </c>
      <c r="B21" s="2" t="s">
        <v>79</v>
      </c>
      <c r="C21" s="2" t="s">
        <v>71</v>
      </c>
      <c r="D21" s="2" t="s">
        <v>80</v>
      </c>
      <c r="E21" s="3">
        <v>30.8</v>
      </c>
      <c r="F21" s="3">
        <v>14.5</v>
      </c>
      <c r="G21" s="3">
        <v>14</v>
      </c>
      <c r="H21" s="3">
        <v>29.5</v>
      </c>
      <c r="I21" s="4">
        <f>IF(ISNUMBER(SEARCH("Brennstoffzelle",$R21)),Kostenberechnung!$B$17,Kostenberechnung!$B$5*IF($G21=14,Kostenberechnung!$B$10*$F21^Kostenberechnung!$C$10,IF($G21=25,Kostenberechnung!$B$9*$F21^Kostenberechnung!$C$9*Kostenberechnung!$B$15,Kostenberechnung!$B$9*$F21^Kostenberechnung!$C$9)))</f>
        <v>3732.20584120588</v>
      </c>
      <c r="J21" s="3">
        <v>0.84</v>
      </c>
      <c r="K21" s="5">
        <f>IF(ISNUMBER(SEARCH("Brennstoffzelle",$R21)),Kostenberechnung!$B$18/100,Kostenberechnung!$B$5*IF($G21=14,Kostenberechnung!$B$12*$F21^Kostenberechnung!$C$12,IF($G21=25,Kostenberechnung!$B$11*$F21^Kostenberechnung!$C$11*Kostenberechnung!$B$16,Kostenberechnung!$B$11*$F21^Kostenberechnung!$C$11))/100)</f>
        <v>4.7497077360689054E-2</v>
      </c>
      <c r="L21" s="3"/>
      <c r="M21" s="3">
        <v>240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85</v>
      </c>
      <c r="Z21" s="3">
        <v>75</v>
      </c>
    </row>
    <row r="22" spans="1:26" x14ac:dyDescent="0.35">
      <c r="A22" s="2">
        <v>21</v>
      </c>
      <c r="B22" s="2" t="s">
        <v>81</v>
      </c>
      <c r="C22" s="2" t="s">
        <v>71</v>
      </c>
      <c r="D22" s="2" t="s">
        <v>82</v>
      </c>
      <c r="E22" s="3">
        <v>38.700000000000003</v>
      </c>
      <c r="F22" s="3">
        <v>20</v>
      </c>
      <c r="G22" s="3">
        <v>3</v>
      </c>
      <c r="H22" s="3">
        <v>32.700000000000003</v>
      </c>
      <c r="I22" s="4">
        <f>IF(ISNUMBER(SEARCH("Brennstoffzelle",$R22)),Kostenberechnung!$B$17,Kostenberechnung!$B$5*IF($G22=14,Kostenberechnung!$B$10*$F22^Kostenberechnung!$C$10,IF($G22=25,Kostenberechnung!$B$9*$F22^Kostenberechnung!$C$9*Kostenberechnung!$B$15,Kostenberechnung!$B$9*$F22^Kostenberechnung!$C$9)))</f>
        <v>2712.6348322629919</v>
      </c>
      <c r="J22" s="3">
        <v>0.84</v>
      </c>
      <c r="K22" s="5">
        <f>IF(ISNUMBER(SEARCH("Brennstoffzelle",$R22)),Kostenberechnung!$B$18/100,Kostenberechnung!$B$5*IF($G22=14,Kostenberechnung!$B$12*$F22^Kostenberechnung!$C$12,IF($G22=25,Kostenberechnung!$B$11*$F22^Kostenberechnung!$C$11*Kostenberechnung!$B$16,Kostenberechnung!$B$11*$F22^Kostenberechnung!$C$11))/100)</f>
        <v>1.6017824140713649E-2</v>
      </c>
      <c r="L22" s="3"/>
      <c r="M22" s="3">
        <v>240</v>
      </c>
      <c r="N22" s="3"/>
      <c r="O22" s="3">
        <v>50</v>
      </c>
      <c r="P22" s="3"/>
      <c r="Q22" s="3"/>
      <c r="R22" s="3"/>
      <c r="S22" s="3"/>
      <c r="T22" s="3"/>
      <c r="U22" s="3"/>
      <c r="V22" s="3"/>
      <c r="W22" s="3"/>
      <c r="X22" s="3"/>
      <c r="Y22" s="3">
        <v>85</v>
      </c>
      <c r="Z22" s="3">
        <v>75</v>
      </c>
    </row>
    <row r="23" spans="1:26" x14ac:dyDescent="0.35">
      <c r="A23" s="2">
        <v>22</v>
      </c>
      <c r="B23" s="2" t="s">
        <v>83</v>
      </c>
      <c r="C23" s="2" t="s">
        <v>71</v>
      </c>
      <c r="D23" s="2" t="s">
        <v>84</v>
      </c>
      <c r="E23" s="3">
        <v>48</v>
      </c>
      <c r="F23" s="3">
        <v>24</v>
      </c>
      <c r="G23" s="3">
        <v>3</v>
      </c>
      <c r="H23" s="3">
        <v>31.2</v>
      </c>
      <c r="I23" s="4">
        <f>IF(ISNUMBER(SEARCH("Brennstoffzelle",$R23)),Kostenberechnung!$B$17,Kostenberechnung!$B$5*IF($G23=14,Kostenberechnung!$B$10*$F23^Kostenberechnung!$C$10,IF($G23=25,Kostenberechnung!$B$9*$F23^Kostenberechnung!$C$9*Kostenberechnung!$B$15,Kostenberechnung!$B$9*$F23^Kostenberechnung!$C$9)))</f>
        <v>2467.7221962295866</v>
      </c>
      <c r="J23" s="3">
        <v>0.84</v>
      </c>
      <c r="K23" s="5">
        <f>IF(ISNUMBER(SEARCH("Brennstoffzelle",$R23)),Kostenberechnung!$B$18/100,Kostenberechnung!$B$5*IF($G23=14,Kostenberechnung!$B$12*$F23^Kostenberechnung!$C$12,IF($G23=25,Kostenberechnung!$B$11*$F23^Kostenberechnung!$C$11*Kostenberechnung!$B$16,Kostenberechnung!$B$11*$F23^Kostenberechnung!$C$11))/100)</f>
        <v>1.5461170146899678E-2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85</v>
      </c>
      <c r="Z23" s="3">
        <v>75</v>
      </c>
    </row>
    <row r="24" spans="1:26" x14ac:dyDescent="0.35">
      <c r="A24" s="2">
        <v>23</v>
      </c>
      <c r="B24" s="2" t="s">
        <v>85</v>
      </c>
      <c r="C24" s="2" t="s">
        <v>86</v>
      </c>
      <c r="D24" s="2" t="s">
        <v>87</v>
      </c>
      <c r="E24" s="3">
        <v>1</v>
      </c>
      <c r="F24" s="3">
        <v>0.70499999999999996</v>
      </c>
      <c r="G24" s="3">
        <v>3</v>
      </c>
      <c r="H24" s="3"/>
      <c r="I24" s="4">
        <f>IF(ISNUMBER(SEARCH("Brennstoffzelle",$R24)),Kostenberechnung!$B$17,Kostenberechnung!$B$5*IF($G24=14,Kostenberechnung!$B$10*$F24^Kostenberechnung!$C$10,IF($G24=25,Kostenberechnung!$B$9*$F24^Kostenberechnung!$C$9*Kostenberechnung!$B$15,Kostenberechnung!$B$9*$F24^Kostenberechnung!$C$9)))</f>
        <v>30000</v>
      </c>
      <c r="J24" s="3">
        <v>1.49</v>
      </c>
      <c r="K24" s="5">
        <f>IF(ISNUMBER(SEARCH("Brennstoffzelle",$R24)),Kostenberechnung!$B$18/100,Kostenberechnung!$B$5*IF($G24=14,Kostenberechnung!$B$12*$F24^Kostenberechnung!$C$12,IF($G24=25,Kostenberechnung!$B$11*$F24^Kostenberechnung!$C$11*Kostenberechnung!$B$16,Kostenberechnung!$B$11*$F24^Kostenberechnung!$C$11))/100)</f>
        <v>3.5000000000000003E-2</v>
      </c>
      <c r="L24" s="3"/>
      <c r="M24" s="3"/>
      <c r="N24" s="3"/>
      <c r="O24" s="3"/>
      <c r="P24" s="3"/>
      <c r="Q24" s="3"/>
      <c r="R24" s="3" t="s">
        <v>88</v>
      </c>
      <c r="S24" s="3"/>
      <c r="T24" s="3"/>
      <c r="U24" s="3"/>
      <c r="V24" s="3"/>
      <c r="W24" s="3"/>
      <c r="X24" s="3"/>
      <c r="Y24" s="3">
        <v>67</v>
      </c>
      <c r="Z24" s="3">
        <v>30</v>
      </c>
    </row>
    <row r="25" spans="1:26" x14ac:dyDescent="0.35">
      <c r="A25" s="2">
        <v>24</v>
      </c>
      <c r="B25" s="2" t="s">
        <v>89</v>
      </c>
      <c r="C25" s="2" t="s">
        <v>86</v>
      </c>
      <c r="D25" s="2" t="s">
        <v>90</v>
      </c>
      <c r="E25" s="3">
        <v>14.7</v>
      </c>
      <c r="F25" s="3">
        <v>5.5</v>
      </c>
      <c r="G25" s="3">
        <v>3</v>
      </c>
      <c r="H25" s="3">
        <v>24</v>
      </c>
      <c r="I25" s="4">
        <f>IF(ISNUMBER(SEARCH("Brennstoffzelle",$R25)),Kostenberechnung!$B$17,Kostenberechnung!$B$5*IF($G25=14,Kostenberechnung!$B$10*$F25^Kostenberechnung!$C$10,IF($G25=25,Kostenberechnung!$B$9*$F25^Kostenberechnung!$C$9*Kostenberechnung!$B$15,Kostenberechnung!$B$9*$F25^Kostenberechnung!$C$9)))</f>
        <v>5301.2424386948396</v>
      </c>
      <c r="J25" s="3">
        <v>0.77</v>
      </c>
      <c r="K25" s="5">
        <f>IF(ISNUMBER(SEARCH("Brennstoffzelle",$R25)),Kostenberechnung!$B$18/100,Kostenberechnung!$B$5*IF($G25=14,Kostenberechnung!$B$12*$F25^Kostenberechnung!$C$12,IF($G25=25,Kostenberechnung!$B$11*$F25^Kostenberechnung!$C$11*Kostenberechnung!$B$16,Kostenberechnung!$B$11*$F25^Kostenberechnung!$C$11))/100)</f>
        <v>2.0576569841837204E-2</v>
      </c>
      <c r="L25" s="3"/>
      <c r="M25" s="3"/>
      <c r="N25" s="3"/>
      <c r="O25" s="3"/>
      <c r="P25" s="3"/>
      <c r="Q25" s="3"/>
      <c r="R25" s="3" t="s">
        <v>91</v>
      </c>
      <c r="S25" s="3"/>
      <c r="T25" s="3"/>
      <c r="U25" s="3"/>
      <c r="V25" s="3"/>
      <c r="W25" s="3"/>
      <c r="X25" s="3"/>
      <c r="Y25" s="3">
        <v>83</v>
      </c>
      <c r="Z25" s="3">
        <v>70</v>
      </c>
    </row>
    <row r="26" spans="1:26" x14ac:dyDescent="0.35">
      <c r="A26" s="2">
        <v>25</v>
      </c>
      <c r="B26" s="2" t="s">
        <v>92</v>
      </c>
      <c r="C26" s="2" t="s">
        <v>86</v>
      </c>
      <c r="D26" s="2" t="s">
        <v>93</v>
      </c>
      <c r="E26" s="3">
        <v>7</v>
      </c>
      <c r="F26" s="3">
        <v>2.85</v>
      </c>
      <c r="G26" s="3">
        <v>3</v>
      </c>
      <c r="H26" s="3">
        <v>29.8</v>
      </c>
      <c r="I26" s="4">
        <f>IF(ISNUMBER(SEARCH("Brennstoffzelle",$R26)),Kostenberechnung!$B$17,Kostenberechnung!$B$5*IF($G26=14,Kostenberechnung!$B$10*$F26^Kostenberechnung!$C$10,IF($G26=25,Kostenberechnung!$B$9*$F26^Kostenberechnung!$C$9*Kostenberechnung!$B$15,Kostenberechnung!$B$9*$F26^Kostenberechnung!$C$9)))</f>
        <v>7456.9532355037481</v>
      </c>
      <c r="J26" s="3">
        <v>0.77</v>
      </c>
      <c r="K26" s="5">
        <f>IF(ISNUMBER(SEARCH("Brennstoffzelle",$R26)),Kostenberechnung!$B$18/100,Kostenberechnung!$B$5*IF($G26=14,Kostenberechnung!$B$12*$F26^Kostenberechnung!$C$12,IF($G26=25,Kostenberechnung!$B$11*$F26^Kostenberechnung!$C$11*Kostenberechnung!$B$16,Kostenberechnung!$B$11*$F26^Kostenberechnung!$C$11))/100)</f>
        <v>2.3375636088951959E-2</v>
      </c>
      <c r="L26" s="3"/>
      <c r="M26" s="3"/>
      <c r="N26" s="3"/>
      <c r="O26" s="3"/>
      <c r="P26" s="3"/>
      <c r="Q26" s="3"/>
      <c r="R26" s="3" t="s">
        <v>94</v>
      </c>
      <c r="S26" s="3"/>
      <c r="T26" s="3"/>
      <c r="U26" s="3"/>
      <c r="V26" s="3"/>
      <c r="W26" s="3"/>
      <c r="X26" s="3"/>
      <c r="Y26" s="3">
        <v>83</v>
      </c>
      <c r="Z26" s="3">
        <v>70</v>
      </c>
    </row>
    <row r="27" spans="1:26" x14ac:dyDescent="0.35">
      <c r="A27" s="2">
        <v>26</v>
      </c>
      <c r="B27" s="2" t="s">
        <v>95</v>
      </c>
      <c r="C27" s="2" t="s">
        <v>86</v>
      </c>
      <c r="D27" s="2" t="s">
        <v>96</v>
      </c>
      <c r="E27" s="3">
        <v>14.8</v>
      </c>
      <c r="F27" s="3">
        <v>5.5</v>
      </c>
      <c r="G27" s="3">
        <v>3</v>
      </c>
      <c r="H27" s="3">
        <v>28.4</v>
      </c>
      <c r="I27" s="4">
        <f>IF(ISNUMBER(SEARCH("Brennstoffzelle",$R27)),Kostenberechnung!$B$17,Kostenberechnung!$B$5*IF($G27=14,Kostenberechnung!$B$10*$F27^Kostenberechnung!$C$10,IF($G27=25,Kostenberechnung!$B$9*$F27^Kostenberechnung!$C$9*Kostenberechnung!$B$15,Kostenberechnung!$B$9*$F27^Kostenberechnung!$C$9)))</f>
        <v>5301.2424386948396</v>
      </c>
      <c r="J27" s="3">
        <v>0.77</v>
      </c>
      <c r="K27" s="5">
        <f>IF(ISNUMBER(SEARCH("Brennstoffzelle",$R27)),Kostenberechnung!$B$18/100,Kostenberechnung!$B$5*IF($G27=14,Kostenberechnung!$B$12*$F27^Kostenberechnung!$C$12,IF($G27=25,Kostenberechnung!$B$11*$F27^Kostenberechnung!$C$11*Kostenberechnung!$B$16,Kostenberechnung!$B$11*$F27^Kostenberechnung!$C$11))/100)</f>
        <v>2.0576569841837204E-2</v>
      </c>
      <c r="L27" s="3"/>
      <c r="M27" s="3"/>
      <c r="N27" s="3"/>
      <c r="O27" s="3"/>
      <c r="P27" s="3"/>
      <c r="Q27" s="3"/>
      <c r="R27" s="3" t="s">
        <v>94</v>
      </c>
      <c r="S27" s="3"/>
      <c r="T27" s="3"/>
      <c r="U27" s="3"/>
      <c r="V27" s="3"/>
      <c r="W27" s="3"/>
      <c r="X27" s="3"/>
      <c r="Y27" s="3">
        <v>83</v>
      </c>
      <c r="Z27" s="3">
        <v>70</v>
      </c>
    </row>
    <row r="28" spans="1:26" x14ac:dyDescent="0.35">
      <c r="A28" s="2">
        <v>27</v>
      </c>
      <c r="B28" s="2" t="s">
        <v>97</v>
      </c>
      <c r="C28" s="2" t="s">
        <v>86</v>
      </c>
      <c r="D28" s="2" t="s">
        <v>98</v>
      </c>
      <c r="E28" s="3">
        <v>14.8</v>
      </c>
      <c r="F28" s="3">
        <v>5.5</v>
      </c>
      <c r="G28" s="3">
        <v>3</v>
      </c>
      <c r="H28" s="3">
        <v>28.4</v>
      </c>
      <c r="I28" s="4">
        <f>IF(ISNUMBER(SEARCH("Brennstoffzelle",$R28)),Kostenberechnung!$B$17,Kostenberechnung!$B$5*IF($G28=14,Kostenberechnung!$B$10*$F28^Kostenberechnung!$C$10,IF($G28=25,Kostenberechnung!$B$9*$F28^Kostenberechnung!$C$9*Kostenberechnung!$B$15,Kostenberechnung!$B$9*$F28^Kostenberechnung!$C$9)))</f>
        <v>5301.2424386948396</v>
      </c>
      <c r="J28" s="3">
        <v>0.77</v>
      </c>
      <c r="K28" s="5">
        <f>IF(ISNUMBER(SEARCH("Brennstoffzelle",$R28)),Kostenberechnung!$B$18/100,Kostenberechnung!$B$5*IF($G28=14,Kostenberechnung!$B$12*$F28^Kostenberechnung!$C$12,IF($G28=25,Kostenberechnung!$B$11*$F28^Kostenberechnung!$C$11*Kostenberechnung!$B$16,Kostenberechnung!$B$11*$F28^Kostenberechnung!$C$11))/100)</f>
        <v>2.0576569841837204E-2</v>
      </c>
      <c r="L28" s="3"/>
      <c r="M28" s="3"/>
      <c r="N28" s="3"/>
      <c r="O28" s="3"/>
      <c r="P28" s="3"/>
      <c r="Q28" s="3"/>
      <c r="R28" s="3" t="s">
        <v>94</v>
      </c>
      <c r="S28" s="3"/>
      <c r="T28" s="3"/>
      <c r="U28" s="3"/>
      <c r="V28" s="3"/>
      <c r="W28" s="3"/>
      <c r="X28" s="3"/>
      <c r="Y28" s="3">
        <v>83</v>
      </c>
      <c r="Z28" s="3">
        <v>70</v>
      </c>
    </row>
    <row r="29" spans="1:26" x14ac:dyDescent="0.35">
      <c r="A29" s="2">
        <v>28</v>
      </c>
      <c r="B29" s="2" t="s">
        <v>99</v>
      </c>
      <c r="C29" s="2" t="s">
        <v>86</v>
      </c>
      <c r="D29" s="2" t="s">
        <v>100</v>
      </c>
      <c r="E29" s="3">
        <v>0.95</v>
      </c>
      <c r="F29" s="3">
        <v>0.7</v>
      </c>
      <c r="G29" s="3">
        <v>3</v>
      </c>
      <c r="H29" s="3">
        <v>37.700000000000003</v>
      </c>
      <c r="I29" s="4">
        <f>IF(ISNUMBER(SEARCH("Brennstoffzelle",$R29)),Kostenberechnung!$B$17,Kostenberechnung!$B$5*IF($G29=14,Kostenberechnung!$B$10*$F29^Kostenberechnung!$C$10,IF($G29=25,Kostenberechnung!$B$9*$F29^Kostenberechnung!$C$9*Kostenberechnung!$B$15,Kostenberechnung!$B$9*$F29^Kostenberechnung!$C$9)))</f>
        <v>30000</v>
      </c>
      <c r="J29" s="3"/>
      <c r="K29" s="5">
        <f>IF(ISNUMBER(SEARCH("Brennstoffzelle",$R29)),Kostenberechnung!$B$18/100,Kostenberechnung!$B$5*IF($G29=14,Kostenberechnung!$B$12*$F29^Kostenberechnung!$C$12,IF($G29=25,Kostenberechnung!$B$11*$F29^Kostenberechnung!$C$11*Kostenberechnung!$B$16,Kostenberechnung!$B$11*$F29^Kostenberechnung!$C$11))/100)</f>
        <v>3.5000000000000003E-2</v>
      </c>
      <c r="L29" s="3"/>
      <c r="M29" s="3"/>
      <c r="N29" s="3"/>
      <c r="O29" s="3"/>
      <c r="P29" s="3"/>
      <c r="Q29" s="3"/>
      <c r="R29" s="3" t="s">
        <v>88</v>
      </c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2">
        <v>29</v>
      </c>
      <c r="B30" s="2" t="s">
        <v>101</v>
      </c>
      <c r="C30" s="2" t="s">
        <v>86</v>
      </c>
      <c r="D30" s="2" t="s">
        <v>102</v>
      </c>
      <c r="E30" s="3">
        <v>44</v>
      </c>
      <c r="F30" s="3">
        <v>20</v>
      </c>
      <c r="G30" s="3">
        <v>3</v>
      </c>
      <c r="H30" s="3">
        <v>32</v>
      </c>
      <c r="I30" s="4">
        <f>IF(ISNUMBER(SEARCH("Brennstoffzelle",$R30)),Kostenberechnung!$B$17,Kostenberechnung!$B$5*IF($G30=14,Kostenberechnung!$B$10*$F30^Kostenberechnung!$C$10,IF($G30=25,Kostenberechnung!$B$9*$F30^Kostenberechnung!$C$9*Kostenberechnung!$B$15,Kostenberechnung!$B$9*$F30^Kostenberechnung!$C$9)))</f>
        <v>2712.6348322629919</v>
      </c>
      <c r="J30" s="3"/>
      <c r="K30" s="5">
        <f>IF(ISNUMBER(SEARCH("Brennstoffzelle",$R30)),Kostenberechnung!$B$18/100,Kostenberechnung!$B$5*IF($G30=14,Kostenberechnung!$B$12*$F30^Kostenberechnung!$C$12,IF($G30=25,Kostenberechnung!$B$11*$F30^Kostenberechnung!$C$11*Kostenberechnung!$B$16,Kostenberechnung!$B$11*$F30^Kostenberechnung!$C$11))/100)</f>
        <v>1.6017824140713649E-2</v>
      </c>
      <c r="L30" s="3"/>
      <c r="M30" s="3"/>
      <c r="N30" s="3"/>
      <c r="O30" s="3"/>
      <c r="P30" s="3"/>
      <c r="Q30" s="3"/>
      <c r="R30" s="3" t="s">
        <v>94</v>
      </c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2">
        <v>30</v>
      </c>
      <c r="B31" s="2" t="s">
        <v>103</v>
      </c>
      <c r="C31" s="2" t="s">
        <v>27</v>
      </c>
      <c r="D31" s="2" t="s">
        <v>104</v>
      </c>
      <c r="E31" s="3">
        <v>1566</v>
      </c>
      <c r="F31" s="3">
        <v>1519</v>
      </c>
      <c r="G31" s="3">
        <v>3</v>
      </c>
      <c r="H31" s="3">
        <v>44.3</v>
      </c>
      <c r="I31" s="4">
        <f>IF(ISNUMBER(SEARCH("Brennstoffzelle",$R31)),Kostenberechnung!$B$17,Kostenberechnung!$B$5*IF($G31=14,Kostenberechnung!$B$10*$F31^Kostenberechnung!$C$10,IF($G31=25,Kostenberechnung!$B$9*$F31^Kostenberechnung!$C$9*Kostenberechnung!$B$15,Kostenberechnung!$B$9*$F31^Kostenberechnung!$C$9)))</f>
        <v>286.68001415099752</v>
      </c>
      <c r="J31" s="3">
        <f>4.8*1.9</f>
        <v>9.1199999999999992</v>
      </c>
      <c r="K31" s="5">
        <f>IF(ISNUMBER(SEARCH("Brennstoffzelle",$R31)),Kostenberechnung!$B$18/100,Kostenberechnung!$B$5*IF($G31=14,Kostenberechnung!$B$12*$F31^Kostenberechnung!$C$12,IF($G31=25,Kostenberechnung!$B$11*$F31^Kostenberechnung!$C$11*Kostenberechnung!$B$16,Kostenberechnung!$B$11*$F31^Kostenberechnung!$C$11))/100)</f>
        <v>6.9148240254205458E-3</v>
      </c>
      <c r="L31" s="3"/>
      <c r="M31" s="3">
        <v>500</v>
      </c>
      <c r="N31" s="3"/>
      <c r="O31" s="3">
        <v>1000</v>
      </c>
      <c r="P31" s="3"/>
      <c r="Q31" s="3"/>
      <c r="R31" s="3" t="s">
        <v>105</v>
      </c>
      <c r="S31" s="3"/>
      <c r="T31" s="3"/>
      <c r="U31" s="3"/>
      <c r="V31" s="3"/>
      <c r="W31" s="3"/>
      <c r="X31" s="3"/>
      <c r="Y31" s="3">
        <v>91</v>
      </c>
      <c r="Z31" s="3">
        <v>77</v>
      </c>
    </row>
    <row r="32" spans="1:26" x14ac:dyDescent="0.35">
      <c r="A32" s="2">
        <v>31</v>
      </c>
      <c r="B32" s="2" t="s">
        <v>106</v>
      </c>
      <c r="C32" s="2" t="s">
        <v>27</v>
      </c>
      <c r="D32" s="2" t="s">
        <v>107</v>
      </c>
      <c r="E32" s="3">
        <v>2147</v>
      </c>
      <c r="F32" s="3">
        <v>2032</v>
      </c>
      <c r="G32" s="3">
        <v>3</v>
      </c>
      <c r="H32" s="3">
        <v>44</v>
      </c>
      <c r="I32" s="4">
        <f>IF(ISNUMBER(SEARCH("Brennstoffzelle",$R32)),Kostenberechnung!$B$17,Kostenberechnung!$B$5*IF($G32=14,Kostenberechnung!$B$10*$F32^Kostenberechnung!$C$10,IF($G32=25,Kostenberechnung!$B$9*$F32^Kostenberechnung!$C$9*Kostenberechnung!$B$15,Kostenberechnung!$B$9*$F32^Kostenberechnung!$C$9)))</f>
        <v>246.49805663552283</v>
      </c>
      <c r="J32" s="3">
        <f>5.5*2.1</f>
        <v>11.55</v>
      </c>
      <c r="K32" s="5">
        <f>IF(ISNUMBER(SEARCH("Brennstoffzelle",$R32)),Kostenberechnung!$B$18/100,Kostenberechnung!$B$5*IF($G32=14,Kostenberechnung!$B$12*$F32^Kostenberechnung!$C$12,IF($G32=25,Kostenberechnung!$B$11*$F32^Kostenberechnung!$C$11*Kostenberechnung!$B$16,Kostenberechnung!$B$11*$F32^Kostenberechnung!$C$11))/100)</f>
        <v>6.5353092310527702E-3</v>
      </c>
      <c r="L32" s="3"/>
      <c r="M32" s="3">
        <v>500</v>
      </c>
      <c r="N32" s="3"/>
      <c r="O32" s="3">
        <v>1000</v>
      </c>
      <c r="P32" s="3"/>
      <c r="Q32" s="3"/>
      <c r="R32" s="3" t="s">
        <v>108</v>
      </c>
      <c r="S32" s="3"/>
      <c r="T32" s="3"/>
      <c r="U32" s="3"/>
      <c r="V32" s="3"/>
      <c r="W32" s="3"/>
      <c r="X32" s="3"/>
      <c r="Y32" s="3">
        <v>91</v>
      </c>
      <c r="Z32" s="3">
        <v>78</v>
      </c>
    </row>
    <row r="33" spans="1:26" x14ac:dyDescent="0.35">
      <c r="A33" s="2">
        <v>32</v>
      </c>
      <c r="B33" s="2" t="s">
        <v>109</v>
      </c>
      <c r="C33" s="2" t="s">
        <v>27</v>
      </c>
      <c r="D33" s="2" t="s">
        <v>110</v>
      </c>
      <c r="E33" s="3">
        <v>2683</v>
      </c>
      <c r="F33" s="3">
        <v>2547</v>
      </c>
      <c r="G33" s="3">
        <v>3</v>
      </c>
      <c r="H33" s="3">
        <v>44.1</v>
      </c>
      <c r="I33" s="4">
        <f>IF(ISNUMBER(SEARCH("Brennstoffzelle",$R33)),Kostenberechnung!$B$17,Kostenberechnung!$B$5*IF($G33=14,Kostenberechnung!$B$10*$F33^Kostenberechnung!$C$10,IF($G33=25,Kostenberechnung!$B$9*$F33^Kostenberechnung!$C$9*Kostenberechnung!$B$15,Kostenberechnung!$B$9*$F33^Kostenberechnung!$C$9)))</f>
        <v>219.22843290509252</v>
      </c>
      <c r="J33" s="3">
        <f>6.2*2.1</f>
        <v>13.020000000000001</v>
      </c>
      <c r="K33" s="5">
        <f>IF(ISNUMBER(SEARCH("Brennstoffzelle",$R33)),Kostenberechnung!$B$18/100,Kostenberechnung!$B$5*IF($G33=14,Kostenberechnung!$B$12*$F33^Kostenberechnung!$C$12,IF($G33=25,Kostenberechnung!$B$11*$F33^Kostenberechnung!$C$11*Kostenberechnung!$B$16,Kostenberechnung!$B$11*$F33^Kostenberechnung!$C$11))/100)</f>
        <v>6.2550923369391305E-3</v>
      </c>
      <c r="L33" s="3"/>
      <c r="M33" s="3">
        <v>500</v>
      </c>
      <c r="N33" s="3"/>
      <c r="O33" s="3">
        <v>1000</v>
      </c>
      <c r="P33" s="3"/>
      <c r="Q33" s="3"/>
      <c r="R33" s="3" t="s">
        <v>111</v>
      </c>
      <c r="S33" s="3"/>
      <c r="T33" s="3"/>
      <c r="U33" s="3"/>
      <c r="V33" s="3"/>
      <c r="W33" s="3"/>
      <c r="X33" s="3"/>
      <c r="Y33" s="3">
        <v>92</v>
      </c>
      <c r="Z33" s="3">
        <v>77</v>
      </c>
    </row>
    <row r="34" spans="1:26" x14ac:dyDescent="0.35">
      <c r="A34" s="2">
        <v>33</v>
      </c>
      <c r="B34" s="2" t="s">
        <v>112</v>
      </c>
      <c r="C34" s="2" t="s">
        <v>27</v>
      </c>
      <c r="D34" s="2" t="s">
        <v>113</v>
      </c>
      <c r="E34" s="3">
        <v>1052</v>
      </c>
      <c r="F34" s="3">
        <v>1035</v>
      </c>
      <c r="G34" s="3">
        <v>3</v>
      </c>
      <c r="H34" s="3">
        <v>43.8</v>
      </c>
      <c r="I34" s="4">
        <f>IF(ISNUMBER(SEARCH("Brennstoffzelle",$R34)),Kostenberechnung!$B$17,Kostenberechnung!$B$5*IF($G34=14,Kostenberechnung!$B$10*$F34^Kostenberechnung!$C$10,IF($G34=25,Kostenberechnung!$B$9*$F34^Kostenberechnung!$C$9*Kostenberechnung!$B$15,Kostenberechnung!$B$9*$F34^Kostenberechnung!$C$9)))</f>
        <v>349.84193006276746</v>
      </c>
      <c r="J34" s="3">
        <f>6.295*1.675</f>
        <v>10.544124999999999</v>
      </c>
      <c r="K34" s="5">
        <f>IF(ISNUMBER(SEARCH("Brennstoffzelle",$R34)),Kostenberechnung!$B$18/100,Kostenberechnung!$B$5*IF($G34=14,Kostenberechnung!$B$12*$F34^Kostenberechnung!$C$12,IF($G34=25,Kostenberechnung!$B$11*$F34^Kostenberechnung!$C$11*Kostenberechnung!$B$16,Kostenberechnung!$B$11*$F34^Kostenberechnung!$C$11))/100)</f>
        <v>7.4491190058518812E-3</v>
      </c>
      <c r="L34" s="3"/>
      <c r="M34" s="3">
        <v>500</v>
      </c>
      <c r="N34" s="3"/>
      <c r="O34" s="3">
        <v>1000</v>
      </c>
      <c r="P34" s="3"/>
      <c r="Q34" s="3"/>
      <c r="R34" s="3" t="s">
        <v>114</v>
      </c>
      <c r="S34" s="3"/>
      <c r="T34" s="3"/>
      <c r="U34" s="3"/>
      <c r="V34" s="3"/>
      <c r="W34" s="3"/>
      <c r="X34" s="3"/>
      <c r="Y34" s="3">
        <v>90</v>
      </c>
      <c r="Z34" s="3">
        <v>70</v>
      </c>
    </row>
    <row r="35" spans="1:26" x14ac:dyDescent="0.35">
      <c r="A35" s="2">
        <v>34</v>
      </c>
      <c r="B35" s="2" t="s">
        <v>115</v>
      </c>
      <c r="C35" s="2" t="s">
        <v>27</v>
      </c>
      <c r="D35" s="2" t="s">
        <v>116</v>
      </c>
      <c r="E35" s="3">
        <v>628</v>
      </c>
      <c r="F35" s="3">
        <v>600</v>
      </c>
      <c r="G35" s="3">
        <v>3</v>
      </c>
      <c r="H35" s="3">
        <v>42.8</v>
      </c>
      <c r="I35" s="4">
        <f>IF(ISNUMBER(SEARCH("Brennstoffzelle",$R35)),Kostenberechnung!$B$17,Kostenberechnung!$B$5*IF($G35=14,Kostenberechnung!$B$10*$F35^Kostenberechnung!$C$10,IF($G35=25,Kostenberechnung!$B$9*$F35^Kostenberechnung!$C$9*Kostenberechnung!$B$15,Kostenberechnung!$B$9*$F35^Kostenberechnung!$C$9)))</f>
        <v>464.26442124242766</v>
      </c>
      <c r="J35" s="3">
        <f>4.545*1.31</f>
        <v>5.9539499999999999</v>
      </c>
      <c r="K35" s="5">
        <f>IF(ISNUMBER(SEARCH("Brennstoffzelle",$R35)),Kostenberechnung!$B$18/100,Kostenberechnung!$B$5*IF($G35=14,Kostenberechnung!$B$12*$F35^Kostenberechnung!$C$12,IF($G35=25,Kostenberechnung!$B$11*$F35^Kostenberechnung!$C$11*Kostenberechnung!$B$16,Kostenberechnung!$B$11*$F35^Kostenberechnung!$C$11))/100)</f>
        <v>8.2802223255173234E-3</v>
      </c>
      <c r="L35" s="3"/>
      <c r="M35" s="3">
        <v>500</v>
      </c>
      <c r="N35" s="3"/>
      <c r="O35" s="3">
        <v>1000</v>
      </c>
      <c r="P35" s="3"/>
      <c r="Q35" s="3"/>
      <c r="R35" s="3" t="s">
        <v>117</v>
      </c>
      <c r="S35" s="3"/>
      <c r="T35" s="3"/>
      <c r="U35" s="3"/>
      <c r="V35" s="3"/>
      <c r="W35" s="3"/>
      <c r="X35" s="3"/>
      <c r="Y35" s="3">
        <v>90</v>
      </c>
      <c r="Z35" s="3">
        <v>70</v>
      </c>
    </row>
    <row r="36" spans="1:26" x14ac:dyDescent="0.35">
      <c r="A36" s="2">
        <v>35</v>
      </c>
      <c r="B36" s="2" t="s">
        <v>118</v>
      </c>
      <c r="C36" s="2" t="s">
        <v>27</v>
      </c>
      <c r="D36" s="2" t="s">
        <v>119</v>
      </c>
      <c r="E36" s="3">
        <v>786</v>
      </c>
      <c r="F36" s="3">
        <v>800</v>
      </c>
      <c r="G36" s="3">
        <v>3</v>
      </c>
      <c r="H36" s="3">
        <v>43.4</v>
      </c>
      <c r="I36" s="4">
        <f>IF(ISNUMBER(SEARCH("Brennstoffzelle",$R36)),Kostenberechnung!$B$17,Kostenberechnung!$B$5*IF($G36=14,Kostenberechnung!$B$10*$F36^Kostenberechnung!$C$10,IF($G36=25,Kostenberechnung!$B$9*$F36^Kostenberechnung!$C$9*Kostenberechnung!$B$15,Kostenberechnung!$B$9*$F36^Kostenberechnung!$C$9)))</f>
        <v>399.87310835789305</v>
      </c>
      <c r="J36" s="3">
        <f>5.505*1.675</f>
        <v>9.2208749999999995</v>
      </c>
      <c r="K36" s="5">
        <f>IF(ISNUMBER(SEARCH("Brennstoffzelle",$R36)),Kostenberechnung!$B$18/100,Kostenberechnung!$B$5*IF($G36=14,Kostenberechnung!$B$12*$F36^Kostenberechnung!$C$12,IF($G36=25,Kostenberechnung!$B$11*$F36^Kostenberechnung!$C$11*Kostenberechnung!$B$16,Kostenberechnung!$B$11*$F36^Kostenberechnung!$C$11))/100)</f>
        <v>7.8307594441465785E-3</v>
      </c>
      <c r="L36" s="3"/>
      <c r="M36" s="3">
        <v>500</v>
      </c>
      <c r="N36" s="3"/>
      <c r="O36" s="3">
        <v>1000</v>
      </c>
      <c r="P36" s="3"/>
      <c r="Q36" s="3"/>
      <c r="R36" s="3" t="s">
        <v>120</v>
      </c>
      <c r="S36" s="3"/>
      <c r="T36" s="3"/>
      <c r="U36" s="3"/>
      <c r="V36" s="3"/>
      <c r="W36" s="3"/>
      <c r="X36" s="3"/>
      <c r="Y36" s="3">
        <v>90</v>
      </c>
      <c r="Z36" s="3">
        <v>70</v>
      </c>
    </row>
  </sheetData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abSelected="1" topLeftCell="A3" zoomScaleNormal="100" workbookViewId="0">
      <selection activeCell="B24" sqref="B24"/>
    </sheetView>
  </sheetViews>
  <sheetFormatPr baseColWidth="10" defaultColWidth="8.6328125" defaultRowHeight="14.5" x14ac:dyDescent="0.35"/>
  <cols>
    <col min="1" max="1" width="34" customWidth="1"/>
    <col min="2" max="2" width="20" customWidth="1"/>
    <col min="3" max="3" width="18" customWidth="1"/>
    <col min="4" max="4" width="16.26953125" customWidth="1"/>
    <col min="5" max="5" width="19.7265625" customWidth="1"/>
  </cols>
  <sheetData>
    <row r="1" spans="1:5" ht="16.5" x14ac:dyDescent="0.35">
      <c r="A1" s="6" t="s">
        <v>121</v>
      </c>
    </row>
    <row r="3" spans="1:5" x14ac:dyDescent="0.35">
      <c r="A3" s="7" t="s">
        <v>122</v>
      </c>
    </row>
    <row r="5" spans="1:5" x14ac:dyDescent="0.35">
      <c r="A5" s="8" t="s">
        <v>123</v>
      </c>
      <c r="B5" s="9">
        <v>1</v>
      </c>
      <c r="C5" s="7" t="s">
        <v>124</v>
      </c>
    </row>
    <row r="7" spans="1:5" x14ac:dyDescent="0.35">
      <c r="A7" s="8" t="s">
        <v>125</v>
      </c>
    </row>
    <row r="8" spans="1:5" x14ac:dyDescent="0.35">
      <c r="A8" s="10" t="s">
        <v>126</v>
      </c>
      <c r="B8" s="10" t="s">
        <v>127</v>
      </c>
      <c r="C8" s="10" t="s">
        <v>128</v>
      </c>
      <c r="D8" s="10" t="s">
        <v>129</v>
      </c>
      <c r="E8" s="10" t="s">
        <v>130</v>
      </c>
    </row>
    <row r="9" spans="1:5" x14ac:dyDescent="0.35">
      <c r="A9" s="11" t="s">
        <v>131</v>
      </c>
      <c r="B9" s="9">
        <v>12841.8</v>
      </c>
      <c r="C9" s="9">
        <v>-0.51900000000000002</v>
      </c>
      <c r="D9" s="11" t="s">
        <v>132</v>
      </c>
      <c r="E9" s="12" t="s">
        <v>133</v>
      </c>
    </row>
    <row r="10" spans="1:5" x14ac:dyDescent="0.35">
      <c r="A10" s="11" t="s">
        <v>134</v>
      </c>
      <c r="B10" s="9">
        <v>15648</v>
      </c>
      <c r="C10" s="9">
        <v>-0.53600000000000003</v>
      </c>
      <c r="D10" s="11" t="s">
        <v>132</v>
      </c>
      <c r="E10" s="12" t="s">
        <v>135</v>
      </c>
    </row>
    <row r="11" spans="1:5" x14ac:dyDescent="0.35">
      <c r="A11" s="11" t="s">
        <v>136</v>
      </c>
      <c r="B11" s="9">
        <v>2.8641999999999999</v>
      </c>
      <c r="C11" s="9">
        <v>-0.19400000000000001</v>
      </c>
      <c r="D11" s="11" t="s">
        <v>137</v>
      </c>
      <c r="E11" s="12" t="s">
        <v>138</v>
      </c>
    </row>
    <row r="12" spans="1:5" x14ac:dyDescent="0.35">
      <c r="A12" s="11" t="s">
        <v>139</v>
      </c>
      <c r="B12" s="9">
        <v>17.053000000000001</v>
      </c>
      <c r="C12" s="9">
        <v>-0.47799999999999998</v>
      </c>
      <c r="D12" s="11" t="s">
        <v>137</v>
      </c>
      <c r="E12" s="12" t="s">
        <v>135</v>
      </c>
    </row>
    <row r="14" spans="1:5" x14ac:dyDescent="0.35">
      <c r="A14" s="8" t="s">
        <v>140</v>
      </c>
    </row>
    <row r="15" spans="1:5" x14ac:dyDescent="0.35">
      <c r="A15" s="11" t="s">
        <v>141</v>
      </c>
      <c r="B15" s="9">
        <v>1.4</v>
      </c>
      <c r="C15" s="11"/>
    </row>
    <row r="16" spans="1:5" x14ac:dyDescent="0.35">
      <c r="A16" s="11" t="s">
        <v>142</v>
      </c>
      <c r="B16" s="9">
        <v>1.3</v>
      </c>
      <c r="C16" s="11"/>
    </row>
    <row r="17" spans="1:5" x14ac:dyDescent="0.35">
      <c r="A17" s="11" t="s">
        <v>143</v>
      </c>
      <c r="B17" s="9">
        <v>30000</v>
      </c>
      <c r="C17" s="11" t="s">
        <v>132</v>
      </c>
    </row>
    <row r="18" spans="1:5" x14ac:dyDescent="0.35">
      <c r="A18" s="11" t="s">
        <v>144</v>
      </c>
      <c r="B18" s="9">
        <v>3.5</v>
      </c>
      <c r="C18" s="11" t="s">
        <v>137</v>
      </c>
    </row>
    <row r="20" spans="1:5" x14ac:dyDescent="0.35">
      <c r="A20" s="7" t="s">
        <v>145</v>
      </c>
    </row>
    <row r="22" spans="1:5" x14ac:dyDescent="0.35">
      <c r="A22" s="8" t="s">
        <v>146</v>
      </c>
    </row>
    <row r="23" spans="1:5" ht="30" customHeight="1" x14ac:dyDescent="0.35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</row>
    <row r="24" spans="1:5" x14ac:dyDescent="0.35">
      <c r="A24" s="11">
        <v>1</v>
      </c>
      <c r="B24" s="13">
        <f t="shared" ref="B24:B38" si="0">$B$5*$B$9*A24^$C$9</f>
        <v>12841.8</v>
      </c>
      <c r="C24" s="13">
        <f t="shared" ref="C24:C38" si="1">$B$5*$B$10*A24^$C$10</f>
        <v>15648</v>
      </c>
      <c r="D24" s="14">
        <f t="shared" ref="D24:D38" si="2">$B$5*$B$11*A24^$C$11/100</f>
        <v>2.8641999999999997E-2</v>
      </c>
      <c r="E24" s="14">
        <f t="shared" ref="E24:E38" si="3">$B$5*$B$12*A24^$C$12/100</f>
        <v>0.17053000000000001</v>
      </c>
    </row>
    <row r="25" spans="1:5" x14ac:dyDescent="0.35">
      <c r="A25" s="11">
        <v>5</v>
      </c>
      <c r="B25" s="13">
        <f t="shared" si="0"/>
        <v>5570.0676472806754</v>
      </c>
      <c r="C25" s="13">
        <f t="shared" si="1"/>
        <v>6604.058552445601</v>
      </c>
      <c r="D25" s="14">
        <f t="shared" si="2"/>
        <v>2.0960573422960573E-2</v>
      </c>
      <c r="E25" s="14">
        <f t="shared" si="3"/>
        <v>7.9012013630801306E-2</v>
      </c>
    </row>
    <row r="26" spans="1:5" x14ac:dyDescent="0.35">
      <c r="A26" s="11">
        <v>10</v>
      </c>
      <c r="B26" s="13">
        <f t="shared" si="0"/>
        <v>3887.1016860991344</v>
      </c>
      <c r="C26" s="13">
        <f t="shared" si="1"/>
        <v>4554.6901463506229</v>
      </c>
      <c r="D26" s="14">
        <f t="shared" si="2"/>
        <v>1.8323285157894005E-2</v>
      </c>
      <c r="E26" s="14">
        <f t="shared" si="3"/>
        <v>5.672843362322659E-2</v>
      </c>
    </row>
    <row r="27" spans="1:5" x14ac:dyDescent="0.35">
      <c r="A27" s="11">
        <v>20</v>
      </c>
      <c r="B27" s="13">
        <f t="shared" si="0"/>
        <v>2712.6348322629919</v>
      </c>
      <c r="C27" s="13">
        <f t="shared" si="1"/>
        <v>3141.2807994534132</v>
      </c>
      <c r="D27" s="14">
        <f t="shared" si="2"/>
        <v>1.6017824140713649E-2</v>
      </c>
      <c r="E27" s="14">
        <f t="shared" si="3"/>
        <v>4.0729441428769088E-2</v>
      </c>
    </row>
    <row r="28" spans="1:5" x14ac:dyDescent="0.35">
      <c r="A28" s="11">
        <v>50</v>
      </c>
      <c r="B28" s="13">
        <f t="shared" si="0"/>
        <v>1686.0112556986521</v>
      </c>
      <c r="C28" s="13">
        <f t="shared" si="1"/>
        <v>1922.2546277317574</v>
      </c>
      <c r="D28" s="14">
        <f t="shared" si="2"/>
        <v>1.3409208990359647E-2</v>
      </c>
      <c r="E28" s="14">
        <f t="shared" si="3"/>
        <v>2.6284101159282158E-2</v>
      </c>
    </row>
    <row r="29" spans="1:5" x14ac:dyDescent="0.35">
      <c r="A29" s="11">
        <v>100</v>
      </c>
      <c r="B29" s="13">
        <f t="shared" si="0"/>
        <v>1176.5920290048693</v>
      </c>
      <c r="C29" s="13">
        <f t="shared" si="1"/>
        <v>1325.7414576472047</v>
      </c>
      <c r="D29" s="14">
        <f t="shared" si="2"/>
        <v>1.1722043815986969E-2</v>
      </c>
      <c r="E29" s="14">
        <f t="shared" si="3"/>
        <v>1.8871255388171145E-2</v>
      </c>
    </row>
    <row r="30" spans="1:5" x14ac:dyDescent="0.35">
      <c r="A30" s="11">
        <v>160</v>
      </c>
      <c r="B30" s="13">
        <f t="shared" si="0"/>
        <v>921.90810023956544</v>
      </c>
      <c r="C30" s="13">
        <f t="shared" si="1"/>
        <v>1030.5060047191005</v>
      </c>
      <c r="D30" s="14">
        <f t="shared" si="2"/>
        <v>1.0700499813309337E-2</v>
      </c>
      <c r="E30" s="14">
        <f t="shared" si="3"/>
        <v>1.5074101677815963E-2</v>
      </c>
    </row>
    <row r="31" spans="1:5" x14ac:dyDescent="0.35">
      <c r="A31" s="11">
        <v>250</v>
      </c>
      <c r="B31" s="13">
        <f t="shared" si="0"/>
        <v>731.29909734757814</v>
      </c>
      <c r="C31" s="13">
        <f t="shared" si="1"/>
        <v>811.2654725364298</v>
      </c>
      <c r="D31" s="14">
        <f t="shared" si="2"/>
        <v>9.8130266596695905E-3</v>
      </c>
      <c r="E31" s="14">
        <f t="shared" si="3"/>
        <v>1.2178266340647175E-2</v>
      </c>
    </row>
    <row r="32" spans="1:5" x14ac:dyDescent="0.35">
      <c r="A32" s="11">
        <v>360</v>
      </c>
      <c r="B32" s="13">
        <f t="shared" si="0"/>
        <v>605.20833977261384</v>
      </c>
      <c r="C32" s="13">
        <f t="shared" si="1"/>
        <v>667.23788494026769</v>
      </c>
      <c r="D32" s="14">
        <f t="shared" si="2"/>
        <v>9.1428302231328588E-3</v>
      </c>
      <c r="E32" s="14">
        <f t="shared" si="3"/>
        <v>1.0230295930846824E-2</v>
      </c>
    </row>
    <row r="33" spans="1:5" x14ac:dyDescent="0.35">
      <c r="A33" s="11">
        <v>500</v>
      </c>
      <c r="B33" s="13">
        <f t="shared" si="0"/>
        <v>510.34101098041936</v>
      </c>
      <c r="C33" s="13">
        <f t="shared" si="1"/>
        <v>559.51394502215771</v>
      </c>
      <c r="D33" s="14">
        <f t="shared" si="2"/>
        <v>8.5783381074001769E-3</v>
      </c>
      <c r="E33" s="14">
        <f t="shared" si="3"/>
        <v>8.7436573503812329E-3</v>
      </c>
    </row>
    <row r="34" spans="1:5" x14ac:dyDescent="0.35">
      <c r="A34" s="11">
        <v>750</v>
      </c>
      <c r="B34" s="13">
        <f t="shared" si="0"/>
        <v>413.49389913433697</v>
      </c>
      <c r="C34" s="13">
        <f t="shared" si="1"/>
        <v>450.22126124281158</v>
      </c>
      <c r="D34" s="14">
        <f t="shared" si="2"/>
        <v>7.9294206105059144E-3</v>
      </c>
      <c r="E34" s="14">
        <f t="shared" si="3"/>
        <v>7.2031342341696844E-3</v>
      </c>
    </row>
    <row r="35" spans="1:5" x14ac:dyDescent="0.35">
      <c r="A35" s="11">
        <v>1000</v>
      </c>
      <c r="B35" s="13">
        <f t="shared" si="0"/>
        <v>356.14422119918015</v>
      </c>
      <c r="C35" s="13">
        <f t="shared" si="1"/>
        <v>385.88583549042932</v>
      </c>
      <c r="D35" s="14">
        <f t="shared" si="2"/>
        <v>7.4989997721408167E-3</v>
      </c>
      <c r="E35" s="14">
        <f t="shared" si="3"/>
        <v>6.2777033875260901E-3</v>
      </c>
    </row>
    <row r="36" spans="1:5" x14ac:dyDescent="0.35">
      <c r="A36" s="11">
        <v>1500</v>
      </c>
      <c r="B36" s="13">
        <f t="shared" si="0"/>
        <v>288.55894296031977</v>
      </c>
      <c r="C36" s="13">
        <f t="shared" si="1"/>
        <v>310.50880696701324</v>
      </c>
      <c r="D36" s="14">
        <f t="shared" si="2"/>
        <v>6.9317299699456405E-3</v>
      </c>
      <c r="E36" s="14">
        <f t="shared" si="3"/>
        <v>5.1716505314198498E-3</v>
      </c>
    </row>
    <row r="37" spans="1:5" x14ac:dyDescent="0.35">
      <c r="A37" s="11">
        <v>2000</v>
      </c>
      <c r="B37" s="13">
        <f t="shared" si="0"/>
        <v>248.5371615538007</v>
      </c>
      <c r="C37" s="13">
        <f t="shared" si="1"/>
        <v>266.13792088104208</v>
      </c>
      <c r="D37" s="14">
        <f t="shared" si="2"/>
        <v>6.5554652752677625E-3</v>
      </c>
      <c r="E37" s="14">
        <f t="shared" si="3"/>
        <v>4.5072168593201182E-3</v>
      </c>
    </row>
    <row r="38" spans="1:5" x14ac:dyDescent="0.35">
      <c r="A38" s="11">
        <v>2547</v>
      </c>
      <c r="B38" s="13">
        <f t="shared" si="0"/>
        <v>219.22843290509252</v>
      </c>
      <c r="C38" s="13">
        <f t="shared" si="1"/>
        <v>233.79074933603195</v>
      </c>
      <c r="D38" s="14">
        <f t="shared" si="2"/>
        <v>6.2550923369391305E-3</v>
      </c>
      <c r="E38" s="14">
        <f t="shared" si="3"/>
        <v>4.0153088532505939E-3</v>
      </c>
    </row>
    <row r="40" spans="1:5" x14ac:dyDescent="0.35">
      <c r="A40" s="8" t="s">
        <v>152</v>
      </c>
    </row>
    <row r="41" spans="1:5" x14ac:dyDescent="0.35">
      <c r="A41" s="10" t="s">
        <v>147</v>
      </c>
      <c r="B41" s="10" t="s">
        <v>153</v>
      </c>
      <c r="C41" s="10" t="s">
        <v>154</v>
      </c>
      <c r="D41" s="10" t="s">
        <v>155</v>
      </c>
      <c r="E41" s="10" t="s">
        <v>156</v>
      </c>
    </row>
    <row r="42" spans="1:5" x14ac:dyDescent="0.35">
      <c r="A42" s="11">
        <v>1</v>
      </c>
      <c r="B42" s="13">
        <v>11000</v>
      </c>
      <c r="C42" s="13">
        <f t="shared" ref="C42:C48" si="4">$B$5*$B$9*A42^$C$9</f>
        <v>12841.8</v>
      </c>
      <c r="D42" s="15">
        <f t="shared" ref="D42:D48" si="5">C42/B42-1</f>
        <v>0.16743636363636361</v>
      </c>
      <c r="E42" s="12" t="s">
        <v>157</v>
      </c>
    </row>
    <row r="43" spans="1:5" x14ac:dyDescent="0.35">
      <c r="A43" s="11">
        <v>2</v>
      </c>
      <c r="B43" s="13">
        <v>11000</v>
      </c>
      <c r="C43" s="13">
        <f t="shared" si="4"/>
        <v>8961.7192453520202</v>
      </c>
      <c r="D43" s="15">
        <f t="shared" si="5"/>
        <v>-0.18529825042254366</v>
      </c>
      <c r="E43" s="12" t="s">
        <v>158</v>
      </c>
    </row>
    <row r="44" spans="1:5" x14ac:dyDescent="0.35">
      <c r="A44" s="11">
        <v>4</v>
      </c>
      <c r="B44" s="13">
        <v>7000</v>
      </c>
      <c r="C44" s="13">
        <f t="shared" si="4"/>
        <v>6253.9840078892967</v>
      </c>
      <c r="D44" s="15">
        <f t="shared" si="5"/>
        <v>-0.10657371315867192</v>
      </c>
      <c r="E44" s="12" t="s">
        <v>159</v>
      </c>
    </row>
    <row r="45" spans="1:5" x14ac:dyDescent="0.35">
      <c r="A45" s="11">
        <v>30</v>
      </c>
      <c r="B45" s="13">
        <v>1700</v>
      </c>
      <c r="C45" s="13">
        <f t="shared" si="4"/>
        <v>2197.8597243541503</v>
      </c>
      <c r="D45" s="15">
        <f t="shared" si="5"/>
        <v>0.29285866138479433</v>
      </c>
      <c r="E45" s="12" t="s">
        <v>160</v>
      </c>
    </row>
    <row r="46" spans="1:5" x14ac:dyDescent="0.35">
      <c r="A46" s="11">
        <v>50</v>
      </c>
      <c r="B46" s="13">
        <v>3800</v>
      </c>
      <c r="C46" s="13">
        <f t="shared" si="4"/>
        <v>1686.0112556986521</v>
      </c>
      <c r="D46" s="15">
        <f t="shared" si="5"/>
        <v>-0.55631282744772315</v>
      </c>
      <c r="E46" s="12" t="s">
        <v>161</v>
      </c>
    </row>
    <row r="47" spans="1:5" x14ac:dyDescent="0.35">
      <c r="A47" s="11">
        <v>250</v>
      </c>
      <c r="B47" s="13">
        <v>750</v>
      </c>
      <c r="C47" s="13">
        <f t="shared" si="4"/>
        <v>731.29909734757814</v>
      </c>
      <c r="D47" s="15">
        <f t="shared" si="5"/>
        <v>-2.4934536869895774E-2</v>
      </c>
      <c r="E47" s="12" t="s">
        <v>162</v>
      </c>
    </row>
    <row r="48" spans="1:5" x14ac:dyDescent="0.35">
      <c r="A48" s="11">
        <v>500</v>
      </c>
      <c r="B48" s="13">
        <v>550</v>
      </c>
      <c r="C48" s="13">
        <f t="shared" si="4"/>
        <v>510.34101098041936</v>
      </c>
      <c r="D48" s="15">
        <f t="shared" si="5"/>
        <v>-7.2107252762873886E-2</v>
      </c>
      <c r="E48" s="12" t="s">
        <v>163</v>
      </c>
    </row>
    <row r="50" spans="1:6" x14ac:dyDescent="0.35">
      <c r="A50" s="8" t="s">
        <v>164</v>
      </c>
    </row>
    <row r="51" spans="1:6" x14ac:dyDescent="0.35">
      <c r="A51" s="10" t="s">
        <v>147</v>
      </c>
      <c r="B51" s="10" t="s">
        <v>165</v>
      </c>
      <c r="C51" s="10" t="s">
        <v>166</v>
      </c>
      <c r="D51" s="10" t="s">
        <v>155</v>
      </c>
      <c r="E51" s="10" t="s">
        <v>156</v>
      </c>
      <c r="F51" s="16" t="s">
        <v>167</v>
      </c>
    </row>
    <row r="52" spans="1:6" x14ac:dyDescent="0.35">
      <c r="A52" s="11">
        <v>2</v>
      </c>
      <c r="B52" s="17">
        <v>2.5</v>
      </c>
      <c r="C52" s="17">
        <f>$B$5*$B$11*A52^$C$11</f>
        <v>2.5038224045793909</v>
      </c>
      <c r="D52" s="15">
        <f>C52/B52-1</f>
        <v>1.5289618317564369E-3</v>
      </c>
      <c r="E52" s="12" t="s">
        <v>168</v>
      </c>
      <c r="F52" s="14">
        <f>B52/100</f>
        <v>2.5000000000000001E-2</v>
      </c>
    </row>
    <row r="53" spans="1:6" x14ac:dyDescent="0.35">
      <c r="A53" s="11">
        <v>10</v>
      </c>
      <c r="B53" s="17">
        <v>2</v>
      </c>
      <c r="C53" s="17">
        <f>$B$5*$B$11*A53^$C$11</f>
        <v>1.8323285157894005</v>
      </c>
      <c r="D53" s="15">
        <f>C53/B53-1</f>
        <v>-8.383574210529976E-2</v>
      </c>
      <c r="E53" s="12" t="s">
        <v>169</v>
      </c>
      <c r="F53" s="14">
        <f>B53/100</f>
        <v>0.02</v>
      </c>
    </row>
    <row r="54" spans="1:6" x14ac:dyDescent="0.35">
      <c r="A54" s="11">
        <v>30</v>
      </c>
      <c r="B54" s="17">
        <v>1.4</v>
      </c>
      <c r="C54" s="17">
        <f>$B$5*$B$11*A54^$C$11</f>
        <v>1.4806138821605315</v>
      </c>
      <c r="D54" s="15">
        <f>C54/B54-1</f>
        <v>5.7581344400379653E-2</v>
      </c>
      <c r="E54" s="12" t="s">
        <v>170</v>
      </c>
      <c r="F54" s="14">
        <f>B54/100</f>
        <v>1.3999999999999999E-2</v>
      </c>
    </row>
    <row r="55" spans="1:6" x14ac:dyDescent="0.35">
      <c r="A55" s="11">
        <v>50</v>
      </c>
      <c r="B55" s="17">
        <v>1.25</v>
      </c>
      <c r="C55" s="17">
        <f>$B$5*$B$11*A55^$C$11</f>
        <v>1.3409208990359647</v>
      </c>
      <c r="D55" s="15">
        <f>C55/B55-1</f>
        <v>7.2736719228771785E-2</v>
      </c>
      <c r="E55" s="12" t="s">
        <v>171</v>
      </c>
      <c r="F55" s="14">
        <f>B55/100</f>
        <v>1.2500000000000001E-2</v>
      </c>
    </row>
    <row r="56" spans="1:6" x14ac:dyDescent="0.35">
      <c r="A56" s="11">
        <v>500</v>
      </c>
      <c r="B56" s="17">
        <v>0.9</v>
      </c>
      <c r="C56" s="17">
        <f>$B$5*$B$11*A56^$C$11</f>
        <v>0.85783381074001763</v>
      </c>
      <c r="D56" s="15">
        <f>C56/B56-1</f>
        <v>-4.6851321399980383E-2</v>
      </c>
      <c r="E56" s="12" t="s">
        <v>172</v>
      </c>
      <c r="F56" s="14">
        <f>B56/100</f>
        <v>9.0000000000000011E-3</v>
      </c>
    </row>
    <row r="58" spans="1:6" x14ac:dyDescent="0.35">
      <c r="A58" s="7" t="s">
        <v>173</v>
      </c>
    </row>
    <row r="59" spans="1:6" x14ac:dyDescent="0.35">
      <c r="A59" s="7" t="s">
        <v>174</v>
      </c>
    </row>
    <row r="60" spans="1:6" x14ac:dyDescent="0.35">
      <c r="A60" s="7" t="s">
        <v>175</v>
      </c>
    </row>
    <row r="61" spans="1:6" x14ac:dyDescent="0.35">
      <c r="A61" s="7" t="s">
        <v>176</v>
      </c>
    </row>
    <row r="62" spans="1:6" x14ac:dyDescent="0.35">
      <c r="A62" s="7" t="s">
        <v>177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9"/>
  <sheetViews>
    <sheetView topLeftCell="A17" zoomScaleNormal="100" workbookViewId="0">
      <selection activeCell="A9" sqref="A9"/>
    </sheetView>
  </sheetViews>
  <sheetFormatPr baseColWidth="10" defaultColWidth="10.6328125" defaultRowHeight="14.5" x14ac:dyDescent="0.35"/>
  <sheetData>
    <row r="3" spans="1:2" x14ac:dyDescent="0.35">
      <c r="A3" t="s">
        <v>178</v>
      </c>
      <c r="B3" t="s">
        <v>179</v>
      </c>
    </row>
    <row r="4" spans="1:2" x14ac:dyDescent="0.35">
      <c r="A4" s="18" t="s">
        <v>180</v>
      </c>
      <c r="B4" s="18" t="s">
        <v>0</v>
      </c>
    </row>
    <row r="5" spans="1:2" x14ac:dyDescent="0.35">
      <c r="A5" s="19" t="s">
        <v>181</v>
      </c>
      <c r="B5" s="20">
        <v>1</v>
      </c>
    </row>
    <row r="6" spans="1:2" x14ac:dyDescent="0.35">
      <c r="A6" s="19" t="s">
        <v>182</v>
      </c>
      <c r="B6" s="20">
        <v>2</v>
      </c>
    </row>
    <row r="7" spans="1:2" x14ac:dyDescent="0.35">
      <c r="A7" s="19" t="s">
        <v>183</v>
      </c>
      <c r="B7" s="20">
        <v>3</v>
      </c>
    </row>
    <row r="8" spans="1:2" ht="28.5" customHeight="1" x14ac:dyDescent="0.35">
      <c r="A8" s="19" t="s">
        <v>184</v>
      </c>
      <c r="B8" s="20">
        <v>4</v>
      </c>
    </row>
    <row r="9" spans="1:2" ht="28.5" customHeight="1" x14ac:dyDescent="0.35">
      <c r="A9" s="19" t="s">
        <v>185</v>
      </c>
      <c r="B9" s="20">
        <v>5</v>
      </c>
    </row>
    <row r="10" spans="1:2" x14ac:dyDescent="0.35">
      <c r="A10" s="19" t="s">
        <v>186</v>
      </c>
      <c r="B10" s="20">
        <v>6</v>
      </c>
    </row>
    <row r="11" spans="1:2" x14ac:dyDescent="0.35">
      <c r="A11" s="19" t="s">
        <v>187</v>
      </c>
      <c r="B11" s="20">
        <v>7</v>
      </c>
    </row>
    <row r="12" spans="1:2" x14ac:dyDescent="0.35">
      <c r="A12" s="19" t="s">
        <v>188</v>
      </c>
      <c r="B12" s="20">
        <v>8</v>
      </c>
    </row>
    <row r="13" spans="1:2" x14ac:dyDescent="0.35">
      <c r="A13" s="19" t="s">
        <v>189</v>
      </c>
      <c r="B13" s="20">
        <v>9</v>
      </c>
    </row>
    <row r="14" spans="1:2" x14ac:dyDescent="0.35">
      <c r="A14" s="19" t="s">
        <v>190</v>
      </c>
      <c r="B14" s="20">
        <v>10</v>
      </c>
    </row>
    <row r="15" spans="1:2" x14ac:dyDescent="0.35">
      <c r="A15" s="19" t="s">
        <v>191</v>
      </c>
      <c r="B15" s="20">
        <v>11</v>
      </c>
    </row>
    <row r="16" spans="1:2" x14ac:dyDescent="0.35">
      <c r="A16" s="19" t="s">
        <v>192</v>
      </c>
      <c r="B16" s="20">
        <v>12</v>
      </c>
    </row>
    <row r="17" spans="1:2" ht="28.5" customHeight="1" x14ac:dyDescent="0.35">
      <c r="A17" s="19" t="s">
        <v>193</v>
      </c>
      <c r="B17" s="20">
        <v>13</v>
      </c>
    </row>
    <row r="18" spans="1:2" x14ac:dyDescent="0.35">
      <c r="A18" s="19" t="s">
        <v>194</v>
      </c>
      <c r="B18" s="20">
        <v>14</v>
      </c>
    </row>
    <row r="19" spans="1:2" x14ac:dyDescent="0.35">
      <c r="A19" s="19" t="s">
        <v>195</v>
      </c>
      <c r="B19" s="20">
        <v>15</v>
      </c>
    </row>
    <row r="20" spans="1:2" x14ac:dyDescent="0.35">
      <c r="A20" s="19" t="s">
        <v>196</v>
      </c>
      <c r="B20" s="20">
        <v>16</v>
      </c>
    </row>
    <row r="21" spans="1:2" ht="28.5" customHeight="1" x14ac:dyDescent="0.35">
      <c r="A21" s="19" t="s">
        <v>197</v>
      </c>
      <c r="B21" s="20">
        <v>17</v>
      </c>
    </row>
    <row r="22" spans="1:2" ht="29" x14ac:dyDescent="0.35">
      <c r="A22" s="19" t="s">
        <v>198</v>
      </c>
      <c r="B22" s="20">
        <v>18</v>
      </c>
    </row>
    <row r="23" spans="1:2" ht="28.5" customHeight="1" x14ac:dyDescent="0.35">
      <c r="A23" s="19" t="s">
        <v>199</v>
      </c>
      <c r="B23" s="20">
        <v>19</v>
      </c>
    </row>
    <row r="24" spans="1:2" ht="28.5" customHeight="1" x14ac:dyDescent="0.35">
      <c r="A24" s="19" t="s">
        <v>200</v>
      </c>
      <c r="B24" s="20">
        <v>20</v>
      </c>
    </row>
    <row r="25" spans="1:2" ht="28.5" customHeight="1" x14ac:dyDescent="0.35">
      <c r="A25" s="19" t="s">
        <v>201</v>
      </c>
      <c r="B25" s="20">
        <v>21</v>
      </c>
    </row>
    <row r="26" spans="1:2" ht="43.5" customHeight="1" x14ac:dyDescent="0.35">
      <c r="A26" s="19" t="s">
        <v>202</v>
      </c>
      <c r="B26" s="20">
        <v>22</v>
      </c>
    </row>
    <row r="27" spans="1:2" ht="29" x14ac:dyDescent="0.35">
      <c r="A27" s="19" t="s">
        <v>203</v>
      </c>
      <c r="B27" s="20">
        <v>23</v>
      </c>
    </row>
    <row r="28" spans="1:2" x14ac:dyDescent="0.35">
      <c r="A28" s="19" t="s">
        <v>204</v>
      </c>
      <c r="B28" s="20">
        <v>24</v>
      </c>
    </row>
    <row r="29" spans="1:2" ht="28.5" customHeight="1" x14ac:dyDescent="0.35">
      <c r="A29" s="19" t="s">
        <v>205</v>
      </c>
      <c r="B29" s="20">
        <v>25</v>
      </c>
    </row>
  </sheetData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Normal="100" workbookViewId="0"/>
  </sheetViews>
  <sheetFormatPr baseColWidth="10" defaultColWidth="8.7265625" defaultRowHeight="14.5" x14ac:dyDescent="0.35"/>
  <cols>
    <col min="1" max="1" width="24" customWidth="1"/>
    <col min="2" max="2" width="52" customWidth="1"/>
    <col min="3" max="3" width="40" customWidth="1"/>
  </cols>
  <sheetData>
    <row r="1" spans="1:3" x14ac:dyDescent="0.35">
      <c r="A1" s="21" t="s">
        <v>206</v>
      </c>
      <c r="B1" s="21" t="s">
        <v>207</v>
      </c>
      <c r="C1" s="21" t="s">
        <v>156</v>
      </c>
    </row>
    <row r="2" spans="1:3" x14ac:dyDescent="0.35">
      <c r="A2" s="22" t="s">
        <v>4</v>
      </c>
      <c r="B2" s="22" t="s">
        <v>208</v>
      </c>
      <c r="C2" s="22" t="s">
        <v>209</v>
      </c>
    </row>
    <row r="3" spans="1:3" x14ac:dyDescent="0.35">
      <c r="A3" s="22" t="s">
        <v>5</v>
      </c>
      <c r="B3" s="22" t="s">
        <v>210</v>
      </c>
      <c r="C3" s="22" t="s">
        <v>209</v>
      </c>
    </row>
    <row r="4" spans="1:3" x14ac:dyDescent="0.35">
      <c r="A4" s="22" t="s">
        <v>6</v>
      </c>
      <c r="B4" s="22" t="s">
        <v>211</v>
      </c>
      <c r="C4" s="22" t="s">
        <v>209</v>
      </c>
    </row>
    <row r="5" spans="1:3" x14ac:dyDescent="0.35">
      <c r="A5" s="22" t="s">
        <v>7</v>
      </c>
      <c r="B5" s="22" t="s">
        <v>212</v>
      </c>
      <c r="C5" s="22" t="s">
        <v>209</v>
      </c>
    </row>
    <row r="6" spans="1:3" x14ac:dyDescent="0.35">
      <c r="A6" s="22" t="s">
        <v>9</v>
      </c>
      <c r="B6" s="22" t="s">
        <v>213</v>
      </c>
      <c r="C6" s="22" t="s">
        <v>214</v>
      </c>
    </row>
    <row r="7" spans="1:3" x14ac:dyDescent="0.35">
      <c r="A7" s="22" t="s">
        <v>12</v>
      </c>
      <c r="B7" s="22" t="s">
        <v>215</v>
      </c>
      <c r="C7" s="22" t="s">
        <v>216</v>
      </c>
    </row>
    <row r="8" spans="1:3" x14ac:dyDescent="0.35">
      <c r="A8" s="22" t="s">
        <v>14</v>
      </c>
      <c r="B8" s="22" t="s">
        <v>217</v>
      </c>
      <c r="C8" s="22" t="s">
        <v>216</v>
      </c>
    </row>
    <row r="9" spans="1:3" x14ac:dyDescent="0.35">
      <c r="A9" s="22" t="s">
        <v>17</v>
      </c>
      <c r="B9" s="22" t="s">
        <v>218</v>
      </c>
      <c r="C9" s="22" t="s">
        <v>219</v>
      </c>
    </row>
    <row r="10" spans="1:3" x14ac:dyDescent="0.35">
      <c r="A10" s="22" t="s">
        <v>18</v>
      </c>
      <c r="B10" s="22" t="s">
        <v>220</v>
      </c>
      <c r="C10" s="22" t="s">
        <v>219</v>
      </c>
    </row>
    <row r="11" spans="1:3" x14ac:dyDescent="0.35">
      <c r="A11" s="22" t="s">
        <v>24</v>
      </c>
      <c r="B11" s="22" t="s">
        <v>221</v>
      </c>
      <c r="C11" s="22" t="s">
        <v>222</v>
      </c>
    </row>
    <row r="12" spans="1:3" x14ac:dyDescent="0.35">
      <c r="A12" s="22" t="s">
        <v>25</v>
      </c>
      <c r="B12" s="22" t="s">
        <v>223</v>
      </c>
      <c r="C12" s="22" t="s">
        <v>222</v>
      </c>
    </row>
    <row r="13" spans="1:3" x14ac:dyDescent="0.35">
      <c r="A13" s="22" t="s">
        <v>8</v>
      </c>
      <c r="B13" s="22" t="s">
        <v>224</v>
      </c>
      <c r="C13" s="22" t="s">
        <v>225</v>
      </c>
    </row>
    <row r="14" spans="1:3" x14ac:dyDescent="0.35">
      <c r="A14" s="22" t="s">
        <v>10</v>
      </c>
      <c r="B14" s="22" t="s">
        <v>226</v>
      </c>
      <c r="C14" s="22" t="s">
        <v>225</v>
      </c>
    </row>
    <row r="15" spans="1:3" x14ac:dyDescent="0.35">
      <c r="A15" s="22" t="s">
        <v>11</v>
      </c>
      <c r="B15" s="22" t="s">
        <v>227</v>
      </c>
      <c r="C15" s="22" t="s">
        <v>228</v>
      </c>
    </row>
    <row r="16" spans="1:3" x14ac:dyDescent="0.35">
      <c r="A16" s="22" t="s">
        <v>229</v>
      </c>
      <c r="B16" s="22" t="s">
        <v>230</v>
      </c>
      <c r="C16" s="22" t="s">
        <v>228</v>
      </c>
    </row>
    <row r="17" spans="1:3" x14ac:dyDescent="0.35">
      <c r="A17" s="22" t="s">
        <v>231</v>
      </c>
      <c r="B17" s="22" t="s">
        <v>232</v>
      </c>
      <c r="C17" s="22" t="s">
        <v>228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Tab_BHKW</vt:lpstr>
      <vt:lpstr>Kostenberechnung</vt:lpstr>
      <vt:lpstr>Energieträger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info</cp:lastModifiedBy>
  <cp:revision>1</cp:revision>
  <dcterms:created xsi:type="dcterms:W3CDTF">2026-06-13T11:53:52Z</dcterms:created>
  <dcterms:modified xsi:type="dcterms:W3CDTF">2026-06-19T12:05:09Z</dcterms:modified>
  <dc:language>en-US</dc:language>
</cp:coreProperties>
</file>