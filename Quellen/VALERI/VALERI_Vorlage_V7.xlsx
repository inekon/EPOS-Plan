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irkEngelmann\Documents\WP-Plan\VALERI\"/>
    </mc:Choice>
  </mc:AlternateContent>
  <xr:revisionPtr revIDLastSave="0" documentId="8_{A9B40700-61CC-4614-BA99-9ABFB17C1004}" xr6:coauthVersionLast="47" xr6:coauthVersionMax="47" xr10:uidLastSave="{00000000-0000-0000-0000-000000000000}"/>
  <bookViews>
    <workbookView xWindow="-110" yWindow="-110" windowWidth="19420" windowHeight="11500" tabRatio="500" xr2:uid="{00000000-000D-0000-FFFF-FFFF00000000}"/>
  </bookViews>
  <sheets>
    <sheet name="00_Anleitung" sheetId="1" r:id="rId1"/>
    <sheet name="01_Übersicht" sheetId="2" r:id="rId2"/>
    <sheet name="Allgemeine Unternehmensdaten" sheetId="3" r:id="rId3"/>
    <sheet name="Vorlage Maßnahme" sheetId="4" r:id="rId4"/>
    <sheet name="Beispiel Nr. 78 Druckluft" sheetId="5" r:id="rId5"/>
    <sheet name="Bestätigung" sheetId="6" r:id="rId6"/>
    <sheet name="Impressum und Versionen" sheetId="7" r:id="rId7"/>
  </sheets>
  <definedNames>
    <definedName name="_xlnm.Print_Area" localSheetId="2">'Allgemeine Unternehmensdaten'!$C$1:$G$38</definedName>
    <definedName name="_xlnm.Print_Area" localSheetId="4">'Beispiel Nr. 78 Druckluft'!$A$1:$I$128</definedName>
    <definedName name="_xlnm.Print_Area" localSheetId="3">'Vorlage Maßnahme'!$A$1:$N$130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T64" i="5" l="1"/>
  <c r="U64" i="5"/>
  <c r="V64" i="5"/>
  <c r="W64" i="5"/>
  <c r="X64" i="5"/>
  <c r="Y64" i="5"/>
  <c r="Z64" i="5"/>
  <c r="AA64" i="5"/>
  <c r="AB64" i="5"/>
  <c r="AC64" i="5"/>
  <c r="AD64" i="5"/>
  <c r="AE64" i="5"/>
  <c r="AF64" i="5"/>
  <c r="AG64" i="5"/>
  <c r="AH64" i="5"/>
  <c r="AI64" i="5"/>
  <c r="AJ64" i="5"/>
  <c r="AK64" i="5"/>
  <c r="AL64" i="5"/>
  <c r="AM64" i="5"/>
  <c r="AN64" i="5"/>
  <c r="AO64" i="5"/>
  <c r="AP64" i="5"/>
  <c r="AQ64" i="5"/>
  <c r="AR64" i="5"/>
  <c r="AS64" i="5"/>
  <c r="AT64" i="5"/>
  <c r="AU64" i="5"/>
  <c r="AV64" i="5"/>
  <c r="AW64" i="5"/>
  <c r="AX64" i="5"/>
  <c r="AY64" i="5"/>
  <c r="AZ64" i="5"/>
  <c r="BA64" i="5"/>
  <c r="BB64" i="5"/>
  <c r="BC64" i="5"/>
  <c r="BD64" i="5"/>
  <c r="BE64" i="5"/>
  <c r="BF64" i="5"/>
  <c r="BG64" i="5"/>
  <c r="BH64" i="5"/>
  <c r="BI64" i="5"/>
  <c r="BJ64" i="5"/>
  <c r="BK64" i="5"/>
  <c r="BL64" i="5"/>
  <c r="BM64" i="5"/>
  <c r="BN64" i="5"/>
  <c r="BO64" i="5"/>
  <c r="BP64" i="5"/>
  <c r="BQ64" i="5"/>
  <c r="BR64" i="5"/>
  <c r="BS64" i="5"/>
  <c r="BT64" i="5"/>
  <c r="T63" i="5"/>
  <c r="U63" i="5"/>
  <c r="V63" i="5"/>
  <c r="W63" i="5"/>
  <c r="X63" i="5"/>
  <c r="Y63" i="5"/>
  <c r="Z63" i="5"/>
  <c r="AA63" i="5"/>
  <c r="AB63" i="5"/>
  <c r="AC63" i="5"/>
  <c r="AD63" i="5"/>
  <c r="AE63" i="5"/>
  <c r="AF63" i="5"/>
  <c r="AG63" i="5"/>
  <c r="AH63" i="5"/>
  <c r="AI63" i="5"/>
  <c r="AJ63" i="5"/>
  <c r="AK63" i="5"/>
  <c r="AL63" i="5"/>
  <c r="AM63" i="5"/>
  <c r="AN63" i="5"/>
  <c r="AO63" i="5"/>
  <c r="AP63" i="5"/>
  <c r="AQ63" i="5"/>
  <c r="AR63" i="5"/>
  <c r="AS63" i="5"/>
  <c r="AT63" i="5"/>
  <c r="AU63" i="5"/>
  <c r="AV63" i="5"/>
  <c r="AW63" i="5"/>
  <c r="AX63" i="5"/>
  <c r="AY63" i="5"/>
  <c r="AZ63" i="5"/>
  <c r="BA63" i="5"/>
  <c r="BB63" i="5"/>
  <c r="BC63" i="5"/>
  <c r="BD63" i="5"/>
  <c r="BE63" i="5"/>
  <c r="BF63" i="5"/>
  <c r="BG63" i="5"/>
  <c r="BH63" i="5"/>
  <c r="BI63" i="5"/>
  <c r="BJ63" i="5"/>
  <c r="BK63" i="5"/>
  <c r="BL63" i="5"/>
  <c r="BM63" i="5"/>
  <c r="BN63" i="5"/>
  <c r="BO63" i="5"/>
  <c r="BP63" i="5"/>
  <c r="BQ63" i="5"/>
  <c r="BR63" i="5"/>
  <c r="BS63" i="5"/>
  <c r="BT63" i="5"/>
  <c r="S64" i="5"/>
  <c r="S63" i="5"/>
  <c r="T64" i="4"/>
  <c r="U64" i="4"/>
  <c r="V64" i="4"/>
  <c r="W64" i="4"/>
  <c r="X64" i="4"/>
  <c r="Y64" i="4"/>
  <c r="Z64" i="4"/>
  <c r="AA64" i="4"/>
  <c r="AB64" i="4"/>
  <c r="AC64" i="4"/>
  <c r="AD64" i="4"/>
  <c r="AE64" i="4"/>
  <c r="AF64" i="4"/>
  <c r="AG64" i="4"/>
  <c r="AH64" i="4"/>
  <c r="AI64" i="4"/>
  <c r="AJ64" i="4"/>
  <c r="AK64" i="4"/>
  <c r="AL64" i="4"/>
  <c r="AM64" i="4"/>
  <c r="AN64" i="4"/>
  <c r="AO64" i="4"/>
  <c r="AP64" i="4"/>
  <c r="AQ64" i="4"/>
  <c r="AR64" i="4"/>
  <c r="AS64" i="4"/>
  <c r="AT64" i="4"/>
  <c r="AU64" i="4"/>
  <c r="AV64" i="4"/>
  <c r="AW64" i="4"/>
  <c r="AX64" i="4"/>
  <c r="AY64" i="4"/>
  <c r="AZ64" i="4"/>
  <c r="BA64" i="4"/>
  <c r="BB64" i="4"/>
  <c r="BC64" i="4"/>
  <c r="BD64" i="4"/>
  <c r="BE64" i="4"/>
  <c r="BF64" i="4"/>
  <c r="BG64" i="4"/>
  <c r="BH64" i="4"/>
  <c r="BI64" i="4"/>
  <c r="BJ64" i="4"/>
  <c r="BK64" i="4"/>
  <c r="BL64" i="4"/>
  <c r="BM64" i="4"/>
  <c r="BN64" i="4"/>
  <c r="BO64" i="4"/>
  <c r="BP64" i="4"/>
  <c r="BQ64" i="4"/>
  <c r="BR64" i="4"/>
  <c r="BS64" i="4"/>
  <c r="BT64" i="4"/>
  <c r="T63" i="4"/>
  <c r="U63" i="4"/>
  <c r="V63" i="4"/>
  <c r="W63" i="4"/>
  <c r="X63" i="4"/>
  <c r="Y63" i="4"/>
  <c r="Z63" i="4"/>
  <c r="AA63" i="4"/>
  <c r="AB63" i="4"/>
  <c r="AC63" i="4"/>
  <c r="AD63" i="4"/>
  <c r="AE63" i="4"/>
  <c r="AF63" i="4"/>
  <c r="AG63" i="4"/>
  <c r="AH63" i="4"/>
  <c r="AI63" i="4"/>
  <c r="AJ63" i="4"/>
  <c r="AK63" i="4"/>
  <c r="AL63" i="4"/>
  <c r="AM63" i="4"/>
  <c r="AN63" i="4"/>
  <c r="AO63" i="4"/>
  <c r="AP63" i="4"/>
  <c r="AQ63" i="4"/>
  <c r="AR63" i="4"/>
  <c r="AS63" i="4"/>
  <c r="AT63" i="4"/>
  <c r="AU63" i="4"/>
  <c r="AV63" i="4"/>
  <c r="AW63" i="4"/>
  <c r="AX63" i="4"/>
  <c r="AY63" i="4"/>
  <c r="AZ63" i="4"/>
  <c r="BA63" i="4"/>
  <c r="BB63" i="4"/>
  <c r="BC63" i="4"/>
  <c r="BD63" i="4"/>
  <c r="BE63" i="4"/>
  <c r="BF63" i="4"/>
  <c r="BG63" i="4"/>
  <c r="BH63" i="4"/>
  <c r="BI63" i="4"/>
  <c r="BJ63" i="4"/>
  <c r="BK63" i="4"/>
  <c r="BL63" i="4"/>
  <c r="BM63" i="4"/>
  <c r="BN63" i="4"/>
  <c r="BO63" i="4"/>
  <c r="BP63" i="4"/>
  <c r="BQ63" i="4"/>
  <c r="BR63" i="4"/>
  <c r="BS63" i="4"/>
  <c r="BT63" i="4"/>
  <c r="S64" i="4"/>
  <c r="S63" i="4"/>
  <c r="F44" i="4"/>
  <c r="D44" i="4"/>
  <c r="C120" i="5"/>
  <c r="C117" i="5" a="1"/>
  <c r="C117" i="5" s="1"/>
  <c r="C114" i="5" a="1"/>
  <c r="C114" i="5" s="1"/>
  <c r="C101" i="5"/>
  <c r="C97" i="5" a="1"/>
  <c r="C97" i="5" s="1"/>
  <c r="C117" i="4" a="1"/>
  <c r="C117" i="4" s="1"/>
  <c r="C120" i="4"/>
  <c r="C114" i="4" a="1"/>
  <c r="C114" i="4"/>
  <c r="C101" i="4"/>
  <c r="C97" i="4" a="1"/>
  <c r="C97" i="4" s="1"/>
  <c r="C41" i="5"/>
  <c r="C27" i="5"/>
  <c r="B13" i="5"/>
  <c r="C41" i="4"/>
  <c r="C27" i="4"/>
  <c r="B13" i="4"/>
  <c r="F72" i="5"/>
  <c r="F70" i="5"/>
  <c r="F69" i="5"/>
  <c r="F67" i="5"/>
  <c r="F66" i="5"/>
  <c r="F65" i="5"/>
  <c r="F73" i="4"/>
  <c r="E48" i="6" l="1"/>
  <c r="E41" i="6"/>
  <c r="E35" i="6"/>
  <c r="D33" i="6"/>
  <c r="D31" i="6"/>
  <c r="C123" i="5"/>
  <c r="C113" i="5"/>
  <c r="D93" i="5"/>
  <c r="C93" i="5"/>
  <c r="D92" i="5"/>
  <c r="DZ55" i="5"/>
  <c r="DM55" i="5"/>
  <c r="DL55" i="5"/>
  <c r="CQ55" i="5"/>
  <c r="CI55" i="5"/>
  <c r="CH55" i="5"/>
  <c r="BV55" i="5"/>
  <c r="R55" i="5"/>
  <c r="N55" i="5"/>
  <c r="M55" i="5"/>
  <c r="L55" i="5"/>
  <c r="FZ54" i="5"/>
  <c r="FJ54" i="5"/>
  <c r="DZ54" i="5"/>
  <c r="DW54" i="5"/>
  <c r="BV54" i="5"/>
  <c r="BH54" i="5"/>
  <c r="AY54" i="5"/>
  <c r="AI54" i="5"/>
  <c r="AH54" i="5"/>
  <c r="R54" i="5"/>
  <c r="N54" i="5"/>
  <c r="M54" i="5"/>
  <c r="L54" i="5"/>
  <c r="EC53" i="5"/>
  <c r="DZ53" i="5"/>
  <c r="DT53" i="5"/>
  <c r="DC53" i="5"/>
  <c r="BV53" i="5"/>
  <c r="AX53" i="5"/>
  <c r="AW53" i="5"/>
  <c r="R53" i="5"/>
  <c r="N53" i="5"/>
  <c r="M53" i="5"/>
  <c r="L53" i="5"/>
  <c r="DZ52" i="5"/>
  <c r="DE52" i="5"/>
  <c r="CH52" i="5"/>
  <c r="BV52" i="5"/>
  <c r="BL52" i="5"/>
  <c r="BG52" i="5"/>
  <c r="AR52" i="5"/>
  <c r="X52" i="5"/>
  <c r="R52" i="5"/>
  <c r="N52" i="5"/>
  <c r="M52" i="5"/>
  <c r="L52" i="5"/>
  <c r="DZ51" i="5"/>
  <c r="DI51" i="5"/>
  <c r="BV51" i="5"/>
  <c r="AT51" i="5"/>
  <c r="T51" i="5"/>
  <c r="R51" i="5"/>
  <c r="N51" i="5"/>
  <c r="M51" i="5"/>
  <c r="S51" i="5" s="1"/>
  <c r="L51" i="5"/>
  <c r="BW51" i="5" s="1"/>
  <c r="DZ50" i="5"/>
  <c r="DO50" i="5"/>
  <c r="BW50" i="5"/>
  <c r="BV50" i="5"/>
  <c r="BQ50" i="5"/>
  <c r="BP50" i="5"/>
  <c r="AZ50" i="5"/>
  <c r="AG50" i="5"/>
  <c r="W50" i="5"/>
  <c r="R50" i="5"/>
  <c r="N50" i="5"/>
  <c r="M50" i="5"/>
  <c r="L50" i="5"/>
  <c r="EG49" i="5"/>
  <c r="EA49" i="5"/>
  <c r="DZ49" i="5"/>
  <c r="DS49" i="5"/>
  <c r="CS49" i="5"/>
  <c r="CL49" i="5"/>
  <c r="BV49" i="5"/>
  <c r="BO49" i="5"/>
  <c r="BN49" i="5"/>
  <c r="BM49" i="5"/>
  <c r="AH49" i="5"/>
  <c r="AG49" i="5"/>
  <c r="W49" i="5"/>
  <c r="V49" i="5"/>
  <c r="R49" i="5"/>
  <c r="N49" i="5"/>
  <c r="M49" i="5"/>
  <c r="L49" i="5"/>
  <c r="FU48" i="5"/>
  <c r="DZ48" i="5"/>
  <c r="DW48" i="5"/>
  <c r="DD48" i="5"/>
  <c r="CN48" i="5"/>
  <c r="CF48" i="5"/>
  <c r="CE48" i="5"/>
  <c r="BV48" i="5"/>
  <c r="BK48" i="5"/>
  <c r="BG48" i="5"/>
  <c r="AT48" i="5"/>
  <c r="AM48" i="5"/>
  <c r="AJ48" i="5"/>
  <c r="S48" i="5"/>
  <c r="R48" i="5"/>
  <c r="N48" i="5"/>
  <c r="M48" i="5"/>
  <c r="L48" i="5"/>
  <c r="FU47" i="5"/>
  <c r="FS47" i="5"/>
  <c r="EZ47" i="5"/>
  <c r="DZ47" i="5"/>
  <c r="DP47" i="5"/>
  <c r="DB47" i="5"/>
  <c r="CQ47" i="5"/>
  <c r="CG47" i="5"/>
  <c r="BV47" i="5"/>
  <c r="BF47" i="5"/>
  <c r="BB47" i="5"/>
  <c r="AW47" i="5"/>
  <c r="AT47" i="5"/>
  <c r="AS47" i="5"/>
  <c r="AR47" i="5"/>
  <c r="AQ47" i="5"/>
  <c r="R47" i="5"/>
  <c r="N47" i="5"/>
  <c r="M47" i="5"/>
  <c r="L47" i="5"/>
  <c r="EI46" i="5"/>
  <c r="DZ46" i="5"/>
  <c r="DD46" i="5"/>
  <c r="BW46" i="5"/>
  <c r="BV46" i="5"/>
  <c r="BS46" i="5"/>
  <c r="BP46" i="5"/>
  <c r="BO46" i="5"/>
  <c r="BN46" i="5"/>
  <c r="BI46" i="5"/>
  <c r="BF46" i="5"/>
  <c r="BE46" i="5"/>
  <c r="AW46" i="5"/>
  <c r="AV46" i="5"/>
  <c r="X46" i="5"/>
  <c r="R46" i="5"/>
  <c r="N46" i="5"/>
  <c r="M46" i="5"/>
  <c r="L46" i="5"/>
  <c r="DZ45" i="5"/>
  <c r="BV45" i="5"/>
  <c r="R45" i="5"/>
  <c r="FV44" i="5"/>
  <c r="FU44" i="5"/>
  <c r="FS44" i="5"/>
  <c r="FR44" i="5"/>
  <c r="EW44" i="5"/>
  <c r="DZ44" i="5"/>
  <c r="DX44" i="5"/>
  <c r="DL44" i="5"/>
  <c r="DJ44" i="5"/>
  <c r="BV44" i="5"/>
  <c r="BT44" i="5"/>
  <c r="BS44" i="5"/>
  <c r="BP44" i="5"/>
  <c r="BF44" i="5"/>
  <c r="AV44" i="5"/>
  <c r="AU44" i="5"/>
  <c r="AH44" i="5"/>
  <c r="AF44" i="5"/>
  <c r="AE44" i="5"/>
  <c r="AC44" i="5"/>
  <c r="R44" i="5"/>
  <c r="N44" i="5"/>
  <c r="M44" i="5"/>
  <c r="L44" i="5"/>
  <c r="DZ43" i="5"/>
  <c r="CZ43" i="5"/>
  <c r="BV43" i="5"/>
  <c r="R43" i="5"/>
  <c r="N43" i="5"/>
  <c r="M43" i="5"/>
  <c r="L43" i="5"/>
  <c r="DZ42" i="5"/>
  <c r="CT42" i="5"/>
  <c r="BV42" i="5"/>
  <c r="R42" i="5"/>
  <c r="N42" i="5"/>
  <c r="M42" i="5"/>
  <c r="L42" i="5"/>
  <c r="FP41" i="5"/>
  <c r="N41" i="5"/>
  <c r="M41" i="5"/>
  <c r="L41" i="5"/>
  <c r="E41" i="5" a="1"/>
  <c r="E41" i="5" s="1"/>
  <c r="R41" i="5"/>
  <c r="DZ40" i="5"/>
  <c r="BV40" i="5"/>
  <c r="R40" i="5"/>
  <c r="N40" i="5"/>
  <c r="M40" i="5"/>
  <c r="L40" i="5"/>
  <c r="E40" i="5" a="1"/>
  <c r="E40" i="5" s="1"/>
  <c r="EL39" i="5"/>
  <c r="DZ39" i="5"/>
  <c r="DA39" i="5"/>
  <c r="BV39" i="5"/>
  <c r="AA39" i="5"/>
  <c r="R39" i="5"/>
  <c r="N39" i="5"/>
  <c r="M39" i="5"/>
  <c r="L39" i="5"/>
  <c r="F39" i="5" a="1"/>
  <c r="F39" i="5" s="1"/>
  <c r="E39" i="5" a="1"/>
  <c r="E39" i="5" s="1"/>
  <c r="D39" i="5" a="1"/>
  <c r="D39" i="5" s="1"/>
  <c r="CZ39" i="5" s="1"/>
  <c r="FS38" i="5"/>
  <c r="FJ38" i="5"/>
  <c r="FH38" i="5"/>
  <c r="EZ38" i="5"/>
  <c r="EX38" i="5"/>
  <c r="DZ38" i="5"/>
  <c r="DW38" i="5"/>
  <c r="DV38" i="5"/>
  <c r="DL38" i="5"/>
  <c r="DE38" i="5"/>
  <c r="DD38" i="5"/>
  <c r="DA38" i="5"/>
  <c r="CI38" i="5"/>
  <c r="CE38" i="5"/>
  <c r="CD38" i="5"/>
  <c r="BZ38" i="5"/>
  <c r="BY38" i="5"/>
  <c r="BX38" i="5"/>
  <c r="BV38" i="5"/>
  <c r="BT38" i="5"/>
  <c r="BI38" i="5"/>
  <c r="BE38" i="5"/>
  <c r="BD38" i="5"/>
  <c r="BA38" i="5"/>
  <c r="AW38" i="5"/>
  <c r="AV38" i="5"/>
  <c r="AU38" i="5"/>
  <c r="AN38" i="5"/>
  <c r="AM38" i="5"/>
  <c r="AL38" i="5"/>
  <c r="R38" i="5"/>
  <c r="N38" i="5"/>
  <c r="M38" i="5"/>
  <c r="L38" i="5"/>
  <c r="FN37" i="5"/>
  <c r="EK37" i="5"/>
  <c r="EJ37" i="5"/>
  <c r="EI37" i="5"/>
  <c r="EG37" i="5"/>
  <c r="EF37" i="5"/>
  <c r="DZ37" i="5"/>
  <c r="DX37" i="5"/>
  <c r="DV37" i="5"/>
  <c r="DI37" i="5"/>
  <c r="DH37" i="5"/>
  <c r="DG37" i="5"/>
  <c r="DA37" i="5"/>
  <c r="CZ37" i="5"/>
  <c r="CF37" i="5"/>
  <c r="CE37" i="5"/>
  <c r="CD37" i="5"/>
  <c r="CC37" i="5"/>
  <c r="CB37" i="5"/>
  <c r="CA37" i="5"/>
  <c r="BZ37" i="5"/>
  <c r="BY37" i="5"/>
  <c r="BV37" i="5"/>
  <c r="BQ37" i="5"/>
  <c r="BL37" i="5"/>
  <c r="BK37" i="5"/>
  <c r="AY37" i="5"/>
  <c r="AU37" i="5"/>
  <c r="AS37" i="5"/>
  <c r="AM37" i="5"/>
  <c r="AL37" i="5"/>
  <c r="AK37" i="5"/>
  <c r="AG37" i="5"/>
  <c r="AF37" i="5"/>
  <c r="X37" i="5"/>
  <c r="W37" i="5"/>
  <c r="V37" i="5"/>
  <c r="R37" i="5"/>
  <c r="N37" i="5"/>
  <c r="M37" i="5"/>
  <c r="L37" i="5"/>
  <c r="FI36" i="5"/>
  <c r="FC36" i="5"/>
  <c r="FB36" i="5"/>
  <c r="EZ36" i="5"/>
  <c r="DZ36" i="5"/>
  <c r="DW36" i="5"/>
  <c r="DV36" i="5"/>
  <c r="DU36" i="5"/>
  <c r="DS36" i="5"/>
  <c r="DR36" i="5"/>
  <c r="DM36" i="5"/>
  <c r="DL36" i="5"/>
  <c r="DH36" i="5"/>
  <c r="DG36" i="5"/>
  <c r="CS36" i="5"/>
  <c r="CR36" i="5"/>
  <c r="CQ36" i="5"/>
  <c r="CN36" i="5"/>
  <c r="CJ36" i="5"/>
  <c r="CF36" i="5"/>
  <c r="CD36" i="5"/>
  <c r="CC36" i="5"/>
  <c r="BV36" i="5"/>
  <c r="BT36" i="5"/>
  <c r="BS36" i="5"/>
  <c r="BR36" i="5"/>
  <c r="BO36" i="5"/>
  <c r="BK36" i="5"/>
  <c r="BC36" i="5"/>
  <c r="AY36" i="5"/>
  <c r="AX36" i="5"/>
  <c r="AW36" i="5"/>
  <c r="AM36" i="5"/>
  <c r="AL36" i="5"/>
  <c r="AE36" i="5"/>
  <c r="AD36" i="5"/>
  <c r="AC36" i="5"/>
  <c r="AB36" i="5"/>
  <c r="AA36" i="5"/>
  <c r="Z36" i="5"/>
  <c r="Y36" i="5"/>
  <c r="T36" i="5"/>
  <c r="S36" i="5"/>
  <c r="R36" i="5"/>
  <c r="N36" i="5"/>
  <c r="M36" i="5"/>
  <c r="L36" i="5"/>
  <c r="FV35" i="5"/>
  <c r="FJ35" i="5"/>
  <c r="EN35" i="5"/>
  <c r="EL35" i="5"/>
  <c r="EC35" i="5"/>
  <c r="EA35" i="5"/>
  <c r="DZ35" i="5"/>
  <c r="DX35" i="5"/>
  <c r="DW35" i="5"/>
  <c r="DO35" i="5"/>
  <c r="DK35" i="5"/>
  <c r="DF35" i="5"/>
  <c r="DE35" i="5"/>
  <c r="DD35" i="5"/>
  <c r="CY35" i="5"/>
  <c r="CV35" i="5"/>
  <c r="CU35" i="5"/>
  <c r="CT35" i="5"/>
  <c r="CH35" i="5"/>
  <c r="BX35" i="5"/>
  <c r="BV35" i="5"/>
  <c r="BT35" i="5"/>
  <c r="BR35" i="5"/>
  <c r="BQ35" i="5"/>
  <c r="BN35" i="5"/>
  <c r="BD35" i="5"/>
  <c r="BC35" i="5"/>
  <c r="BB35" i="5"/>
  <c r="AZ35" i="5"/>
  <c r="AY35" i="5"/>
  <c r="AU35" i="5"/>
  <c r="AS35" i="5"/>
  <c r="AQ35" i="5"/>
  <c r="AO35" i="5"/>
  <c r="AB35" i="5"/>
  <c r="Z35" i="5"/>
  <c r="Y35" i="5"/>
  <c r="R35" i="5"/>
  <c r="N35" i="5"/>
  <c r="M35" i="5"/>
  <c r="L35" i="5"/>
  <c r="BW35" i="5" s="1"/>
  <c r="GA34" i="5"/>
  <c r="FZ34" i="5"/>
  <c r="FY34" i="5"/>
  <c r="FW34" i="5"/>
  <c r="FH34" i="5"/>
  <c r="FG34" i="5"/>
  <c r="FE34" i="5"/>
  <c r="DZ34" i="5"/>
  <c r="DX34" i="5"/>
  <c r="DR34" i="5"/>
  <c r="DQ34" i="5"/>
  <c r="DP34" i="5"/>
  <c r="DN34" i="5"/>
  <c r="DE34" i="5"/>
  <c r="CY34" i="5"/>
  <c r="CX34" i="5"/>
  <c r="CW34" i="5"/>
  <c r="CQ34" i="5"/>
  <c r="CP34" i="5"/>
  <c r="CO34" i="5"/>
  <c r="CM34" i="5"/>
  <c r="CL34" i="5"/>
  <c r="BZ34" i="5"/>
  <c r="BY34" i="5"/>
  <c r="BX34" i="5"/>
  <c r="BV34" i="5"/>
  <c r="BR34" i="5"/>
  <c r="BQ34" i="5"/>
  <c r="BP34" i="5"/>
  <c r="BN34" i="5"/>
  <c r="BM34" i="5"/>
  <c r="BL34" i="5"/>
  <c r="AX34" i="5"/>
  <c r="AV34" i="5"/>
  <c r="AT34" i="5"/>
  <c r="AS34" i="5"/>
  <c r="AR34" i="5"/>
  <c r="AM34" i="5"/>
  <c r="AL34" i="5"/>
  <c r="AJ34" i="5"/>
  <c r="AI34" i="5"/>
  <c r="AH34" i="5"/>
  <c r="AG34" i="5"/>
  <c r="AA34" i="5"/>
  <c r="Y34" i="5"/>
  <c r="U34" i="5"/>
  <c r="T34" i="5"/>
  <c r="R34" i="5"/>
  <c r="N34" i="5"/>
  <c r="M34" i="5"/>
  <c r="L34" i="5"/>
  <c r="FZ33" i="5"/>
  <c r="FV33" i="5"/>
  <c r="FO33" i="5"/>
  <c r="FG33" i="5"/>
  <c r="FA33" i="5"/>
  <c r="EY33" i="5"/>
  <c r="EX33" i="5"/>
  <c r="DZ33" i="5"/>
  <c r="DX33" i="5"/>
  <c r="DV33" i="5"/>
  <c r="DU33" i="5"/>
  <c r="DL33" i="5"/>
  <c r="DK33" i="5"/>
  <c r="DJ33" i="5"/>
  <c r="DE33" i="5"/>
  <c r="DB33" i="5"/>
  <c r="CZ33" i="5"/>
  <c r="CY33" i="5"/>
  <c r="CX33" i="5"/>
  <c r="CN33" i="5"/>
  <c r="CM33" i="5"/>
  <c r="CI33" i="5"/>
  <c r="CH33" i="5"/>
  <c r="CG33" i="5"/>
  <c r="CF33" i="5"/>
  <c r="CD33" i="5"/>
  <c r="CB33" i="5"/>
  <c r="CA33" i="5"/>
  <c r="BZ33" i="5"/>
  <c r="BY33" i="5"/>
  <c r="BV33" i="5"/>
  <c r="BP33" i="5"/>
  <c r="BO33" i="5"/>
  <c r="BN33" i="5"/>
  <c r="BL33" i="5"/>
  <c r="BI33" i="5"/>
  <c r="BE33" i="5"/>
  <c r="BB33" i="5"/>
  <c r="BA33" i="5"/>
  <c r="AY33" i="5"/>
  <c r="AT33" i="5"/>
  <c r="AS33" i="5"/>
  <c r="AR33" i="5"/>
  <c r="AQ33" i="5"/>
  <c r="AO33" i="5"/>
  <c r="AN33" i="5"/>
  <c r="AJ33" i="5"/>
  <c r="AI33" i="5"/>
  <c r="AH33" i="5"/>
  <c r="AG33" i="5"/>
  <c r="AA33" i="5"/>
  <c r="V33" i="5"/>
  <c r="U33" i="5"/>
  <c r="R33" i="5"/>
  <c r="N33" i="5"/>
  <c r="M33" i="5"/>
  <c r="L33" i="5"/>
  <c r="FS32" i="5"/>
  <c r="FR32" i="5"/>
  <c r="FJ32" i="5"/>
  <c r="FI32" i="5"/>
  <c r="FF32" i="5"/>
  <c r="FE32" i="5"/>
  <c r="EY32" i="5"/>
  <c r="EX32" i="5"/>
  <c r="EK32" i="5"/>
  <c r="EJ32" i="5"/>
  <c r="EH32" i="5"/>
  <c r="DZ32" i="5"/>
  <c r="DV32" i="5"/>
  <c r="DU32" i="5"/>
  <c r="DL32" i="5"/>
  <c r="DK32" i="5"/>
  <c r="DJ32" i="5"/>
  <c r="DI32" i="5"/>
  <c r="DH32" i="5"/>
  <c r="DD32" i="5"/>
  <c r="CY32" i="5"/>
  <c r="CX32" i="5"/>
  <c r="CW32" i="5"/>
  <c r="CP32" i="5"/>
  <c r="CN32" i="5"/>
  <c r="CK32" i="5"/>
  <c r="CJ32" i="5"/>
  <c r="CI32" i="5"/>
  <c r="CH32" i="5"/>
  <c r="CG32" i="5"/>
  <c r="CF32" i="5"/>
  <c r="CC32" i="5"/>
  <c r="CB32" i="5"/>
  <c r="CA32" i="5"/>
  <c r="BY32" i="5"/>
  <c r="BV32" i="5"/>
  <c r="BL32" i="5"/>
  <c r="BK32" i="5"/>
  <c r="BJ32" i="5"/>
  <c r="BG32" i="5"/>
  <c r="BF32" i="5"/>
  <c r="BE32" i="5"/>
  <c r="BD32" i="5"/>
  <c r="BC32" i="5"/>
  <c r="BB32" i="5"/>
  <c r="BA32" i="5"/>
  <c r="AY32" i="5"/>
  <c r="AS32" i="5"/>
  <c r="AQ32" i="5"/>
  <c r="AO32" i="5"/>
  <c r="AN32" i="5"/>
  <c r="AJ32" i="5"/>
  <c r="AI32" i="5"/>
  <c r="AH32" i="5"/>
  <c r="AG32" i="5"/>
  <c r="AA32" i="5"/>
  <c r="U32" i="5"/>
  <c r="T32" i="5"/>
  <c r="S32" i="5"/>
  <c r="R32" i="5"/>
  <c r="N32" i="5"/>
  <c r="M32" i="5"/>
  <c r="L32" i="5"/>
  <c r="FX31" i="5"/>
  <c r="FS31" i="5"/>
  <c r="FR31" i="5"/>
  <c r="FI31" i="5"/>
  <c r="FD31" i="5"/>
  <c r="FC31" i="5"/>
  <c r="FB31" i="5"/>
  <c r="EY31" i="5"/>
  <c r="EX31" i="5"/>
  <c r="EU31" i="5"/>
  <c r="DZ31" i="5"/>
  <c r="DX31" i="5"/>
  <c r="DN31" i="5"/>
  <c r="DM31" i="5"/>
  <c r="DL31" i="5"/>
  <c r="DK31" i="5"/>
  <c r="DJ31" i="5"/>
  <c r="DI31" i="5"/>
  <c r="DF31" i="5"/>
  <c r="DC31" i="5"/>
  <c r="DB31" i="5"/>
  <c r="DA31" i="5"/>
  <c r="CZ31" i="5"/>
  <c r="CX31" i="5"/>
  <c r="CO31" i="5"/>
  <c r="CN31" i="5"/>
  <c r="CL31" i="5"/>
  <c r="CJ31" i="5"/>
  <c r="CI31" i="5"/>
  <c r="CD31" i="5"/>
  <c r="CC31" i="5"/>
  <c r="CA31" i="5"/>
  <c r="BX31" i="5"/>
  <c r="BW31" i="5"/>
  <c r="BV31" i="5"/>
  <c r="BQ31" i="5"/>
  <c r="BP31" i="5"/>
  <c r="BL31" i="5"/>
  <c r="BK31" i="5"/>
  <c r="BI31" i="5"/>
  <c r="BH31" i="5"/>
  <c r="BF31" i="5"/>
  <c r="BE31" i="5"/>
  <c r="BC31" i="5"/>
  <c r="BA31" i="5"/>
  <c r="AZ31" i="5"/>
  <c r="AY31" i="5"/>
  <c r="AO31" i="5"/>
  <c r="AN31" i="5"/>
  <c r="AM31" i="5"/>
  <c r="AL31" i="5"/>
  <c r="AK31" i="5"/>
  <c r="AF31" i="5"/>
  <c r="AE31" i="5"/>
  <c r="AD31" i="5"/>
  <c r="AC31" i="5"/>
  <c r="AB31" i="5"/>
  <c r="AA31" i="5"/>
  <c r="T31" i="5"/>
  <c r="S31" i="5"/>
  <c r="R31" i="5"/>
  <c r="N31" i="5"/>
  <c r="M31" i="5"/>
  <c r="L31" i="5"/>
  <c r="FV30" i="5"/>
  <c r="EB30" i="5"/>
  <c r="DZ30" i="5"/>
  <c r="DG30" i="5"/>
  <c r="BV30" i="5"/>
  <c r="BL30" i="5"/>
  <c r="R30" i="5"/>
  <c r="N30" i="5"/>
  <c r="M30" i="5"/>
  <c r="L30" i="5"/>
  <c r="DZ29" i="5"/>
  <c r="BV29" i="5"/>
  <c r="BD29" i="5"/>
  <c r="BC29" i="5"/>
  <c r="BB29" i="5"/>
  <c r="R29" i="5"/>
  <c r="N29" i="5"/>
  <c r="M29" i="5"/>
  <c r="BF29" i="5" s="1"/>
  <c r="L29" i="5"/>
  <c r="DZ28" i="5"/>
  <c r="DK28" i="5"/>
  <c r="DJ28" i="5"/>
  <c r="BV28" i="5"/>
  <c r="R28" i="5"/>
  <c r="N28" i="5"/>
  <c r="FB28" i="5" s="1"/>
  <c r="M28" i="5"/>
  <c r="L28" i="5"/>
  <c r="R27" i="5"/>
  <c r="BV27" i="5" s="1"/>
  <c r="M27" i="5"/>
  <c r="L27" i="5"/>
  <c r="E27" i="5"/>
  <c r="N26" i="5"/>
  <c r="M26" i="5"/>
  <c r="L26" i="5"/>
  <c r="E26" i="5"/>
  <c r="F73" i="5" s="1"/>
  <c r="FI25" i="5"/>
  <c r="FH25" i="5"/>
  <c r="FD25" i="5"/>
  <c r="DZ25" i="5"/>
  <c r="DX25" i="5"/>
  <c r="BW25" i="5"/>
  <c r="BV25" i="5"/>
  <c r="BQ25" i="5"/>
  <c r="BF25" i="5"/>
  <c r="Z25" i="5"/>
  <c r="R25" i="5"/>
  <c r="N25" i="5"/>
  <c r="M25" i="5"/>
  <c r="L25" i="5"/>
  <c r="DZ24" i="5"/>
  <c r="BV24" i="5"/>
  <c r="R24" i="5"/>
  <c r="N24" i="5"/>
  <c r="M24" i="5"/>
  <c r="L24" i="5"/>
  <c r="FH23" i="5"/>
  <c r="FB23" i="5"/>
  <c r="FA23" i="5"/>
  <c r="N23" i="5"/>
  <c r="N27" i="5" s="1"/>
  <c r="M23" i="5"/>
  <c r="L23" i="5"/>
  <c r="K23" i="5"/>
  <c r="I23" i="5"/>
  <c r="F23" i="5"/>
  <c r="E23" i="5"/>
  <c r="F68" i="5" s="1"/>
  <c r="D23" i="5"/>
  <c r="GB22" i="5"/>
  <c r="FS22" i="5"/>
  <c r="FS29" i="5" s="1"/>
  <c r="FQ22" i="5"/>
  <c r="FQ29" i="5" s="1"/>
  <c r="FP22" i="5"/>
  <c r="FO22" i="5"/>
  <c r="FN22" i="5"/>
  <c r="FI22" i="5"/>
  <c r="FI29" i="5" s="1"/>
  <c r="FH22" i="5"/>
  <c r="FE22" i="5"/>
  <c r="FD22" i="5"/>
  <c r="FB22" i="5"/>
  <c r="FA22" i="5"/>
  <c r="EW22" i="5"/>
  <c r="EL22" i="5"/>
  <c r="EH22" i="5"/>
  <c r="EH29" i="5" s="1"/>
  <c r="EF22" i="5"/>
  <c r="EE22" i="5"/>
  <c r="EE28" i="5" s="1"/>
  <c r="ED22" i="5"/>
  <c r="ED29" i="5" s="1"/>
  <c r="EC22" i="5"/>
  <c r="EB22" i="5"/>
  <c r="EB29" i="5" s="1"/>
  <c r="DX22" i="5"/>
  <c r="DX39" i="5" s="1"/>
  <c r="DW22" i="5"/>
  <c r="DW28" i="5" s="1"/>
  <c r="DV22" i="5"/>
  <c r="DU22" i="5"/>
  <c r="DU25" i="5" s="1"/>
  <c r="DN22" i="5"/>
  <c r="DN25" i="5" s="1"/>
  <c r="DM22" i="5"/>
  <c r="DM23" i="5" s="1"/>
  <c r="DL22" i="5"/>
  <c r="DL25" i="5" s="1"/>
  <c r="DK22" i="5"/>
  <c r="DK25" i="5" s="1"/>
  <c r="DJ22" i="5"/>
  <c r="DD22" i="5"/>
  <c r="DC22" i="5"/>
  <c r="DB22" i="5"/>
  <c r="DA22" i="5"/>
  <c r="CZ22" i="5"/>
  <c r="CY22" i="5"/>
  <c r="CY23" i="5" s="1"/>
  <c r="CV22" i="5"/>
  <c r="CS22" i="5"/>
  <c r="CS23" i="5" s="1"/>
  <c r="CR22" i="5"/>
  <c r="CR23" i="5" s="1"/>
  <c r="CP22" i="5"/>
  <c r="CP43" i="5" s="1"/>
  <c r="CO22" i="5"/>
  <c r="CN22" i="5"/>
  <c r="CN28" i="5" s="1"/>
  <c r="CK22" i="5"/>
  <c r="CK25" i="5" s="1"/>
  <c r="CI22" i="5"/>
  <c r="CI43" i="5" s="1"/>
  <c r="CH22" i="5"/>
  <c r="CH28" i="5" s="1"/>
  <c r="CG22" i="5"/>
  <c r="CG28" i="5" s="1"/>
  <c r="CF22" i="5"/>
  <c r="BZ22" i="5"/>
  <c r="BZ25" i="5" s="1"/>
  <c r="BW22" i="5"/>
  <c r="BW23" i="5" s="1"/>
  <c r="BT22" i="5"/>
  <c r="BT27" i="5" s="1"/>
  <c r="BS22" i="5"/>
  <c r="BQ22" i="5"/>
  <c r="BO22" i="5"/>
  <c r="BN22" i="5"/>
  <c r="BN27" i="5" s="1"/>
  <c r="BM22" i="5"/>
  <c r="BM25" i="5" s="1"/>
  <c r="BL22" i="5"/>
  <c r="BL29" i="5" s="1"/>
  <c r="BK22" i="5"/>
  <c r="BK25" i="5" s="1"/>
  <c r="BJ22" i="5"/>
  <c r="BH22" i="5"/>
  <c r="BH40" i="5" s="1"/>
  <c r="BF22" i="5"/>
  <c r="BE22" i="5"/>
  <c r="BD22" i="5"/>
  <c r="BC22" i="5"/>
  <c r="BC45" i="5" s="1"/>
  <c r="BB22" i="5"/>
  <c r="BB43" i="5" s="1"/>
  <c r="AX22" i="5"/>
  <c r="AX24" i="5" s="1"/>
  <c r="AU22" i="5"/>
  <c r="AU25" i="5" s="1"/>
  <c r="AT22" i="5"/>
  <c r="AS22" i="5"/>
  <c r="AP22" i="5"/>
  <c r="AP25" i="5" s="1"/>
  <c r="AO22" i="5"/>
  <c r="AO29" i="5" s="1"/>
  <c r="AN22" i="5"/>
  <c r="AN29" i="5" s="1"/>
  <c r="AM22" i="5"/>
  <c r="AM27" i="5" s="1"/>
  <c r="AL22" i="5"/>
  <c r="AJ22" i="5"/>
  <c r="AJ29" i="5" s="1"/>
  <c r="AI22" i="5"/>
  <c r="AI29" i="5" s="1"/>
  <c r="AH22" i="5"/>
  <c r="AG22" i="5"/>
  <c r="AF22" i="5"/>
  <c r="AB22" i="5"/>
  <c r="AA22" i="5"/>
  <c r="Z22" i="5"/>
  <c r="X22" i="5"/>
  <c r="W22" i="5"/>
  <c r="W43" i="5" s="1"/>
  <c r="V22" i="5"/>
  <c r="V40" i="5" s="1"/>
  <c r="GB21" i="5"/>
  <c r="FW21" i="5"/>
  <c r="FV21" i="5"/>
  <c r="FQ21" i="5"/>
  <c r="FO21" i="5"/>
  <c r="FN21" i="5"/>
  <c r="FM21" i="5"/>
  <c r="FL21" i="5"/>
  <c r="FI21" i="5"/>
  <c r="FH21" i="5"/>
  <c r="FG21" i="5"/>
  <c r="FD21" i="5"/>
  <c r="FB21" i="5"/>
  <c r="FA21" i="5"/>
  <c r="EZ21" i="5"/>
  <c r="EX21" i="5"/>
  <c r="ES21" i="5"/>
  <c r="EQ21" i="5"/>
  <c r="EN21" i="5"/>
  <c r="EK21" i="5"/>
  <c r="EF21" i="5"/>
  <c r="EC21" i="5"/>
  <c r="EB21" i="5"/>
  <c r="EB42" i="5" s="1"/>
  <c r="DW21" i="5"/>
  <c r="DV21" i="5"/>
  <c r="DV42" i="5" s="1"/>
  <c r="DU21" i="5"/>
  <c r="DT21" i="5"/>
  <c r="DT30" i="5" s="1"/>
  <c r="DS21" i="5"/>
  <c r="DR21" i="5"/>
  <c r="DQ21" i="5"/>
  <c r="DP21" i="5"/>
  <c r="DO21" i="5"/>
  <c r="DN21" i="5"/>
  <c r="DM21" i="5"/>
  <c r="DM30" i="5" s="1"/>
  <c r="DH21" i="5"/>
  <c r="DG21" i="5"/>
  <c r="DF21" i="5"/>
  <c r="DE21" i="5"/>
  <c r="DA21" i="5"/>
  <c r="CW21" i="5"/>
  <c r="CV21" i="5"/>
  <c r="CU21" i="5"/>
  <c r="CT21" i="5"/>
  <c r="CS21" i="5"/>
  <c r="CR21" i="5"/>
  <c r="CR30" i="5" s="1"/>
  <c r="CQ21" i="5"/>
  <c r="CP21" i="5"/>
  <c r="CO21" i="5"/>
  <c r="CO42" i="5" s="1"/>
  <c r="CM21" i="5"/>
  <c r="CK21" i="5"/>
  <c r="CJ21" i="5"/>
  <c r="CJ30" i="5" s="1"/>
  <c r="CE21" i="5"/>
  <c r="CD21" i="5"/>
  <c r="CB21" i="5"/>
  <c r="CA21" i="5"/>
  <c r="BZ21" i="5"/>
  <c r="BT21" i="5"/>
  <c r="BS21" i="5"/>
  <c r="BR21" i="5"/>
  <c r="BQ21" i="5"/>
  <c r="BP21" i="5"/>
  <c r="BN21" i="5"/>
  <c r="BM21" i="5"/>
  <c r="BL21" i="5"/>
  <c r="BJ21" i="5"/>
  <c r="BG21" i="5"/>
  <c r="BE21" i="5"/>
  <c r="BD21" i="5"/>
  <c r="BB21" i="5"/>
  <c r="AZ21" i="5"/>
  <c r="AY21" i="5"/>
  <c r="AX21" i="5"/>
  <c r="AW21" i="5"/>
  <c r="AV21" i="5"/>
  <c r="AS21" i="5"/>
  <c r="AR21" i="5"/>
  <c r="AR30" i="5" s="1"/>
  <c r="AP21" i="5"/>
  <c r="AO21" i="5"/>
  <c r="AO30" i="5" s="1"/>
  <c r="AN21" i="5"/>
  <c r="AK21" i="5"/>
  <c r="AJ21" i="5"/>
  <c r="AG21" i="5"/>
  <c r="AF21" i="5"/>
  <c r="AE21" i="5"/>
  <c r="AD21" i="5"/>
  <c r="AC21" i="5"/>
  <c r="AB21" i="5"/>
  <c r="Y21" i="5"/>
  <c r="X21" i="5"/>
  <c r="W21" i="5"/>
  <c r="V21" i="5"/>
  <c r="U21" i="5"/>
  <c r="T21" i="5"/>
  <c r="F20" i="5"/>
  <c r="E20" i="5"/>
  <c r="D20" i="5"/>
  <c r="F13" i="5"/>
  <c r="F41" i="5" s="1" a="1"/>
  <c r="F41" i="5" s="1"/>
  <c r="D13" i="5"/>
  <c r="D27" i="5" s="1"/>
  <c r="F12" i="5"/>
  <c r="D12" i="5"/>
  <c r="C123" i="4"/>
  <c r="C113" i="4"/>
  <c r="D93" i="4"/>
  <c r="C93" i="4"/>
  <c r="D92" i="4"/>
  <c r="F70" i="4"/>
  <c r="F69" i="4"/>
  <c r="F67" i="4"/>
  <c r="F66" i="4"/>
  <c r="F65" i="4"/>
  <c r="DZ55" i="4"/>
  <c r="BV55" i="4"/>
  <c r="R55" i="4"/>
  <c r="N55" i="4"/>
  <c r="M55" i="4"/>
  <c r="L55" i="4"/>
  <c r="FZ54" i="4"/>
  <c r="DZ54" i="4"/>
  <c r="DF54" i="4"/>
  <c r="DE54" i="4"/>
  <c r="CZ54" i="4"/>
  <c r="CC54" i="4"/>
  <c r="CA54" i="4"/>
  <c r="BV54" i="4"/>
  <c r="BQ54" i="4"/>
  <c r="AP54" i="4"/>
  <c r="AF54" i="4"/>
  <c r="AE54" i="4"/>
  <c r="T54" i="4"/>
  <c r="R54" i="4"/>
  <c r="N54" i="4"/>
  <c r="M54" i="4"/>
  <c r="L54" i="4"/>
  <c r="FW53" i="4"/>
  <c r="EK53" i="4"/>
  <c r="EG53" i="4"/>
  <c r="EF53" i="4"/>
  <c r="EA53" i="4"/>
  <c r="DZ53" i="4"/>
  <c r="CT53" i="4"/>
  <c r="CS53" i="4"/>
  <c r="CM53" i="4"/>
  <c r="BV53" i="4"/>
  <c r="BD53" i="4"/>
  <c r="Y53" i="4"/>
  <c r="R53" i="4"/>
  <c r="N53" i="4"/>
  <c r="M53" i="4"/>
  <c r="L53" i="4"/>
  <c r="FI52" i="4"/>
  <c r="EV52" i="4"/>
  <c r="EU52" i="4"/>
  <c r="ER52" i="4"/>
  <c r="DZ52" i="4"/>
  <c r="DQ52" i="4"/>
  <c r="DP52" i="4"/>
  <c r="BV52" i="4"/>
  <c r="BI52" i="4"/>
  <c r="BE52" i="4"/>
  <c r="BC52" i="4"/>
  <c r="AZ52" i="4"/>
  <c r="AW52" i="4"/>
  <c r="R52" i="4"/>
  <c r="N52" i="4"/>
  <c r="M52" i="4"/>
  <c r="L52" i="4"/>
  <c r="GB51" i="4"/>
  <c r="FV51" i="4"/>
  <c r="FQ51" i="4"/>
  <c r="FI51" i="4"/>
  <c r="FB51" i="4"/>
  <c r="DZ51" i="4"/>
  <c r="BX51" i="4"/>
  <c r="BW51" i="4"/>
  <c r="BV51" i="4"/>
  <c r="AM51" i="4"/>
  <c r="AH51" i="4"/>
  <c r="AG51" i="4"/>
  <c r="U51" i="4"/>
  <c r="R51" i="4"/>
  <c r="N51" i="4"/>
  <c r="M51" i="4"/>
  <c r="L51" i="4"/>
  <c r="FS50" i="4"/>
  <c r="EI50" i="4"/>
  <c r="EC50" i="4"/>
  <c r="EB50" i="4"/>
  <c r="DZ50" i="4"/>
  <c r="CA50" i="4"/>
  <c r="BV50" i="4"/>
  <c r="AW50" i="4"/>
  <c r="R50" i="4"/>
  <c r="N50" i="4"/>
  <c r="M50" i="4"/>
  <c r="L50" i="4"/>
  <c r="GA49" i="4"/>
  <c r="FT49" i="4"/>
  <c r="FQ49" i="4"/>
  <c r="FP49" i="4"/>
  <c r="EM49" i="4"/>
  <c r="EJ49" i="4"/>
  <c r="ED49" i="4"/>
  <c r="DZ49" i="4"/>
  <c r="BV49" i="4"/>
  <c r="BS49" i="4"/>
  <c r="BK49" i="4"/>
  <c r="BG49" i="4"/>
  <c r="BF49" i="4"/>
  <c r="AX49" i="4"/>
  <c r="AW49" i="4"/>
  <c r="AV49" i="4"/>
  <c r="R49" i="4"/>
  <c r="N49" i="4"/>
  <c r="M49" i="4"/>
  <c r="L49" i="4"/>
  <c r="FA48" i="4"/>
  <c r="EX48" i="4"/>
  <c r="ES48" i="4"/>
  <c r="DZ48" i="4"/>
  <c r="BV48" i="4"/>
  <c r="AJ48" i="4"/>
  <c r="AB48" i="4"/>
  <c r="AA48" i="4"/>
  <c r="U48" i="4"/>
  <c r="R48" i="4"/>
  <c r="N48" i="4"/>
  <c r="M48" i="4"/>
  <c r="L48" i="4"/>
  <c r="FE47" i="4"/>
  <c r="FC47" i="4"/>
  <c r="FB47" i="4"/>
  <c r="FA47" i="4"/>
  <c r="EX47" i="4"/>
  <c r="DZ47" i="4"/>
  <c r="BV47" i="4"/>
  <c r="BJ47" i="4"/>
  <c r="AV47" i="4"/>
  <c r="AU47" i="4"/>
  <c r="AT47" i="4"/>
  <c r="R47" i="4"/>
  <c r="N47" i="4"/>
  <c r="M47" i="4"/>
  <c r="L47" i="4"/>
  <c r="FY46" i="4"/>
  <c r="FT46" i="4"/>
  <c r="FO46" i="4"/>
  <c r="FJ46" i="4"/>
  <c r="EV46" i="4"/>
  <c r="EU46" i="4"/>
  <c r="ES46" i="4"/>
  <c r="EN46" i="4"/>
  <c r="EM46" i="4"/>
  <c r="DZ46" i="4"/>
  <c r="BV46" i="4"/>
  <c r="BR46" i="4"/>
  <c r="BN46" i="4"/>
  <c r="AY46" i="4"/>
  <c r="AW46" i="4"/>
  <c r="AO46" i="4"/>
  <c r="AN46" i="4"/>
  <c r="AM46" i="4"/>
  <c r="R46" i="4"/>
  <c r="N46" i="4"/>
  <c r="M46" i="4"/>
  <c r="L46" i="4"/>
  <c r="FV45" i="4"/>
  <c r="FE45" i="4"/>
  <c r="DZ45" i="4"/>
  <c r="BV45" i="4"/>
  <c r="BQ45" i="4"/>
  <c r="BP45" i="4"/>
  <c r="AR45" i="4"/>
  <c r="AM45" i="4"/>
  <c r="R45" i="4"/>
  <c r="FD44" i="4"/>
  <c r="FA44" i="4"/>
  <c r="EZ44" i="4"/>
  <c r="EX44" i="4"/>
  <c r="EU44" i="4"/>
  <c r="ET44" i="4"/>
  <c r="ES44" i="4"/>
  <c r="DZ44" i="4"/>
  <c r="DQ44" i="4"/>
  <c r="DP44" i="4"/>
  <c r="CH44" i="4"/>
  <c r="BV44" i="4"/>
  <c r="BT44" i="4"/>
  <c r="BR44" i="4"/>
  <c r="BL44" i="4"/>
  <c r="BK44" i="4"/>
  <c r="BF44" i="4"/>
  <c r="AP44" i="4"/>
  <c r="AI44" i="4"/>
  <c r="AG44" i="4"/>
  <c r="AF44" i="4"/>
  <c r="R44" i="4"/>
  <c r="N44" i="4"/>
  <c r="M44" i="4"/>
  <c r="L44" i="4"/>
  <c r="DZ43" i="4"/>
  <c r="DR43" i="4"/>
  <c r="DO43" i="4"/>
  <c r="BV43" i="4"/>
  <c r="AZ43" i="4"/>
  <c r="AY43" i="4"/>
  <c r="AF43" i="4"/>
  <c r="R43" i="4"/>
  <c r="N43" i="4"/>
  <c r="M43" i="4"/>
  <c r="L43" i="4"/>
  <c r="DZ42" i="4"/>
  <c r="BV42" i="4"/>
  <c r="BR42" i="4"/>
  <c r="R42" i="4"/>
  <c r="N42" i="4"/>
  <c r="M42" i="4"/>
  <c r="L42" i="4"/>
  <c r="FG41" i="4"/>
  <c r="DR41" i="4"/>
  <c r="DQ41" i="4"/>
  <c r="BT41" i="4"/>
  <c r="BM41" i="4"/>
  <c r="BJ41" i="4"/>
  <c r="AZ41" i="4"/>
  <c r="AI41" i="4"/>
  <c r="X41" i="4"/>
  <c r="S41" i="4"/>
  <c r="N41" i="4"/>
  <c r="M41" i="4"/>
  <c r="L41" i="4"/>
  <c r="E41" i="4" a="1"/>
  <c r="E41" i="4"/>
  <c r="BP41" i="4" s="1"/>
  <c r="D41" i="4" a="1"/>
  <c r="D41" i="4"/>
  <c r="BV41" i="4"/>
  <c r="EE40" i="4"/>
  <c r="DZ40" i="4"/>
  <c r="BV40" i="4"/>
  <c r="BR40" i="4"/>
  <c r="AZ40" i="4"/>
  <c r="AY40" i="4"/>
  <c r="AX40" i="4"/>
  <c r="AS40" i="4"/>
  <c r="R40" i="4"/>
  <c r="N40" i="4"/>
  <c r="M40" i="4"/>
  <c r="L40" i="4"/>
  <c r="E40" i="4" a="1"/>
  <c r="E40" i="4" s="1"/>
  <c r="BB40" i="4" s="1"/>
  <c r="DZ39" i="4"/>
  <c r="BV39" i="4"/>
  <c r="BP39" i="4"/>
  <c r="BM39" i="4"/>
  <c r="AD39" i="4"/>
  <c r="AC39" i="4"/>
  <c r="AB39" i="4"/>
  <c r="X39" i="4"/>
  <c r="S39" i="4"/>
  <c r="R39" i="4"/>
  <c r="N39" i="4"/>
  <c r="M39" i="4"/>
  <c r="L39" i="4"/>
  <c r="E39" i="4" a="1"/>
  <c r="E39" i="4"/>
  <c r="FZ38" i="4"/>
  <c r="FX38" i="4"/>
  <c r="FW38" i="4"/>
  <c r="FV38" i="4"/>
  <c r="FU38" i="4"/>
  <c r="FT38" i="4"/>
  <c r="FS38" i="4"/>
  <c r="FQ38" i="4"/>
  <c r="FO38" i="4"/>
  <c r="FM38" i="4"/>
  <c r="FK38" i="4"/>
  <c r="FD38" i="4"/>
  <c r="FC38" i="4"/>
  <c r="ES38" i="4"/>
  <c r="EQ38" i="4"/>
  <c r="EO38" i="4"/>
  <c r="EN38" i="4"/>
  <c r="EJ38" i="4"/>
  <c r="EI38" i="4"/>
  <c r="EG38" i="4"/>
  <c r="ED38" i="4"/>
  <c r="EB38" i="4"/>
  <c r="DZ38" i="4"/>
  <c r="DA38" i="4"/>
  <c r="CZ38" i="4"/>
  <c r="CV38" i="4"/>
  <c r="CS38" i="4"/>
  <c r="CR38" i="4"/>
  <c r="CC38" i="4"/>
  <c r="BZ38" i="4"/>
  <c r="BY38" i="4"/>
  <c r="BV38" i="4"/>
  <c r="BT38" i="4"/>
  <c r="BS38" i="4"/>
  <c r="BO38" i="4"/>
  <c r="BN38" i="4"/>
  <c r="BM38" i="4"/>
  <c r="BL38" i="4"/>
  <c r="BK38" i="4"/>
  <c r="AW38" i="4"/>
  <c r="AU38" i="4"/>
  <c r="AT38" i="4"/>
  <c r="AQ38" i="4"/>
  <c r="AP38" i="4"/>
  <c r="AO38" i="4"/>
  <c r="AM38" i="4"/>
  <c r="AL38" i="4"/>
  <c r="AJ38" i="4"/>
  <c r="AG38" i="4"/>
  <c r="AF38" i="4"/>
  <c r="AD38" i="4"/>
  <c r="AA38" i="4"/>
  <c r="R38" i="4"/>
  <c r="N38" i="4"/>
  <c r="EA38" i="4" s="1"/>
  <c r="M38" i="4"/>
  <c r="L38" i="4"/>
  <c r="GB37" i="4"/>
  <c r="GA37" i="4"/>
  <c r="FY37" i="4"/>
  <c r="FX37" i="4"/>
  <c r="FV37" i="4"/>
  <c r="FU37" i="4"/>
  <c r="FP37" i="4"/>
  <c r="FO37" i="4"/>
  <c r="FN37" i="4"/>
  <c r="FM37" i="4"/>
  <c r="FI37" i="4"/>
  <c r="EZ37" i="4"/>
  <c r="EX37" i="4"/>
  <c r="EV37" i="4"/>
  <c r="EU37" i="4"/>
  <c r="ES37" i="4"/>
  <c r="EP37" i="4"/>
  <c r="EO37" i="4"/>
  <c r="EK37" i="4"/>
  <c r="EI37" i="4"/>
  <c r="EG37" i="4"/>
  <c r="EF37" i="4"/>
  <c r="EE37" i="4"/>
  <c r="ED37" i="4"/>
  <c r="DZ37" i="4"/>
  <c r="DI37" i="4"/>
  <c r="DH37" i="4"/>
  <c r="DF37" i="4"/>
  <c r="DB37" i="4"/>
  <c r="DA37" i="4"/>
  <c r="CZ37" i="4"/>
  <c r="CY37" i="4"/>
  <c r="CI37" i="4"/>
  <c r="BV37" i="4"/>
  <c r="BS37" i="4"/>
  <c r="BQ37" i="4"/>
  <c r="BD37" i="4"/>
  <c r="BA37" i="4"/>
  <c r="AZ37" i="4"/>
  <c r="AY37" i="4"/>
  <c r="AX37" i="4"/>
  <c r="AW37" i="4"/>
  <c r="AU37" i="4"/>
  <c r="AT37" i="4"/>
  <c r="AO37" i="4"/>
  <c r="AM37" i="4"/>
  <c r="AJ37" i="4"/>
  <c r="AI37" i="4"/>
  <c r="AH37" i="4"/>
  <c r="X37" i="4"/>
  <c r="V37" i="4"/>
  <c r="U37" i="4"/>
  <c r="R37" i="4"/>
  <c r="N37" i="4"/>
  <c r="M37" i="4"/>
  <c r="L37" i="4"/>
  <c r="GA36" i="4"/>
  <c r="FV36" i="4"/>
  <c r="FU36" i="4"/>
  <c r="FT36" i="4"/>
  <c r="FS36" i="4"/>
  <c r="FQ36" i="4"/>
  <c r="FG36" i="4"/>
  <c r="FD36" i="4"/>
  <c r="FC36" i="4"/>
  <c r="EZ36" i="4"/>
  <c r="EW36" i="4"/>
  <c r="EU36" i="4"/>
  <c r="ET36" i="4"/>
  <c r="ES36" i="4"/>
  <c r="EQ36" i="4"/>
  <c r="EP36" i="4"/>
  <c r="EO36" i="4"/>
  <c r="EN36" i="4"/>
  <c r="EM36" i="4"/>
  <c r="DZ36" i="4"/>
  <c r="DR36" i="4"/>
  <c r="DQ36" i="4"/>
  <c r="DO36" i="4"/>
  <c r="DJ36" i="4"/>
  <c r="DH36" i="4"/>
  <c r="DG36" i="4"/>
  <c r="CT36" i="4"/>
  <c r="CR36" i="4"/>
  <c r="BV36" i="4"/>
  <c r="BN36" i="4"/>
  <c r="BL36" i="4"/>
  <c r="BK36" i="4"/>
  <c r="BJ36" i="4"/>
  <c r="BI36" i="4"/>
  <c r="BH36" i="4"/>
  <c r="BG36" i="4"/>
  <c r="BE36" i="4"/>
  <c r="BB36" i="4"/>
  <c r="AY36" i="4"/>
  <c r="AX36" i="4"/>
  <c r="AW36" i="4"/>
  <c r="AV36" i="4"/>
  <c r="AL36" i="4"/>
  <c r="AJ36" i="4"/>
  <c r="AI36" i="4"/>
  <c r="AG36" i="4"/>
  <c r="AF36" i="4"/>
  <c r="AD36" i="4"/>
  <c r="AA36" i="4"/>
  <c r="Z36" i="4"/>
  <c r="W36" i="4"/>
  <c r="U36" i="4"/>
  <c r="T36" i="4"/>
  <c r="S36" i="4"/>
  <c r="R36" i="4"/>
  <c r="N36" i="4"/>
  <c r="M36" i="4"/>
  <c r="L36" i="4"/>
  <c r="FW35" i="4"/>
  <c r="FT35" i="4"/>
  <c r="FQ35" i="4"/>
  <c r="FO35" i="4"/>
  <c r="FN35" i="4"/>
  <c r="FL35" i="4"/>
  <c r="FK35" i="4"/>
  <c r="FJ35" i="4"/>
  <c r="FH35" i="4"/>
  <c r="FG35" i="4"/>
  <c r="FF35" i="4"/>
  <c r="FE35" i="4"/>
  <c r="FD35" i="4"/>
  <c r="EQ35" i="4"/>
  <c r="EN35" i="4"/>
  <c r="EM35" i="4"/>
  <c r="EL35" i="4"/>
  <c r="EK35" i="4"/>
  <c r="EJ35" i="4"/>
  <c r="EI35" i="4"/>
  <c r="EH35" i="4"/>
  <c r="EF35" i="4"/>
  <c r="EE35" i="4"/>
  <c r="ED35" i="4"/>
  <c r="EC35" i="4"/>
  <c r="EA35" i="4"/>
  <c r="DZ35" i="4"/>
  <c r="CZ35" i="4"/>
  <c r="CX35" i="4"/>
  <c r="CS35" i="4"/>
  <c r="CI35" i="4"/>
  <c r="CH35" i="4"/>
  <c r="CG35" i="4"/>
  <c r="CF35" i="4"/>
  <c r="CC35" i="4"/>
  <c r="CB35" i="4"/>
  <c r="BV35" i="4"/>
  <c r="BT35" i="4"/>
  <c r="BS35" i="4"/>
  <c r="BR35" i="4"/>
  <c r="BQ35" i="4"/>
  <c r="BP35" i="4"/>
  <c r="BG35" i="4"/>
  <c r="BD35" i="4"/>
  <c r="BC35" i="4"/>
  <c r="BA35" i="4"/>
  <c r="AW35" i="4"/>
  <c r="AV35" i="4"/>
  <c r="AU35" i="4"/>
  <c r="AT35" i="4"/>
  <c r="AR35" i="4"/>
  <c r="AQ35" i="4"/>
  <c r="AP35" i="4"/>
  <c r="AO35" i="4"/>
  <c r="AN35" i="4"/>
  <c r="AB35" i="4"/>
  <c r="X35" i="4"/>
  <c r="W35" i="4"/>
  <c r="V35" i="4"/>
  <c r="U35" i="4"/>
  <c r="T35" i="4"/>
  <c r="S35" i="4"/>
  <c r="R35" i="4"/>
  <c r="N35" i="4"/>
  <c r="M35" i="4"/>
  <c r="L35" i="4"/>
  <c r="GB34" i="4"/>
  <c r="GA34" i="4"/>
  <c r="FZ34" i="4"/>
  <c r="FN34" i="4"/>
  <c r="FL34" i="4"/>
  <c r="FK34" i="4"/>
  <c r="FJ34" i="4"/>
  <c r="FI34" i="4"/>
  <c r="FG34" i="4"/>
  <c r="FF34" i="4"/>
  <c r="FE34" i="4"/>
  <c r="FC34" i="4"/>
  <c r="FB34" i="4"/>
  <c r="FA34" i="4"/>
  <c r="EY34" i="4"/>
  <c r="EW34" i="4"/>
  <c r="EM34" i="4"/>
  <c r="EK34" i="4"/>
  <c r="EJ34" i="4"/>
  <c r="EI34" i="4"/>
  <c r="EH34" i="4"/>
  <c r="EG34" i="4"/>
  <c r="EF34" i="4"/>
  <c r="EE34" i="4"/>
  <c r="EA34" i="4"/>
  <c r="DZ34" i="4"/>
  <c r="DW34" i="4"/>
  <c r="DL34" i="4"/>
  <c r="DJ34" i="4"/>
  <c r="DI34" i="4"/>
  <c r="DH34" i="4"/>
  <c r="DG34" i="4"/>
  <c r="DF34" i="4"/>
  <c r="CE34" i="4"/>
  <c r="CD34" i="4"/>
  <c r="BZ34" i="4"/>
  <c r="BW34" i="4"/>
  <c r="BV34" i="4"/>
  <c r="BT34" i="4"/>
  <c r="BS34" i="4"/>
  <c r="BJ34" i="4"/>
  <c r="BG34" i="4"/>
  <c r="BF34" i="4"/>
  <c r="BE34" i="4"/>
  <c r="BB34" i="4"/>
  <c r="BA34" i="4"/>
  <c r="AZ34" i="4"/>
  <c r="AY34" i="4"/>
  <c r="AW34" i="4"/>
  <c r="AV34" i="4"/>
  <c r="AU34" i="4"/>
  <c r="AT34" i="4"/>
  <c r="AS34" i="4"/>
  <c r="AI34" i="4"/>
  <c r="AE34" i="4"/>
  <c r="AD34" i="4"/>
  <c r="AC34" i="4"/>
  <c r="AB34" i="4"/>
  <c r="AA34" i="4"/>
  <c r="Z34" i="4"/>
  <c r="Y34" i="4"/>
  <c r="W34" i="4"/>
  <c r="V34" i="4"/>
  <c r="U34" i="4"/>
  <c r="S34" i="4"/>
  <c r="R34" i="4"/>
  <c r="N34" i="4"/>
  <c r="M34" i="4"/>
  <c r="L34" i="4"/>
  <c r="FV33" i="4"/>
  <c r="FT33" i="4"/>
  <c r="FS33" i="4"/>
  <c r="FR33" i="4"/>
  <c r="FQ33" i="4"/>
  <c r="FP33" i="4"/>
  <c r="FO33" i="4"/>
  <c r="FN33" i="4"/>
  <c r="FK33" i="4"/>
  <c r="FJ33" i="4"/>
  <c r="FI33" i="4"/>
  <c r="FH33" i="4"/>
  <c r="FG33" i="4"/>
  <c r="EV33" i="4"/>
  <c r="ET33" i="4"/>
  <c r="ES33" i="4"/>
  <c r="ER33" i="4"/>
  <c r="EQ33" i="4"/>
  <c r="EO33" i="4"/>
  <c r="EN33" i="4"/>
  <c r="EM33" i="4"/>
  <c r="EK33" i="4"/>
  <c r="EJ33" i="4"/>
  <c r="EH33" i="4"/>
  <c r="EG33" i="4"/>
  <c r="EF33" i="4"/>
  <c r="DZ33" i="4"/>
  <c r="DR33" i="4"/>
  <c r="DQ33" i="4"/>
  <c r="DO33" i="4"/>
  <c r="DM33" i="4"/>
  <c r="DL33" i="4"/>
  <c r="DI33" i="4"/>
  <c r="DH33" i="4"/>
  <c r="DG33" i="4"/>
  <c r="DD33" i="4"/>
  <c r="CE33" i="4"/>
  <c r="CD33" i="4"/>
  <c r="BV33" i="4"/>
  <c r="BS33" i="4"/>
  <c r="BQ33" i="4"/>
  <c r="BO33" i="4"/>
  <c r="BN33" i="4"/>
  <c r="BM33" i="4"/>
  <c r="BL33" i="4"/>
  <c r="BI33" i="4"/>
  <c r="BH33" i="4"/>
  <c r="BF33" i="4"/>
  <c r="BE33" i="4"/>
  <c r="BC33" i="4"/>
  <c r="BB33" i="4"/>
  <c r="BA33" i="4"/>
  <c r="AR33" i="4"/>
  <c r="AP33" i="4"/>
  <c r="AO33" i="4"/>
  <c r="AL33" i="4"/>
  <c r="AK33" i="4"/>
  <c r="AJ33" i="4"/>
  <c r="AI33" i="4"/>
  <c r="AG33" i="4"/>
  <c r="AE33" i="4"/>
  <c r="AD33" i="4"/>
  <c r="AC33" i="4"/>
  <c r="AB33" i="4"/>
  <c r="AA33" i="4"/>
  <c r="R33" i="4"/>
  <c r="N33" i="4"/>
  <c r="M33" i="4"/>
  <c r="L33" i="4"/>
  <c r="GB32" i="4"/>
  <c r="GA32" i="4"/>
  <c r="FY32" i="4"/>
  <c r="FX32" i="4"/>
  <c r="FW32" i="4"/>
  <c r="FU32" i="4"/>
  <c r="FT32" i="4"/>
  <c r="FS32" i="4"/>
  <c r="FR32" i="4"/>
  <c r="FQ32" i="4"/>
  <c r="FF32" i="4"/>
  <c r="FC32" i="4"/>
  <c r="FB32" i="4"/>
  <c r="FA32" i="4"/>
  <c r="EZ32" i="4"/>
  <c r="EY32" i="4"/>
  <c r="EX32" i="4"/>
  <c r="EW32" i="4"/>
  <c r="EU32" i="4"/>
  <c r="ET32" i="4"/>
  <c r="ES32" i="4"/>
  <c r="ER32" i="4"/>
  <c r="EQ32" i="4"/>
  <c r="EE32" i="4"/>
  <c r="EC32" i="4"/>
  <c r="EB32" i="4"/>
  <c r="DZ32" i="4"/>
  <c r="DS32" i="4"/>
  <c r="DQ32" i="4"/>
  <c r="DO32" i="4"/>
  <c r="DB32" i="4"/>
  <c r="DA32" i="4"/>
  <c r="CZ32" i="4"/>
  <c r="CY32" i="4"/>
  <c r="CX32" i="4"/>
  <c r="CW32" i="4"/>
  <c r="BV32" i="4"/>
  <c r="BT32" i="4"/>
  <c r="BO32" i="4"/>
  <c r="BN32" i="4"/>
  <c r="BM32" i="4"/>
  <c r="BL32" i="4"/>
  <c r="BK32" i="4"/>
  <c r="BC32" i="4"/>
  <c r="BA32" i="4"/>
  <c r="AY32" i="4"/>
  <c r="AX32" i="4"/>
  <c r="AW32" i="4"/>
  <c r="AU32" i="4"/>
  <c r="AR32" i="4"/>
  <c r="AQ32" i="4"/>
  <c r="AO32" i="4"/>
  <c r="AN32" i="4"/>
  <c r="AM32" i="4"/>
  <c r="AL32" i="4"/>
  <c r="AK32" i="4"/>
  <c r="AB32" i="4"/>
  <c r="Y32" i="4"/>
  <c r="X32" i="4"/>
  <c r="U32" i="4"/>
  <c r="T32" i="4"/>
  <c r="S32" i="4"/>
  <c r="R32" i="4"/>
  <c r="N32" i="4"/>
  <c r="EA32" i="4" s="1"/>
  <c r="M32" i="4"/>
  <c r="L32" i="4"/>
  <c r="BW32" i="4" s="1"/>
  <c r="GB31" i="4"/>
  <c r="GA31" i="4"/>
  <c r="FZ31" i="4"/>
  <c r="FY31" i="4"/>
  <c r="FO31" i="4"/>
  <c r="FK31" i="4"/>
  <c r="FJ31" i="4"/>
  <c r="FI31" i="4"/>
  <c r="FH31" i="4"/>
  <c r="FG31" i="4"/>
  <c r="FF31" i="4"/>
  <c r="FE31" i="4"/>
  <c r="FD31" i="4"/>
  <c r="FC31" i="4"/>
  <c r="FB31" i="4"/>
  <c r="FA31" i="4"/>
  <c r="EZ31" i="4"/>
  <c r="EY31" i="4"/>
  <c r="EM31" i="4"/>
  <c r="EL31" i="4"/>
  <c r="EK31" i="4"/>
  <c r="EJ31" i="4"/>
  <c r="EI31" i="4"/>
  <c r="EH31" i="4"/>
  <c r="EG31" i="4"/>
  <c r="EF31" i="4"/>
  <c r="EE31" i="4"/>
  <c r="ED31" i="4"/>
  <c r="EC31" i="4"/>
  <c r="EB31" i="4"/>
  <c r="DZ31" i="4"/>
  <c r="DL31" i="4"/>
  <c r="DK31" i="4"/>
  <c r="DI31" i="4"/>
  <c r="DG31" i="4"/>
  <c r="DE31" i="4"/>
  <c r="DD31" i="4"/>
  <c r="DB31" i="4"/>
  <c r="DA31" i="4"/>
  <c r="CZ31" i="4"/>
  <c r="CC31" i="4"/>
  <c r="CA31" i="4"/>
  <c r="BV31" i="4"/>
  <c r="BR31" i="4"/>
  <c r="BP31" i="4"/>
  <c r="BO31" i="4"/>
  <c r="BN31" i="4"/>
  <c r="BM31" i="4"/>
  <c r="BL31" i="4"/>
  <c r="BK31" i="4"/>
  <c r="BI31" i="4"/>
  <c r="BH31" i="4"/>
  <c r="BG31" i="4"/>
  <c r="BF31" i="4"/>
  <c r="BD31" i="4"/>
  <c r="BC31" i="4"/>
  <c r="BB31" i="4"/>
  <c r="AT31" i="4"/>
  <c r="AR31" i="4"/>
  <c r="AQ31" i="4"/>
  <c r="AP31" i="4"/>
  <c r="AO31" i="4"/>
  <c r="AM31" i="4"/>
  <c r="AL31" i="4"/>
  <c r="AK31" i="4"/>
  <c r="AJ31" i="4"/>
  <c r="AH31" i="4"/>
  <c r="AG31" i="4"/>
  <c r="AF31" i="4"/>
  <c r="AE31" i="4"/>
  <c r="AD31" i="4"/>
  <c r="V31" i="4"/>
  <c r="U31" i="4"/>
  <c r="T31" i="4"/>
  <c r="R31" i="4"/>
  <c r="N31" i="4"/>
  <c r="EA31" i="4" s="1"/>
  <c r="M31" i="4"/>
  <c r="S31" i="4" s="1"/>
  <c r="L31" i="4"/>
  <c r="FU30" i="4"/>
  <c r="FM30" i="4"/>
  <c r="DZ30" i="4"/>
  <c r="BV30" i="4"/>
  <c r="BQ30" i="4"/>
  <c r="BC30" i="4"/>
  <c r="AI30" i="4"/>
  <c r="U30" i="4"/>
  <c r="R30" i="4"/>
  <c r="N30" i="4"/>
  <c r="M30" i="4"/>
  <c r="L30" i="4"/>
  <c r="FK29" i="4"/>
  <c r="FI29" i="4"/>
  <c r="FH29" i="4"/>
  <c r="FG29" i="4"/>
  <c r="EB29" i="4"/>
  <c r="DZ29" i="4"/>
  <c r="CI29" i="4"/>
  <c r="BV29" i="4"/>
  <c r="BE29" i="4"/>
  <c r="BD29" i="4"/>
  <c r="BC29" i="4"/>
  <c r="BB29" i="4"/>
  <c r="R29" i="4"/>
  <c r="N29" i="4"/>
  <c r="EJ29" i="4" s="1"/>
  <c r="M29" i="4"/>
  <c r="L29" i="4"/>
  <c r="CN29" i="4" s="1"/>
  <c r="GB28" i="4"/>
  <c r="FG28" i="4"/>
  <c r="FE28" i="4"/>
  <c r="EY28" i="4"/>
  <c r="EX28" i="4"/>
  <c r="EW28" i="4"/>
  <c r="EV28" i="4"/>
  <c r="EB28" i="4"/>
  <c r="EA28" i="4"/>
  <c r="DZ28" i="4"/>
  <c r="CI28" i="4"/>
  <c r="CF28" i="4"/>
  <c r="CC28" i="4"/>
  <c r="CB28" i="4"/>
  <c r="BV28" i="4"/>
  <c r="BM28" i="4"/>
  <c r="BF28" i="4"/>
  <c r="BE28" i="4"/>
  <c r="BB28" i="4"/>
  <c r="AZ28" i="4"/>
  <c r="AY28" i="4"/>
  <c r="AP28" i="4"/>
  <c r="AH28" i="4"/>
  <c r="AD28" i="4"/>
  <c r="S28" i="4"/>
  <c r="R28" i="4"/>
  <c r="N28" i="4"/>
  <c r="EJ28" i="4" s="1"/>
  <c r="M28" i="4"/>
  <c r="L28" i="4"/>
  <c r="GB27" i="4"/>
  <c r="FV27" i="4"/>
  <c r="EX27" i="4"/>
  <c r="ET27" i="4"/>
  <c r="EK27" i="4"/>
  <c r="EJ27" i="4"/>
  <c r="BX27" i="4"/>
  <c r="BM27" i="4"/>
  <c r="AI27" i="4"/>
  <c r="AH27" i="4"/>
  <c r="AG27" i="4"/>
  <c r="R27" i="4"/>
  <c r="BV27" i="4" s="1"/>
  <c r="N27" i="4"/>
  <c r="M27" i="4"/>
  <c r="F27" i="4"/>
  <c r="EH27" i="4" s="1"/>
  <c r="E27" i="4"/>
  <c r="AD27" i="4" s="1"/>
  <c r="D27" i="4"/>
  <c r="BM26" i="4"/>
  <c r="AP26" i="4"/>
  <c r="AM26" i="4"/>
  <c r="AI26" i="4"/>
  <c r="AH26" i="4"/>
  <c r="AG26" i="4"/>
  <c r="AF26" i="4"/>
  <c r="AE26" i="4"/>
  <c r="AD26" i="4"/>
  <c r="AC26" i="4"/>
  <c r="N26" i="4"/>
  <c r="M26" i="4"/>
  <c r="L26" i="4"/>
  <c r="E26" i="4"/>
  <c r="GB25" i="4"/>
  <c r="FY25" i="4"/>
  <c r="FJ25" i="4"/>
  <c r="FI25" i="4"/>
  <c r="FH25" i="4"/>
  <c r="FG25" i="4"/>
  <c r="FE25" i="4"/>
  <c r="EK25" i="4"/>
  <c r="EJ25" i="4"/>
  <c r="EH25" i="4"/>
  <c r="EE25" i="4"/>
  <c r="EB25" i="4"/>
  <c r="EA25" i="4"/>
  <c r="DZ25" i="4"/>
  <c r="CO25" i="4"/>
  <c r="CN25" i="4"/>
  <c r="BV25" i="4"/>
  <c r="BP25" i="4"/>
  <c r="BO25" i="4"/>
  <c r="BM25" i="4"/>
  <c r="BJ25" i="4"/>
  <c r="BF25" i="4"/>
  <c r="AP25" i="4"/>
  <c r="AI25" i="4"/>
  <c r="AG25" i="4"/>
  <c r="AE25" i="4"/>
  <c r="AD25" i="4"/>
  <c r="AC25" i="4"/>
  <c r="AB25" i="4"/>
  <c r="S25" i="4"/>
  <c r="R25" i="4"/>
  <c r="N25" i="4"/>
  <c r="M25" i="4"/>
  <c r="L25" i="4"/>
  <c r="GB24" i="4"/>
  <c r="FU24" i="4"/>
  <c r="FT24" i="4"/>
  <c r="FK24" i="4"/>
  <c r="FJ24" i="4"/>
  <c r="FH24" i="4"/>
  <c r="FG24" i="4"/>
  <c r="FE24" i="4"/>
  <c r="FB24" i="4"/>
  <c r="EK24" i="4"/>
  <c r="EJ24" i="4"/>
  <c r="EE24" i="4"/>
  <c r="EB24" i="4"/>
  <c r="EA24" i="4"/>
  <c r="DZ24" i="4"/>
  <c r="DM24" i="4"/>
  <c r="CN24" i="4"/>
  <c r="CI24" i="4"/>
  <c r="BV24" i="4"/>
  <c r="BP24" i="4"/>
  <c r="BM24" i="4"/>
  <c r="BJ24" i="4"/>
  <c r="BF24" i="4"/>
  <c r="BE24" i="4"/>
  <c r="BD24" i="4"/>
  <c r="BC24" i="4"/>
  <c r="AM24" i="4"/>
  <c r="AI24" i="4"/>
  <c r="AH24" i="4"/>
  <c r="AG24" i="4"/>
  <c r="AF24" i="4"/>
  <c r="AD24" i="4"/>
  <c r="S24" i="4"/>
  <c r="R24" i="4"/>
  <c r="N24" i="4"/>
  <c r="M24" i="4"/>
  <c r="L24" i="4"/>
  <c r="BR23" i="4"/>
  <c r="BP23" i="4"/>
  <c r="BJ23" i="4"/>
  <c r="AI23" i="4"/>
  <c r="AD23" i="4"/>
  <c r="AA23" i="4"/>
  <c r="Z23" i="4"/>
  <c r="Y23" i="4"/>
  <c r="N23" i="4"/>
  <c r="M23" i="4"/>
  <c r="L23" i="4"/>
  <c r="L27" i="4" s="1"/>
  <c r="DC27" i="4" s="1"/>
  <c r="K23" i="4"/>
  <c r="I23" i="4"/>
  <c r="E23" i="4"/>
  <c r="F68" i="4" s="1"/>
  <c r="GB22" i="4"/>
  <c r="FY22" i="4"/>
  <c r="FV22" i="4"/>
  <c r="FV24" i="4" s="1"/>
  <c r="FU22" i="4"/>
  <c r="FT22" i="4"/>
  <c r="FT25" i="4" s="1"/>
  <c r="FS22" i="4"/>
  <c r="FR22" i="4"/>
  <c r="FP22" i="4"/>
  <c r="FO22" i="4"/>
  <c r="FN22" i="4"/>
  <c r="FM22" i="4"/>
  <c r="FL22" i="4"/>
  <c r="FK22" i="4"/>
  <c r="FJ22" i="4"/>
  <c r="FI22" i="4"/>
  <c r="FI27" i="4" s="1"/>
  <c r="FH22" i="4"/>
  <c r="FG22" i="4"/>
  <c r="FG45" i="4" s="1"/>
  <c r="FE22" i="4"/>
  <c r="FB22" i="4"/>
  <c r="FB28" i="4" s="1"/>
  <c r="EY22" i="4"/>
  <c r="EX22" i="4"/>
  <c r="EW22" i="4"/>
  <c r="EW24" i="4" s="1"/>
  <c r="EV22" i="4"/>
  <c r="EV24" i="4" s="1"/>
  <c r="ET22" i="4"/>
  <c r="ET43" i="4" s="1"/>
  <c r="ES22" i="4"/>
  <c r="ER22" i="4"/>
  <c r="EQ22" i="4"/>
  <c r="EP22" i="4"/>
  <c r="EO22" i="4"/>
  <c r="EN22" i="4"/>
  <c r="EM22" i="4"/>
  <c r="EL22" i="4"/>
  <c r="EK22" i="4"/>
  <c r="EJ22" i="4"/>
  <c r="EH22" i="4"/>
  <c r="EE22" i="4"/>
  <c r="EE45" i="4" s="1"/>
  <c r="EB22" i="4"/>
  <c r="EB27" i="4" s="1"/>
  <c r="EA22" i="4"/>
  <c r="EA27" i="4" s="1"/>
  <c r="DR22" i="4"/>
  <c r="DQ22" i="4"/>
  <c r="DP22" i="4"/>
  <c r="DO22" i="4"/>
  <c r="DM22" i="4"/>
  <c r="DL22" i="4"/>
  <c r="DK22" i="4"/>
  <c r="DF22" i="4"/>
  <c r="DC22" i="4"/>
  <c r="DB22" i="4"/>
  <c r="CO22" i="4"/>
  <c r="CN22" i="4"/>
  <c r="CN28" i="4" s="1"/>
  <c r="CI22" i="4"/>
  <c r="CI45" i="4" s="1"/>
  <c r="CF22" i="4"/>
  <c r="CC22" i="4"/>
  <c r="CB22" i="4"/>
  <c r="CA22" i="4"/>
  <c r="BZ22" i="4"/>
  <c r="BY22" i="4"/>
  <c r="BX22" i="4"/>
  <c r="BT22" i="4"/>
  <c r="BS22" i="4"/>
  <c r="BS45" i="4" s="1"/>
  <c r="BR22" i="4"/>
  <c r="BR41" i="4" s="1"/>
  <c r="BQ22" i="4"/>
  <c r="BQ29" i="4" s="1"/>
  <c r="BP22" i="4"/>
  <c r="BO22" i="4"/>
  <c r="BM22" i="4"/>
  <c r="BM43" i="4" s="1"/>
  <c r="BJ22" i="4"/>
  <c r="BF22" i="4"/>
  <c r="BE22" i="4"/>
  <c r="BD22" i="4"/>
  <c r="BD43" i="4" s="1"/>
  <c r="BC22" i="4"/>
  <c r="BC27" i="4" s="1"/>
  <c r="BB22" i="4"/>
  <c r="BA22" i="4"/>
  <c r="BA28" i="4" s="1"/>
  <c r="AZ22" i="4"/>
  <c r="AY22" i="4"/>
  <c r="AX22" i="4"/>
  <c r="AX27" i="4" s="1"/>
  <c r="AW22" i="4"/>
  <c r="AV22" i="4"/>
  <c r="AU22" i="4"/>
  <c r="AT22" i="4"/>
  <c r="AS22" i="4"/>
  <c r="AR22" i="4"/>
  <c r="AR29" i="4" s="1"/>
  <c r="AP22" i="4"/>
  <c r="AM22" i="4"/>
  <c r="AI22" i="4"/>
  <c r="AH22" i="4"/>
  <c r="AG22" i="4"/>
  <c r="AF22" i="4"/>
  <c r="AF39" i="4" s="1"/>
  <c r="AE22" i="4"/>
  <c r="AE39" i="4" s="1"/>
  <c r="AD22" i="4"/>
  <c r="AC22" i="4"/>
  <c r="AC28" i="4" s="1"/>
  <c r="AB22" i="4"/>
  <c r="AB27" i="4" s="1"/>
  <c r="AA22" i="4"/>
  <c r="AA39" i="4" s="1"/>
  <c r="Z22" i="4"/>
  <c r="Y22" i="4"/>
  <c r="Y24" i="4" s="1"/>
  <c r="X22" i="4"/>
  <c r="W22" i="4"/>
  <c r="V22" i="4"/>
  <c r="V24" i="4" s="1"/>
  <c r="U22" i="4"/>
  <c r="S22" i="4"/>
  <c r="S45" i="4" s="1"/>
  <c r="GA21" i="4"/>
  <c r="FZ21" i="4"/>
  <c r="FV21" i="4"/>
  <c r="FU21" i="4"/>
  <c r="FU42" i="4" s="1"/>
  <c r="FT21" i="4"/>
  <c r="FS21" i="4"/>
  <c r="FR21" i="4"/>
  <c r="FQ21" i="4"/>
  <c r="FP21" i="4"/>
  <c r="FO21" i="4"/>
  <c r="FN21" i="4"/>
  <c r="FM21" i="4"/>
  <c r="FL21" i="4"/>
  <c r="FK21" i="4"/>
  <c r="FK42" i="4" s="1"/>
  <c r="FJ21" i="4"/>
  <c r="FI30" i="4" s="1"/>
  <c r="FI21" i="4"/>
  <c r="FH21" i="4"/>
  <c r="FH42" i="4" s="1"/>
  <c r="FF21" i="4"/>
  <c r="FD21" i="4"/>
  <c r="FB21" i="4"/>
  <c r="EY21" i="4"/>
  <c r="EX21" i="4"/>
  <c r="EW21" i="4"/>
  <c r="EV21" i="4"/>
  <c r="EU21" i="4"/>
  <c r="ET21" i="4"/>
  <c r="ES21" i="4"/>
  <c r="ER21" i="4"/>
  <c r="EQ21" i="4"/>
  <c r="EP21" i="4"/>
  <c r="EO21" i="4"/>
  <c r="EO42" i="4" s="1"/>
  <c r="EN21" i="4"/>
  <c r="EM21" i="4"/>
  <c r="EL21" i="4"/>
  <c r="EK21" i="4"/>
  <c r="EK42" i="4" s="1"/>
  <c r="EI21" i="4"/>
  <c r="EF21" i="4"/>
  <c r="EE21" i="4"/>
  <c r="EE42" i="4" s="1"/>
  <c r="EB21" i="4"/>
  <c r="EA30" i="4" s="1"/>
  <c r="EA21" i="4"/>
  <c r="DX21" i="4"/>
  <c r="DX42" i="4" s="1"/>
  <c r="DW21" i="4"/>
  <c r="DV21" i="4"/>
  <c r="DU21" i="4"/>
  <c r="DT21" i="4"/>
  <c r="DS21" i="4"/>
  <c r="DA21" i="4"/>
  <c r="CZ21" i="4"/>
  <c r="CZ42" i="4" s="1"/>
  <c r="CY21" i="4"/>
  <c r="CX21" i="4"/>
  <c r="CW21" i="4"/>
  <c r="CU21" i="4"/>
  <c r="CT21" i="4"/>
  <c r="CS21" i="4"/>
  <c r="CR21" i="4"/>
  <c r="CQ21" i="4"/>
  <c r="CP21" i="4"/>
  <c r="BW21" i="4"/>
  <c r="BT21" i="4"/>
  <c r="BS21" i="4"/>
  <c r="BR21" i="4"/>
  <c r="BR30" i="4" s="1"/>
  <c r="BQ21" i="4"/>
  <c r="BP21" i="4"/>
  <c r="BM21" i="4"/>
  <c r="BJ21" i="4"/>
  <c r="BG21" i="4"/>
  <c r="BF21" i="4"/>
  <c r="BE21" i="4"/>
  <c r="BD21" i="4"/>
  <c r="BC21" i="4"/>
  <c r="BC42" i="4" s="1"/>
  <c r="BB21" i="4"/>
  <c r="BB30" i="4" s="1"/>
  <c r="BA21" i="4"/>
  <c r="AZ21" i="4"/>
  <c r="AY21" i="4"/>
  <c r="AX21" i="4"/>
  <c r="AW21" i="4"/>
  <c r="AV21" i="4"/>
  <c r="AU21" i="4"/>
  <c r="AT21" i="4"/>
  <c r="AR21" i="4"/>
  <c r="AP21" i="4"/>
  <c r="AM21" i="4"/>
  <c r="AJ21" i="4"/>
  <c r="AI21" i="4"/>
  <c r="AH21" i="4"/>
  <c r="AH42" i="4" s="1"/>
  <c r="AG21" i="4"/>
  <c r="AG42" i="4" s="1"/>
  <c r="AF21" i="4"/>
  <c r="AE21" i="4"/>
  <c r="AD21" i="4"/>
  <c r="AC21" i="4"/>
  <c r="AB21" i="4"/>
  <c r="AA21" i="4"/>
  <c r="Z21" i="4"/>
  <c r="Y21" i="4"/>
  <c r="X21" i="4"/>
  <c r="V21" i="4"/>
  <c r="U21" i="4"/>
  <c r="U42" i="4" s="1"/>
  <c r="S21" i="4"/>
  <c r="F20" i="4"/>
  <c r="FR55" i="4" s="1"/>
  <c r="E20" i="4"/>
  <c r="AK53" i="4" s="1"/>
  <c r="D20" i="4"/>
  <c r="CB55" i="4" s="1"/>
  <c r="F13" i="4"/>
  <c r="F41" i="4" s="1" a="1"/>
  <c r="F41" i="4" s="1"/>
  <c r="FI41" i="4" s="1"/>
  <c r="D13" i="4"/>
  <c r="F12" i="4"/>
  <c r="F40" i="4" s="1" a="1"/>
  <c r="F40" i="4" s="1"/>
  <c r="FE40" i="4" s="1"/>
  <c r="D12" i="4"/>
  <c r="D40" i="4" s="1" a="1"/>
  <c r="D40" i="4" s="1"/>
  <c r="I11" i="4"/>
  <c r="G11" i="4"/>
  <c r="F11" i="4"/>
  <c r="D11" i="4"/>
  <c r="G38" i="3"/>
  <c r="F38" i="3"/>
  <c r="E38" i="3"/>
  <c r="G37" i="3"/>
  <c r="F37" i="3"/>
  <c r="AP24" i="4" s="1"/>
  <c r="E37" i="3"/>
  <c r="E27" i="3"/>
  <c r="F25" i="3"/>
  <c r="E22" i="3"/>
  <c r="G25" i="3" s="1"/>
  <c r="K20" i="2"/>
  <c r="J20" i="2"/>
  <c r="I20" i="2"/>
  <c r="H20" i="2"/>
  <c r="G20" i="2"/>
  <c r="L20" i="2" s="1"/>
  <c r="F20" i="2"/>
  <c r="E20" i="2"/>
  <c r="D20" i="2"/>
  <c r="C20" i="2"/>
  <c r="K19" i="2"/>
  <c r="J19" i="2"/>
  <c r="I19" i="2"/>
  <c r="H19" i="2"/>
  <c r="G19" i="2"/>
  <c r="L19" i="2" s="1"/>
  <c r="F19" i="2"/>
  <c r="E19" i="2"/>
  <c r="D19" i="2"/>
  <c r="C19" i="2"/>
  <c r="K18" i="2"/>
  <c r="J18" i="2"/>
  <c r="I18" i="2"/>
  <c r="H18" i="2"/>
  <c r="G18" i="2"/>
  <c r="L18" i="2" s="1"/>
  <c r="F18" i="2"/>
  <c r="E18" i="2"/>
  <c r="D18" i="2"/>
  <c r="C18" i="2"/>
  <c r="K17" i="2"/>
  <c r="J17" i="2"/>
  <c r="I17" i="2"/>
  <c r="H17" i="2"/>
  <c r="G17" i="2"/>
  <c r="L17" i="2" s="1"/>
  <c r="F17" i="2"/>
  <c r="E17" i="2"/>
  <c r="D17" i="2"/>
  <c r="C17" i="2"/>
  <c r="K16" i="2"/>
  <c r="J16" i="2"/>
  <c r="I16" i="2"/>
  <c r="H16" i="2"/>
  <c r="G16" i="2"/>
  <c r="L16" i="2" s="1"/>
  <c r="F16" i="2"/>
  <c r="E16" i="2"/>
  <c r="D16" i="2"/>
  <c r="C16" i="2"/>
  <c r="K15" i="2"/>
  <c r="J15" i="2"/>
  <c r="I15" i="2"/>
  <c r="H15" i="2"/>
  <c r="G15" i="2"/>
  <c r="L15" i="2" s="1"/>
  <c r="F15" i="2"/>
  <c r="E15" i="2"/>
  <c r="D15" i="2"/>
  <c r="C15" i="2"/>
  <c r="K14" i="2"/>
  <c r="J14" i="2"/>
  <c r="I14" i="2"/>
  <c r="H14" i="2"/>
  <c r="G14" i="2"/>
  <c r="L14" i="2" s="1"/>
  <c r="F14" i="2"/>
  <c r="E14" i="2"/>
  <c r="D14" i="2"/>
  <c r="C14" i="2"/>
  <c r="K13" i="2"/>
  <c r="J13" i="2"/>
  <c r="I13" i="2"/>
  <c r="H13" i="2"/>
  <c r="G13" i="2"/>
  <c r="L13" i="2" s="1"/>
  <c r="F13" i="2"/>
  <c r="E13" i="2"/>
  <c r="D13" i="2"/>
  <c r="C13" i="2"/>
  <c r="K12" i="2"/>
  <c r="J12" i="2"/>
  <c r="I12" i="2"/>
  <c r="H12" i="2"/>
  <c r="G12" i="2"/>
  <c r="L12" i="2" s="1"/>
  <c r="F12" i="2"/>
  <c r="E12" i="2"/>
  <c r="D12" i="2"/>
  <c r="C12" i="2"/>
  <c r="K11" i="2"/>
  <c r="J11" i="2"/>
  <c r="I11" i="2"/>
  <c r="H11" i="2"/>
  <c r="G11" i="2"/>
  <c r="L11" i="2" s="1"/>
  <c r="F11" i="2"/>
  <c r="E11" i="2"/>
  <c r="D11" i="2"/>
  <c r="C11" i="2"/>
  <c r="K10" i="2"/>
  <c r="J10" i="2"/>
  <c r="I10" i="2"/>
  <c r="H10" i="2"/>
  <c r="G10" i="2"/>
  <c r="L10" i="2" s="1"/>
  <c r="F10" i="2"/>
  <c r="E10" i="2"/>
  <c r="D10" i="2"/>
  <c r="C10" i="2"/>
  <c r="K9" i="2"/>
  <c r="J9" i="2"/>
  <c r="I9" i="2"/>
  <c r="H9" i="2"/>
  <c r="G9" i="2"/>
  <c r="L9" i="2" s="1"/>
  <c r="F9" i="2"/>
  <c r="E9" i="2"/>
  <c r="D9" i="2"/>
  <c r="C9" i="2"/>
  <c r="K8" i="2"/>
  <c r="J8" i="2"/>
  <c r="I8" i="2"/>
  <c r="H8" i="2"/>
  <c r="G8" i="2"/>
  <c r="L8" i="2" s="1"/>
  <c r="F8" i="2"/>
  <c r="E8" i="2"/>
  <c r="D8" i="2"/>
  <c r="C8" i="2"/>
  <c r="K7" i="2"/>
  <c r="J7" i="2"/>
  <c r="I7" i="2"/>
  <c r="H7" i="2"/>
  <c r="G7" i="2"/>
  <c r="L7" i="2" s="1"/>
  <c r="F7" i="2"/>
  <c r="E7" i="2"/>
  <c r="D7" i="2"/>
  <c r="C7" i="2"/>
  <c r="C6" i="2"/>
  <c r="E6" i="2"/>
  <c r="D6" i="2"/>
  <c r="DZ41" i="4" l="1"/>
  <c r="R41" i="4"/>
  <c r="DW27" i="5"/>
  <c r="CR27" i="5"/>
  <c r="AZ30" i="5"/>
  <c r="DV39" i="5"/>
  <c r="DV29" i="5"/>
  <c r="GB25" i="5"/>
  <c r="GB28" i="5"/>
  <c r="BH25" i="5"/>
  <c r="BH29" i="5"/>
  <c r="CR42" i="5"/>
  <c r="BP30" i="5"/>
  <c r="BP42" i="5"/>
  <c r="DX28" i="5"/>
  <c r="CM30" i="5"/>
  <c r="AI28" i="5"/>
  <c r="ED28" i="5"/>
  <c r="CO30" i="5"/>
  <c r="W40" i="5"/>
  <c r="EL29" i="5"/>
  <c r="EL25" i="5"/>
  <c r="CG25" i="5"/>
  <c r="AJ28" i="5"/>
  <c r="AO45" i="5"/>
  <c r="CH25" i="5"/>
  <c r="AN28" i="5"/>
  <c r="AP45" i="5"/>
  <c r="DQ50" i="5"/>
  <c r="DI53" i="5"/>
  <c r="CS47" i="5"/>
  <c r="DR46" i="5"/>
  <c r="DG44" i="5"/>
  <c r="DT38" i="5"/>
  <c r="BW38" i="5"/>
  <c r="DC37" i="5"/>
  <c r="CY36" i="5"/>
  <c r="DQ35" i="5"/>
  <c r="BZ35" i="5"/>
  <c r="CT34" i="5"/>
  <c r="DO33" i="5"/>
  <c r="CL33" i="5"/>
  <c r="DB32" i="5"/>
  <c r="BZ32" i="5"/>
  <c r="DS31" i="5"/>
  <c r="CM31" i="5"/>
  <c r="DR22" i="5"/>
  <c r="CQ22" i="5"/>
  <c r="DK21" i="5"/>
  <c r="DK42" i="5" s="1"/>
  <c r="CN21" i="5"/>
  <c r="DH53" i="5"/>
  <c r="CR47" i="5"/>
  <c r="DM46" i="5"/>
  <c r="DD44" i="5"/>
  <c r="DS38" i="5"/>
  <c r="DB37" i="5"/>
  <c r="CW36" i="5"/>
  <c r="DP35" i="5"/>
  <c r="BY35" i="5"/>
  <c r="CS34" i="5"/>
  <c r="DN33" i="5"/>
  <c r="CJ33" i="5"/>
  <c r="DA32" i="5"/>
  <c r="DS54" i="5"/>
  <c r="CF50" i="5"/>
  <c r="DL49" i="5"/>
  <c r="DR48" i="5"/>
  <c r="BW44" i="5"/>
  <c r="DC38" i="5"/>
  <c r="CH37" i="5"/>
  <c r="CO36" i="5"/>
  <c r="DB35" i="5"/>
  <c r="DT34" i="5"/>
  <c r="CJ34" i="5"/>
  <c r="DF33" i="5"/>
  <c r="CC33" i="5"/>
  <c r="DW32" i="5"/>
  <c r="CO32" i="5"/>
  <c r="DH31" i="5"/>
  <c r="CE31" i="5"/>
  <c r="DI22" i="5"/>
  <c r="DI29" i="5" s="1"/>
  <c r="CJ22" i="5"/>
  <c r="CJ25" i="5" s="1"/>
  <c r="DD21" i="5"/>
  <c r="CG21" i="5"/>
  <c r="DB53" i="5"/>
  <c r="DD50" i="5"/>
  <c r="CR49" i="5"/>
  <c r="DN48" i="5"/>
  <c r="DN44" i="5"/>
  <c r="CT38" i="5"/>
  <c r="DU37" i="5"/>
  <c r="CV36" i="5"/>
  <c r="CX35" i="5"/>
  <c r="CV34" i="5"/>
  <c r="DD33" i="5"/>
  <c r="BX33" i="5"/>
  <c r="DC32" i="5"/>
  <c r="DE31" i="5"/>
  <c r="BZ31" i="5"/>
  <c r="DE22" i="5"/>
  <c r="DE39" i="5" s="1"/>
  <c r="CD22" i="5"/>
  <c r="CD25" i="5" s="1"/>
  <c r="DL21" i="5"/>
  <c r="CL21" i="5"/>
  <c r="CL42" i="5" s="1"/>
  <c r="BW53" i="5"/>
  <c r="BY50" i="5"/>
  <c r="CP49" i="5"/>
  <c r="DL48" i="5"/>
  <c r="DM44" i="5"/>
  <c r="CS38" i="5"/>
  <c r="DM37" i="5"/>
  <c r="CT36" i="5"/>
  <c r="CW35" i="5"/>
  <c r="CU34" i="5"/>
  <c r="DC33" i="5"/>
  <c r="CZ32" i="5"/>
  <c r="DD31" i="5"/>
  <c r="BY31" i="5"/>
  <c r="DD51" i="5"/>
  <c r="CD48" i="5"/>
  <c r="DH47" i="5"/>
  <c r="DJ46" i="5"/>
  <c r="BY44" i="5"/>
  <c r="CC38" i="5"/>
  <c r="DE37" i="5"/>
  <c r="CI36" i="5"/>
  <c r="CF35" i="5"/>
  <c r="DW34" i="5"/>
  <c r="CB34" i="5"/>
  <c r="CV33" i="5"/>
  <c r="CM32" i="5"/>
  <c r="CW31" i="5"/>
  <c r="CX22" i="5"/>
  <c r="CX29" i="5" s="1"/>
  <c r="DC21" i="5"/>
  <c r="DC42" i="5" s="1"/>
  <c r="CC21" i="5"/>
  <c r="CR51" i="5"/>
  <c r="DC47" i="5"/>
  <c r="DI46" i="5"/>
  <c r="BX44" i="5"/>
  <c r="CA38" i="5"/>
  <c r="DD37" i="5"/>
  <c r="CH36" i="5"/>
  <c r="CC35" i="5"/>
  <c r="DV34" i="5"/>
  <c r="CA34" i="5"/>
  <c r="CQ33" i="5"/>
  <c r="DX32" i="5"/>
  <c r="CL32" i="5"/>
  <c r="CV31" i="5"/>
  <c r="BW21" i="5"/>
  <c r="CX21" i="5"/>
  <c r="CB22" i="5"/>
  <c r="CB28" i="5" s="1"/>
  <c r="DF22" i="5"/>
  <c r="DF23" i="5" s="1"/>
  <c r="CP23" i="5"/>
  <c r="CP25" i="5"/>
  <c r="CI25" i="5"/>
  <c r="AO28" i="5"/>
  <c r="FI28" i="5"/>
  <c r="CF31" i="5"/>
  <c r="DT31" i="5"/>
  <c r="DE32" i="5"/>
  <c r="CO33" i="5"/>
  <c r="CZ34" i="5"/>
  <c r="CA35" i="5"/>
  <c r="DO36" i="5"/>
  <c r="CI37" i="5"/>
  <c r="CO38" i="5"/>
  <c r="BN40" i="5"/>
  <c r="DG46" i="5"/>
  <c r="DQ47" i="5"/>
  <c r="DE48" i="5"/>
  <c r="DX52" i="5"/>
  <c r="AY51" i="5"/>
  <c r="F71" i="5"/>
  <c r="BA52" i="5"/>
  <c r="AQ48" i="5"/>
  <c r="U44" i="5"/>
  <c r="BC37" i="5"/>
  <c r="BJ36" i="5"/>
  <c r="X36" i="5"/>
  <c r="AK35" i="5"/>
  <c r="BH34" i="5"/>
  <c r="W34" i="5"/>
  <c r="BG33" i="5"/>
  <c r="AE33" i="5"/>
  <c r="AR32" i="5"/>
  <c r="BJ31" i="5"/>
  <c r="AH31" i="5"/>
  <c r="BP22" i="5"/>
  <c r="BP25" i="5" s="1"/>
  <c r="AR22" i="5"/>
  <c r="AR43" i="5" s="1"/>
  <c r="T22" i="5"/>
  <c r="T27" i="5" s="1"/>
  <c r="BO21" i="5"/>
  <c r="BN30" i="5" s="1"/>
  <c r="AQ21" i="5"/>
  <c r="AP42" i="5" s="1"/>
  <c r="S21" i="5"/>
  <c r="AT52" i="5"/>
  <c r="AO48" i="5"/>
  <c r="BB37" i="5"/>
  <c r="BI36" i="5"/>
  <c r="W36" i="5"/>
  <c r="AJ35" i="5"/>
  <c r="BG34" i="5"/>
  <c r="V34" i="5"/>
  <c r="BF33" i="5"/>
  <c r="AD33" i="5"/>
  <c r="BP53" i="5"/>
  <c r="BA47" i="5"/>
  <c r="AZ38" i="5"/>
  <c r="AR37" i="5"/>
  <c r="AZ36" i="5"/>
  <c r="BO35" i="5"/>
  <c r="V35" i="5"/>
  <c r="AU34" i="5"/>
  <c r="AZ33" i="5"/>
  <c r="T33" i="5"/>
  <c r="BM32" i="5"/>
  <c r="AK32" i="5"/>
  <c r="BB31" i="5"/>
  <c r="Z31" i="5"/>
  <c r="BI22" i="5"/>
  <c r="BI39" i="5" s="1"/>
  <c r="AK22" i="5"/>
  <c r="AK25" i="5" s="1"/>
  <c r="BF21" i="5"/>
  <c r="BF30" i="5" s="1"/>
  <c r="AH21" i="5"/>
  <c r="AH42" i="5" s="1"/>
  <c r="AL46" i="5"/>
  <c r="AB44" i="5"/>
  <c r="AQ38" i="5"/>
  <c r="BB36" i="5"/>
  <c r="AX35" i="5"/>
  <c r="AZ34" i="5"/>
  <c r="AM33" i="5"/>
  <c r="BQ32" i="5"/>
  <c r="AM32" i="5"/>
  <c r="AQ31" i="5"/>
  <c r="AY22" i="5"/>
  <c r="Y22" i="5"/>
  <c r="BK21" i="5"/>
  <c r="BK42" i="5" s="1"/>
  <c r="AI21" i="5"/>
  <c r="AI42" i="5" s="1"/>
  <c r="AE46" i="5"/>
  <c r="AO38" i="5"/>
  <c r="BR37" i="5"/>
  <c r="BA36" i="5"/>
  <c r="AV35" i="5"/>
  <c r="AY34" i="5"/>
  <c r="AK33" i="5"/>
  <c r="BP32" i="5"/>
  <c r="AL32" i="5"/>
  <c r="AP31" i="5"/>
  <c r="AX50" i="5"/>
  <c r="AQ49" i="5"/>
  <c r="X38" i="5"/>
  <c r="AX37" i="5"/>
  <c r="AK36" i="5"/>
  <c r="AM35" i="5"/>
  <c r="AP34" i="5"/>
  <c r="BK33" i="5"/>
  <c r="AC33" i="5"/>
  <c r="BI32" i="5"/>
  <c r="AE32" i="5"/>
  <c r="BO31" i="5"/>
  <c r="AJ31" i="5"/>
  <c r="BR22" i="5"/>
  <c r="AQ22" i="5"/>
  <c r="BA21" i="5"/>
  <c r="BA30" i="5" s="1"/>
  <c r="AA21" i="5"/>
  <c r="AA42" i="5" s="1"/>
  <c r="BL54" i="5"/>
  <c r="AW50" i="5"/>
  <c r="AK49" i="5"/>
  <c r="W38" i="5"/>
  <c r="AV37" i="5"/>
  <c r="AF36" i="5"/>
  <c r="AI35" i="5"/>
  <c r="AN34" i="5"/>
  <c r="BJ33" i="5"/>
  <c r="AB33" i="5"/>
  <c r="BH32" i="5"/>
  <c r="AC32" i="5"/>
  <c r="BM31" i="5"/>
  <c r="AI31" i="5"/>
  <c r="AT21" i="5"/>
  <c r="AS30" i="5" s="1"/>
  <c r="BX21" i="5"/>
  <c r="BX30" i="5" s="1"/>
  <c r="CY21" i="5"/>
  <c r="CY30" i="5" s="1"/>
  <c r="S22" i="5"/>
  <c r="S29" i="5" s="1"/>
  <c r="AV22" i="5"/>
  <c r="CC22" i="5"/>
  <c r="CC23" i="5" s="1"/>
  <c r="DG22" i="5"/>
  <c r="BO27" i="5"/>
  <c r="FQ28" i="5"/>
  <c r="DV30" i="5"/>
  <c r="AS31" i="5"/>
  <c r="CG31" i="5"/>
  <c r="DU31" i="5"/>
  <c r="AB32" i="5"/>
  <c r="BN32" i="5"/>
  <c r="DF32" i="5"/>
  <c r="BC33" i="5"/>
  <c r="CP33" i="5"/>
  <c r="BA34" i="5"/>
  <c r="DA34" i="5"/>
  <c r="U35" i="5"/>
  <c r="CB35" i="5"/>
  <c r="BD36" i="5"/>
  <c r="DP36" i="5"/>
  <c r="AH37" i="5"/>
  <c r="CL37" i="5"/>
  <c r="Y38" i="5"/>
  <c r="CP38" i="5"/>
  <c r="BN44" i="5"/>
  <c r="BZ45" i="5"/>
  <c r="DV46" i="5"/>
  <c r="DR47" i="5"/>
  <c r="DO48" i="5"/>
  <c r="AL51" i="5"/>
  <c r="BI54" i="5"/>
  <c r="ES49" i="5"/>
  <c r="FS36" i="5"/>
  <c r="FC34" i="5"/>
  <c r="EU32" i="5"/>
  <c r="FF22" i="5"/>
  <c r="FF25" i="5" s="1"/>
  <c r="ER21" i="5"/>
  <c r="ER30" i="5" s="1"/>
  <c r="EU49" i="5"/>
  <c r="FK36" i="5"/>
  <c r="EU34" i="5"/>
  <c r="EM32" i="5"/>
  <c r="EH37" i="5"/>
  <c r="EO36" i="5"/>
  <c r="FF31" i="5"/>
  <c r="EM22" i="5"/>
  <c r="EM43" i="5" s="1"/>
  <c r="FP21" i="5"/>
  <c r="ED21" i="5"/>
  <c r="EC30" i="5" s="1"/>
  <c r="ER47" i="5"/>
  <c r="FV34" i="5"/>
  <c r="FD32" i="5"/>
  <c r="FG31" i="5"/>
  <c r="EK22" i="5"/>
  <c r="EK25" i="5" s="1"/>
  <c r="EY21" i="5"/>
  <c r="ED47" i="5"/>
  <c r="FY35" i="5"/>
  <c r="FU34" i="5"/>
  <c r="FC32" i="5"/>
  <c r="FE31" i="5"/>
  <c r="FF38" i="5"/>
  <c r="EY36" i="5"/>
  <c r="EK35" i="5"/>
  <c r="FD33" i="5"/>
  <c r="EW31" i="5"/>
  <c r="FV22" i="5"/>
  <c r="FV43" i="5" s="1"/>
  <c r="EA22" i="5"/>
  <c r="FX21" i="5"/>
  <c r="FW30" i="5" s="1"/>
  <c r="EI21" i="5"/>
  <c r="FA38" i="5"/>
  <c r="ED35" i="5"/>
  <c r="FB33" i="5"/>
  <c r="EV31" i="5"/>
  <c r="AU21" i="5"/>
  <c r="AU30" i="5" s="1"/>
  <c r="BY21" i="5"/>
  <c r="BY30" i="5" s="1"/>
  <c r="CZ21" i="5"/>
  <c r="EJ21" i="5"/>
  <c r="EJ42" i="5" s="1"/>
  <c r="U22" i="5"/>
  <c r="U43" i="5" s="1"/>
  <c r="AW22" i="5"/>
  <c r="CE22" i="5"/>
  <c r="CE25" i="5" s="1"/>
  <c r="DH22" i="5"/>
  <c r="FC22" i="5"/>
  <c r="FC41" i="5" s="1"/>
  <c r="CN25" i="5"/>
  <c r="F27" i="5"/>
  <c r="FN27" i="5" s="1"/>
  <c r="AX31" i="5"/>
  <c r="CH31" i="5"/>
  <c r="DW31" i="5"/>
  <c r="AF32" i="5"/>
  <c r="BO32" i="5"/>
  <c r="DG32" i="5"/>
  <c r="BD33" i="5"/>
  <c r="CW33" i="5"/>
  <c r="GB33" i="5"/>
  <c r="BJ34" i="5"/>
  <c r="DC34" i="5"/>
  <c r="W35" i="5"/>
  <c r="CG35" i="5"/>
  <c r="FW35" i="5"/>
  <c r="BF36" i="5"/>
  <c r="DQ36" i="5"/>
  <c r="AI37" i="5"/>
  <c r="CY37" i="5"/>
  <c r="AJ38" i="5"/>
  <c r="CU38" i="5"/>
  <c r="BO44" i="5"/>
  <c r="CG45" i="5"/>
  <c r="DW46" i="5"/>
  <c r="DW47" i="5"/>
  <c r="DQ48" i="5"/>
  <c r="EH49" i="5"/>
  <c r="AN51" i="5"/>
  <c r="ED52" i="5"/>
  <c r="CS28" i="5"/>
  <c r="CS43" i="5"/>
  <c r="DU28" i="5"/>
  <c r="CV25" i="5"/>
  <c r="CV23" i="5"/>
  <c r="CV43" i="5"/>
  <c r="DV28" i="5"/>
  <c r="BO45" i="5"/>
  <c r="BO28" i="5"/>
  <c r="AX25" i="5"/>
  <c r="AX28" i="5"/>
  <c r="BW28" i="5"/>
  <c r="BO43" i="5"/>
  <c r="DK23" i="5"/>
  <c r="AX27" i="5"/>
  <c r="BZ28" i="5"/>
  <c r="CN39" i="5"/>
  <c r="EX42" i="5"/>
  <c r="AA23" i="5"/>
  <c r="DL23" i="5"/>
  <c r="AJ25" i="5"/>
  <c r="DP38" i="5"/>
  <c r="CQ39" i="5"/>
  <c r="CB44" i="5"/>
  <c r="DJ51" i="5"/>
  <c r="CH21" i="5"/>
  <c r="CH30" i="5" s="1"/>
  <c r="DI21" i="5"/>
  <c r="CL22" i="5"/>
  <c r="CL27" i="5" s="1"/>
  <c r="DO22" i="5"/>
  <c r="DO27" i="5" s="1"/>
  <c r="FO28" i="5"/>
  <c r="CP31" i="5"/>
  <c r="CD32" i="5"/>
  <c r="DM32" i="5"/>
  <c r="DG33" i="5"/>
  <c r="DS34" i="5"/>
  <c r="CZ35" i="5"/>
  <c r="DX36" i="5"/>
  <c r="DJ37" i="5"/>
  <c r="DR38" i="5"/>
  <c r="CS39" i="5"/>
  <c r="CN43" i="5"/>
  <c r="CE44" i="5"/>
  <c r="DK51" i="5"/>
  <c r="Z21" i="5"/>
  <c r="BC21" i="5"/>
  <c r="BB42" i="5" s="1"/>
  <c r="CI21" i="5"/>
  <c r="DJ21" i="5"/>
  <c r="AC22" i="5"/>
  <c r="AC25" i="5" s="1"/>
  <c r="BG22" i="5"/>
  <c r="CM22" i="5"/>
  <c r="DT22" i="5"/>
  <c r="FP29" i="5"/>
  <c r="DN23" i="5"/>
  <c r="DV25" i="5"/>
  <c r="BG31" i="5"/>
  <c r="CU31" i="5"/>
  <c r="AP32" i="5"/>
  <c r="CE32" i="5"/>
  <c r="DN32" i="5"/>
  <c r="AF33" i="5"/>
  <c r="BQ33" i="5"/>
  <c r="DI33" i="5"/>
  <c r="X34" i="5"/>
  <c r="BS34" i="5"/>
  <c r="DU34" i="5"/>
  <c r="AT35" i="5"/>
  <c r="DA35" i="5"/>
  <c r="V36" i="5"/>
  <c r="CA36" i="5"/>
  <c r="BD37" i="5"/>
  <c r="DL37" i="5"/>
  <c r="AX38" i="5"/>
  <c r="DU38" i="5"/>
  <c r="CH44" i="5"/>
  <c r="Y46" i="5"/>
  <c r="AC47" i="5"/>
  <c r="AV50" i="5"/>
  <c r="DM51" i="5"/>
  <c r="BT53" i="5"/>
  <c r="BT40" i="5"/>
  <c r="BP40" i="5"/>
  <c r="Y40" i="5"/>
  <c r="AA40" i="5"/>
  <c r="AC40" i="5"/>
  <c r="BW34" i="5"/>
  <c r="E22" i="2"/>
  <c r="CQ30" i="4"/>
  <c r="CQ42" i="4"/>
  <c r="CT42" i="4"/>
  <c r="CT30" i="4"/>
  <c r="DF43" i="4"/>
  <c r="DF45" i="4"/>
  <c r="DF28" i="4"/>
  <c r="DF24" i="4"/>
  <c r="DF25" i="4"/>
  <c r="DF29" i="4"/>
  <c r="DF26" i="4"/>
  <c r="DF27" i="4"/>
  <c r="CS42" i="4"/>
  <c r="CS30" i="4"/>
  <c r="BY27" i="4"/>
  <c r="AC30" i="4"/>
  <c r="AC42" i="4"/>
  <c r="BE42" i="4"/>
  <c r="BD30" i="4"/>
  <c r="BE30" i="4"/>
  <c r="DS30" i="4"/>
  <c r="DS42" i="4"/>
  <c r="EV42" i="4"/>
  <c r="EV30" i="4"/>
  <c r="FZ42" i="4"/>
  <c r="FZ30" i="4"/>
  <c r="AT29" i="4"/>
  <c r="AT43" i="4"/>
  <c r="AT27" i="4"/>
  <c r="AT45" i="4"/>
  <c r="AT28" i="4"/>
  <c r="AT26" i="4"/>
  <c r="AT25" i="4"/>
  <c r="AT24" i="4"/>
  <c r="AT23" i="4"/>
  <c r="AT41" i="4"/>
  <c r="BY43" i="4"/>
  <c r="BY45" i="4"/>
  <c r="BY29" i="4"/>
  <c r="BY24" i="4"/>
  <c r="BY28" i="4"/>
  <c r="BY25" i="4"/>
  <c r="DT30" i="4"/>
  <c r="DT42" i="4"/>
  <c r="DB27" i="4"/>
  <c r="DK45" i="4"/>
  <c r="DK43" i="4"/>
  <c r="DK24" i="4"/>
  <c r="DK29" i="4"/>
  <c r="DK25" i="4"/>
  <c r="DK27" i="4"/>
  <c r="DK26" i="4"/>
  <c r="DK28" i="4"/>
  <c r="D39" i="4" a="1"/>
  <c r="D39" i="4" s="1"/>
  <c r="D23" i="4"/>
  <c r="DQ23" i="4" s="1"/>
  <c r="EX30" i="4"/>
  <c r="EX42" i="4"/>
  <c r="CA43" i="4"/>
  <c r="CA25" i="4"/>
  <c r="CA24" i="4"/>
  <c r="CA29" i="4"/>
  <c r="CA45" i="4"/>
  <c r="CA27" i="4"/>
  <c r="AW45" i="4"/>
  <c r="AW43" i="4"/>
  <c r="AW27" i="4"/>
  <c r="AW26" i="4"/>
  <c r="AW28" i="4"/>
  <c r="AW25" i="4"/>
  <c r="AW29" i="4"/>
  <c r="AW24" i="4"/>
  <c r="AW23" i="4"/>
  <c r="CR42" i="4"/>
  <c r="CR30" i="4"/>
  <c r="BZ45" i="4"/>
  <c r="BZ43" i="4"/>
  <c r="BZ28" i="4"/>
  <c r="BZ24" i="4"/>
  <c r="BZ29" i="4"/>
  <c r="BZ27" i="4"/>
  <c r="BZ25" i="4"/>
  <c r="DU42" i="4"/>
  <c r="DU30" i="4"/>
  <c r="CP30" i="4"/>
  <c r="CP42" i="4"/>
  <c r="AD42" i="4"/>
  <c r="AD30" i="4"/>
  <c r="AF42" i="4"/>
  <c r="AF30" i="4"/>
  <c r="BJ42" i="4"/>
  <c r="BJ30" i="4"/>
  <c r="U23" i="4"/>
  <c r="U56" i="4" s="1"/>
  <c r="U45" i="4"/>
  <c r="U27" i="4"/>
  <c r="U26" i="4"/>
  <c r="U28" i="4"/>
  <c r="U29" i="4"/>
  <c r="U25" i="4"/>
  <c r="U43" i="4"/>
  <c r="EL45" i="4"/>
  <c r="EL27" i="4"/>
  <c r="EL43" i="4"/>
  <c r="EL28" i="4"/>
  <c r="EL29" i="4"/>
  <c r="EL24" i="4"/>
  <c r="EL25" i="4"/>
  <c r="EL26" i="4"/>
  <c r="DW42" i="4"/>
  <c r="DW30" i="4"/>
  <c r="EM45" i="4"/>
  <c r="EM24" i="4"/>
  <c r="EM43" i="4"/>
  <c r="EM28" i="4"/>
  <c r="EM27" i="4"/>
  <c r="EM25" i="4"/>
  <c r="EM29" i="4"/>
  <c r="FO45" i="4"/>
  <c r="FO28" i="4"/>
  <c r="FO27" i="4"/>
  <c r="FO29" i="4"/>
  <c r="FO25" i="4"/>
  <c r="FO24" i="4"/>
  <c r="FO43" i="4"/>
  <c r="U24" i="4"/>
  <c r="EN45" i="4"/>
  <c r="EN43" i="4"/>
  <c r="EN28" i="4"/>
  <c r="EN27" i="4"/>
  <c r="EN25" i="4"/>
  <c r="EN29" i="4"/>
  <c r="EN24" i="4"/>
  <c r="FP45" i="4"/>
  <c r="FP28" i="4"/>
  <c r="FP43" i="4"/>
  <c r="FP27" i="4"/>
  <c r="FP29" i="4"/>
  <c r="FP25" i="4"/>
  <c r="FP24" i="4"/>
  <c r="U41" i="4"/>
  <c r="BX45" i="4"/>
  <c r="BX43" i="4"/>
  <c r="BX24" i="4"/>
  <c r="BX26" i="4"/>
  <c r="BX25" i="4"/>
  <c r="BX29" i="4"/>
  <c r="BX28" i="4"/>
  <c r="CB43" i="4"/>
  <c r="CB45" i="4"/>
  <c r="CB24" i="4"/>
  <c r="CB29" i="4"/>
  <c r="CB25" i="4"/>
  <c r="CB27" i="4"/>
  <c r="FR29" i="4"/>
  <c r="FR28" i="4"/>
  <c r="FR24" i="4"/>
  <c r="FR25" i="4"/>
  <c r="FR45" i="4"/>
  <c r="FR27" i="4"/>
  <c r="FR43" i="4"/>
  <c r="AU43" i="4"/>
  <c r="AU45" i="4"/>
  <c r="AU27" i="4"/>
  <c r="AU28" i="4"/>
  <c r="AU26" i="4"/>
  <c r="AU25" i="4"/>
  <c r="AU29" i="4"/>
  <c r="AU24" i="4"/>
  <c r="AU23" i="4"/>
  <c r="AV45" i="4"/>
  <c r="AV43" i="4"/>
  <c r="AV27" i="4"/>
  <c r="AV28" i="4"/>
  <c r="AV26" i="4"/>
  <c r="AV25" i="4"/>
  <c r="AV29" i="4"/>
  <c r="AV24" i="4"/>
  <c r="AV23" i="4"/>
  <c r="AV41" i="4"/>
  <c r="F39" i="4" a="1"/>
  <c r="F39" i="4" s="1"/>
  <c r="F23" i="4"/>
  <c r="FG23" i="4" s="1"/>
  <c r="FN45" i="4"/>
  <c r="FN28" i="4"/>
  <c r="FN27" i="4"/>
  <c r="FN29" i="4"/>
  <c r="FN26" i="4"/>
  <c r="FN25" i="4"/>
  <c r="FN24" i="4"/>
  <c r="FN43" i="4"/>
  <c r="EO45" i="4"/>
  <c r="EO43" i="4"/>
  <c r="EO28" i="4"/>
  <c r="EO27" i="4"/>
  <c r="EO25" i="4"/>
  <c r="EO29" i="4"/>
  <c r="EO24" i="4"/>
  <c r="AT40" i="4"/>
  <c r="FG43" i="4"/>
  <c r="FM43" i="4"/>
  <c r="DL43" i="4"/>
  <c r="DL45" i="4"/>
  <c r="DL27" i="4"/>
  <c r="DL24" i="4"/>
  <c r="DL29" i="4"/>
  <c r="DL25" i="4"/>
  <c r="DL26" i="4"/>
  <c r="DL28" i="4"/>
  <c r="BF42" i="4"/>
  <c r="BF30" i="4"/>
  <c r="BG42" i="4"/>
  <c r="BG30" i="4"/>
  <c r="CO26" i="4"/>
  <c r="CC27" i="4"/>
  <c r="EW30" i="4"/>
  <c r="EW42" i="4"/>
  <c r="AE42" i="4"/>
  <c r="AE30" i="4"/>
  <c r="DV42" i="4"/>
  <c r="DV30" i="4"/>
  <c r="DB25" i="4"/>
  <c r="DB45" i="4"/>
  <c r="DB43" i="4"/>
  <c r="DB29" i="4"/>
  <c r="DB26" i="4"/>
  <c r="DB28" i="4"/>
  <c r="DB24" i="4"/>
  <c r="DC43" i="4"/>
  <c r="DC45" i="4"/>
  <c r="DC28" i="4"/>
  <c r="DC29" i="4"/>
  <c r="DC24" i="4"/>
  <c r="DC25" i="4"/>
  <c r="CA28" i="4"/>
  <c r="AP29" i="4"/>
  <c r="BM29" i="4"/>
  <c r="AM29" i="4"/>
  <c r="AF29" i="4"/>
  <c r="AG29" i="4"/>
  <c r="AE29" i="4"/>
  <c r="AI29" i="4"/>
  <c r="AH29" i="4"/>
  <c r="BJ29" i="4"/>
  <c r="AD29" i="4"/>
  <c r="AD56" i="4" s="1"/>
  <c r="AC29" i="4"/>
  <c r="BF29" i="4"/>
  <c r="FT29" i="4"/>
  <c r="EH40" i="4"/>
  <c r="BP42" i="4"/>
  <c r="BP30" i="4"/>
  <c r="BP56" i="4" s="1"/>
  <c r="CU30" i="4"/>
  <c r="W45" i="4"/>
  <c r="W43" i="4"/>
  <c r="W26" i="4"/>
  <c r="W27" i="4"/>
  <c r="W28" i="4"/>
  <c r="W29" i="4"/>
  <c r="W25" i="4"/>
  <c r="W24" i="4"/>
  <c r="AY45" i="4"/>
  <c r="AY27" i="4"/>
  <c r="AY25" i="4"/>
  <c r="AY29" i="4"/>
  <c r="AY24" i="4"/>
  <c r="AY23" i="4"/>
  <c r="CC43" i="4"/>
  <c r="CC45" i="4"/>
  <c r="DM43" i="4"/>
  <c r="DM45" i="4"/>
  <c r="DM27" i="4"/>
  <c r="DM28" i="4"/>
  <c r="DM29" i="4"/>
  <c r="EQ45" i="4"/>
  <c r="EQ43" i="4"/>
  <c r="EQ28" i="4"/>
  <c r="EQ27" i="4"/>
  <c r="EQ29" i="4"/>
  <c r="EQ25" i="4"/>
  <c r="EQ24" i="4"/>
  <c r="EV27" i="4"/>
  <c r="DK36" i="4"/>
  <c r="DC37" i="4"/>
  <c r="CT38" i="4"/>
  <c r="V39" i="4"/>
  <c r="AA43" i="4"/>
  <c r="DL53" i="4"/>
  <c r="DH54" i="4"/>
  <c r="FT45" i="4"/>
  <c r="FT43" i="4"/>
  <c r="EE29" i="4"/>
  <c r="FU29" i="4"/>
  <c r="DC40" i="4"/>
  <c r="DB40" i="4"/>
  <c r="CC40" i="4"/>
  <c r="CX40" i="4"/>
  <c r="BZ40" i="4"/>
  <c r="DT40" i="4"/>
  <c r="CS40" i="4"/>
  <c r="DS40" i="4"/>
  <c r="CR40" i="4"/>
  <c r="DR40" i="4"/>
  <c r="DQ40" i="4"/>
  <c r="DP40" i="4"/>
  <c r="CO40" i="4"/>
  <c r="DO40" i="4"/>
  <c r="CN40" i="4"/>
  <c r="DK40" i="4"/>
  <c r="CI40" i="4"/>
  <c r="DD40" i="4"/>
  <c r="BY40" i="4"/>
  <c r="CB40" i="4"/>
  <c r="CA40" i="4"/>
  <c r="DX40" i="4"/>
  <c r="BX40" i="4"/>
  <c r="DU40" i="4"/>
  <c r="DM40" i="4"/>
  <c r="DL40" i="4"/>
  <c r="AI42" i="4"/>
  <c r="BQ42" i="4"/>
  <c r="CV21" i="4"/>
  <c r="EA42" i="4"/>
  <c r="X45" i="4"/>
  <c r="X43" i="4"/>
  <c r="X29" i="4"/>
  <c r="X27" i="4"/>
  <c r="X28" i="4"/>
  <c r="X26" i="4"/>
  <c r="X25" i="4"/>
  <c r="X24" i="4"/>
  <c r="AZ45" i="4"/>
  <c r="AZ29" i="4"/>
  <c r="AZ24" i="4"/>
  <c r="AZ23" i="4"/>
  <c r="CD22" i="4"/>
  <c r="CD40" i="4" s="1"/>
  <c r="DN22" i="4"/>
  <c r="DN41" i="4" s="1"/>
  <c r="ER45" i="4"/>
  <c r="ER43" i="4"/>
  <c r="ER27" i="4"/>
  <c r="ER28" i="4"/>
  <c r="ER29" i="4"/>
  <c r="ER25" i="4"/>
  <c r="ER24" i="4"/>
  <c r="FU43" i="4"/>
  <c r="FU45" i="4"/>
  <c r="BO23" i="4"/>
  <c r="AF25" i="4"/>
  <c r="FU25" i="4"/>
  <c r="AM27" i="4"/>
  <c r="EW27" i="4"/>
  <c r="FV29" i="4"/>
  <c r="DX30" i="4"/>
  <c r="FH30" i="4"/>
  <c r="DH31" i="4"/>
  <c r="DD32" i="4"/>
  <c r="DN33" i="4"/>
  <c r="BX34" i="4"/>
  <c r="DT34" i="4"/>
  <c r="CK35" i="4"/>
  <c r="DL36" i="4"/>
  <c r="DE37" i="4"/>
  <c r="CU38" i="4"/>
  <c r="W39" i="4"/>
  <c r="EJ40" i="4"/>
  <c r="AE43" i="4"/>
  <c r="CA44" i="4"/>
  <c r="DU54" i="4"/>
  <c r="FS43" i="4"/>
  <c r="FS45" i="4"/>
  <c r="FS29" i="4"/>
  <c r="FS25" i="4"/>
  <c r="BA45" i="4"/>
  <c r="BA43" i="4"/>
  <c r="BA24" i="4"/>
  <c r="ES45" i="4"/>
  <c r="ES43" i="4"/>
  <c r="ES28" i="4"/>
  <c r="ES27" i="4"/>
  <c r="ES29" i="4"/>
  <c r="ES25" i="4"/>
  <c r="ES24" i="4"/>
  <c r="FV25" i="4"/>
  <c r="EH29" i="4"/>
  <c r="BC40" i="4"/>
  <c r="EN40" i="4"/>
  <c r="AM42" i="4"/>
  <c r="BS30" i="4"/>
  <c r="BS42" i="4"/>
  <c r="CX42" i="4"/>
  <c r="CX30" i="4"/>
  <c r="FI42" i="4"/>
  <c r="Z45" i="4"/>
  <c r="Z43" i="4"/>
  <c r="Z28" i="4"/>
  <c r="Z26" i="4"/>
  <c r="Z25" i="4"/>
  <c r="Z29" i="4"/>
  <c r="Z24" i="4"/>
  <c r="Z39" i="4"/>
  <c r="BB45" i="4"/>
  <c r="BB23" i="4"/>
  <c r="DP45" i="4"/>
  <c r="DP24" i="4"/>
  <c r="DP28" i="4"/>
  <c r="DP27" i="4"/>
  <c r="DP26" i="4"/>
  <c r="DP25" i="4"/>
  <c r="DP29" i="4"/>
  <c r="DP43" i="4"/>
  <c r="ET45" i="4"/>
  <c r="ET28" i="4"/>
  <c r="ET29" i="4"/>
  <c r="ET26" i="4"/>
  <c r="ET25" i="4"/>
  <c r="ET24" i="4"/>
  <c r="FY45" i="4"/>
  <c r="FY43" i="4"/>
  <c r="FY27" i="4"/>
  <c r="AM23" i="4"/>
  <c r="BQ23" i="4"/>
  <c r="EY27" i="4"/>
  <c r="BD28" i="4"/>
  <c r="FY29" i="4"/>
  <c r="FK30" i="4"/>
  <c r="DJ31" i="4"/>
  <c r="DP32" i="4"/>
  <c r="CC33" i="4"/>
  <c r="DP33" i="4"/>
  <c r="CC34" i="4"/>
  <c r="DX34" i="4"/>
  <c r="CT35" i="4"/>
  <c r="DP36" i="4"/>
  <c r="DG37" i="4"/>
  <c r="CY38" i="4"/>
  <c r="EO40" i="4"/>
  <c r="BA41" i="4"/>
  <c r="DO44" i="4"/>
  <c r="CW42" i="4"/>
  <c r="CW30" i="4"/>
  <c r="FL42" i="4"/>
  <c r="FL30" i="4"/>
  <c r="CD50" i="4"/>
  <c r="CM51" i="4"/>
  <c r="AU42" i="4"/>
  <c r="AU30" i="4"/>
  <c r="BY21" i="4"/>
  <c r="DB21" i="4"/>
  <c r="EL42" i="4"/>
  <c r="FM42" i="4"/>
  <c r="AD45" i="4"/>
  <c r="AD43" i="4"/>
  <c r="BF45" i="4"/>
  <c r="BF43" i="4"/>
  <c r="CQ22" i="4"/>
  <c r="DT22" i="4"/>
  <c r="DT41" i="4" s="1"/>
  <c r="EY43" i="4"/>
  <c r="EY45" i="4"/>
  <c r="AR23" i="4"/>
  <c r="BO24" i="4"/>
  <c r="EV25" i="4"/>
  <c r="BB27" i="4"/>
  <c r="AB28" i="4"/>
  <c r="FH28" i="4"/>
  <c r="CE31" i="4"/>
  <c r="DO31" i="4"/>
  <c r="BZ32" i="4"/>
  <c r="DV32" i="4"/>
  <c r="CG33" i="4"/>
  <c r="CH34" i="4"/>
  <c r="DE35" i="4"/>
  <c r="CC36" i="4"/>
  <c r="DT36" i="4"/>
  <c r="DL37" i="4"/>
  <c r="DD38" i="4"/>
  <c r="FP41" i="4"/>
  <c r="CI50" i="4"/>
  <c r="CN51" i="4"/>
  <c r="FV40" i="4"/>
  <c r="FP40" i="4"/>
  <c r="ET40" i="4"/>
  <c r="FY40" i="4"/>
  <c r="FA40" i="4"/>
  <c r="EB40" i="4"/>
  <c r="FX40" i="4"/>
  <c r="EY40" i="4"/>
  <c r="EA40" i="4"/>
  <c r="FT40" i="4"/>
  <c r="EV40" i="4"/>
  <c r="GB40" i="4"/>
  <c r="EX40" i="4"/>
  <c r="GA40" i="4"/>
  <c r="EW40" i="4"/>
  <c r="FZ40" i="4"/>
  <c r="ES40" i="4"/>
  <c r="FU40" i="4"/>
  <c r="ER40" i="4"/>
  <c r="FS40" i="4"/>
  <c r="EQ40" i="4"/>
  <c r="FR40" i="4"/>
  <c r="EP40" i="4"/>
  <c r="FN40" i="4"/>
  <c r="EM40" i="4"/>
  <c r="FH40" i="4"/>
  <c r="EG40" i="4"/>
  <c r="FQ40" i="4"/>
  <c r="FO40" i="4"/>
  <c r="FM40" i="4"/>
  <c r="FL40" i="4"/>
  <c r="FK40" i="4"/>
  <c r="FJ40" i="4"/>
  <c r="FI40" i="4"/>
  <c r="FF40" i="4"/>
  <c r="EL40" i="4"/>
  <c r="EK40" i="4"/>
  <c r="FV43" i="4"/>
  <c r="BD45" i="4"/>
  <c r="BD25" i="4"/>
  <c r="BD23" i="4"/>
  <c r="DM31" i="4"/>
  <c r="DS36" i="4"/>
  <c r="AV42" i="4"/>
  <c r="AV30" i="4"/>
  <c r="BZ21" i="4"/>
  <c r="EM30" i="4"/>
  <c r="FN42" i="4"/>
  <c r="FN30" i="4"/>
  <c r="AE45" i="4"/>
  <c r="AE24" i="4"/>
  <c r="AE23" i="4"/>
  <c r="BJ45" i="4"/>
  <c r="BJ26" i="4"/>
  <c r="BJ56" i="4" s="1"/>
  <c r="BJ43" i="4"/>
  <c r="CR22" i="4"/>
  <c r="DU22" i="4"/>
  <c r="FB45" i="4"/>
  <c r="FB43" i="4"/>
  <c r="FB29" i="4"/>
  <c r="AS23" i="4"/>
  <c r="EW25" i="4"/>
  <c r="AY26" i="4"/>
  <c r="CF26" i="4"/>
  <c r="DM26" i="4"/>
  <c r="CI27" i="4"/>
  <c r="FE27" i="4"/>
  <c r="BJ28" i="4"/>
  <c r="FI28" i="4"/>
  <c r="EV29" i="4"/>
  <c r="CF31" i="4"/>
  <c r="DX31" i="4"/>
  <c r="CA32" i="4"/>
  <c r="DW32" i="4"/>
  <c r="CK33" i="4"/>
  <c r="CJ34" i="4"/>
  <c r="DF35" i="4"/>
  <c r="CD36" i="4"/>
  <c r="DU36" i="4"/>
  <c r="BW37" i="4"/>
  <c r="DT37" i="4"/>
  <c r="DG38" i="4"/>
  <c r="FG40" i="4"/>
  <c r="CE46" i="4"/>
  <c r="DK50" i="4"/>
  <c r="CP51" i="4"/>
  <c r="V43" i="4"/>
  <c r="V45" i="4"/>
  <c r="V27" i="4"/>
  <c r="V26" i="4"/>
  <c r="V28" i="4"/>
  <c r="V29" i="4"/>
  <c r="V25" i="4"/>
  <c r="AA45" i="4"/>
  <c r="AA25" i="4"/>
  <c r="AA29" i="4"/>
  <c r="AA24" i="4"/>
  <c r="CN43" i="4"/>
  <c r="CN45" i="4"/>
  <c r="CN27" i="4"/>
  <c r="AT42" i="4"/>
  <c r="AT30" i="4"/>
  <c r="BE45" i="4"/>
  <c r="BE43" i="4"/>
  <c r="BE23" i="4"/>
  <c r="FB27" i="4"/>
  <c r="AA28" i="4"/>
  <c r="DJ37" i="4"/>
  <c r="DB38" i="4"/>
  <c r="CA21" i="4"/>
  <c r="FO42" i="4"/>
  <c r="FO30" i="4"/>
  <c r="DV22" i="4"/>
  <c r="EE28" i="4"/>
  <c r="EX29" i="4"/>
  <c r="CB32" i="4"/>
  <c r="DX32" i="4"/>
  <c r="CL34" i="4"/>
  <c r="DG35" i="4"/>
  <c r="AR40" i="4"/>
  <c r="V40" i="4"/>
  <c r="BE40" i="4"/>
  <c r="AG40" i="4"/>
  <c r="BD40" i="4"/>
  <c r="AF40" i="4"/>
  <c r="BA40" i="4"/>
  <c r="AC40" i="4"/>
  <c r="AC58" i="4" s="1"/>
  <c r="AC59" i="4" s="1"/>
  <c r="BQ40" i="4"/>
  <c r="AO40" i="4"/>
  <c r="BP40" i="4"/>
  <c r="BP58" i="4" s="1"/>
  <c r="BP59" i="4" s="1"/>
  <c r="BO40" i="4"/>
  <c r="AM40" i="4"/>
  <c r="BM40" i="4"/>
  <c r="AK40" i="4"/>
  <c r="AI40" i="4"/>
  <c r="BJ40" i="4"/>
  <c r="AH40" i="4"/>
  <c r="BF40" i="4"/>
  <c r="AB40" i="4"/>
  <c r="AW40" i="4"/>
  <c r="AD40" i="4"/>
  <c r="AD58" i="4" s="1"/>
  <c r="AD59" i="4" s="1"/>
  <c r="AA40" i="4"/>
  <c r="AA58" i="4" s="1"/>
  <c r="AA59" i="4" s="1"/>
  <c r="Z40" i="4"/>
  <c r="Y40" i="4"/>
  <c r="X40" i="4"/>
  <c r="X58" i="4" s="1"/>
  <c r="X59" i="4" s="1"/>
  <c r="BT40" i="4"/>
  <c r="W40" i="4"/>
  <c r="BS40" i="4"/>
  <c r="U40" i="4"/>
  <c r="S40" i="4"/>
  <c r="AV40" i="4"/>
  <c r="AU40" i="4"/>
  <c r="CH46" i="4"/>
  <c r="CA55" i="4"/>
  <c r="AX42" i="4"/>
  <c r="AX30" i="4"/>
  <c r="DL21" i="4"/>
  <c r="AG28" i="4"/>
  <c r="AG43" i="4"/>
  <c r="AG45" i="4"/>
  <c r="AG23" i="4"/>
  <c r="AG39" i="4"/>
  <c r="BO26" i="4"/>
  <c r="BO43" i="4"/>
  <c r="BO27" i="4"/>
  <c r="BO29" i="4"/>
  <c r="BO45" i="4"/>
  <c r="CT22" i="4"/>
  <c r="DX22" i="4"/>
  <c r="FY24" i="4"/>
  <c r="EY25" i="4"/>
  <c r="BA26" i="4"/>
  <c r="CI26" i="4"/>
  <c r="BE27" i="4"/>
  <c r="FG27" i="4"/>
  <c r="AE28" i="4"/>
  <c r="FT28" i="4"/>
  <c r="EY29" i="4"/>
  <c r="CZ30" i="4"/>
  <c r="CJ31" i="4"/>
  <c r="CD32" i="4"/>
  <c r="CM33" i="4"/>
  <c r="CT34" i="4"/>
  <c r="DH35" i="4"/>
  <c r="CH36" i="4"/>
  <c r="CA37" i="4"/>
  <c r="DL38" i="4"/>
  <c r="BA39" i="4"/>
  <c r="DH41" i="4"/>
  <c r="CL41" i="4"/>
  <c r="DX41" i="4"/>
  <c r="DB41" i="4"/>
  <c r="CF41" i="4"/>
  <c r="BY41" i="4"/>
  <c r="BX41" i="4"/>
  <c r="DP41" i="4"/>
  <c r="CR41" i="4"/>
  <c r="DO41" i="4"/>
  <c r="CM41" i="4"/>
  <c r="CK41" i="4"/>
  <c r="DM41" i="4"/>
  <c r="DL41" i="4"/>
  <c r="CI41" i="4"/>
  <c r="DK41" i="4"/>
  <c r="CH41" i="4"/>
  <c r="CB41" i="4"/>
  <c r="CQ41" i="4"/>
  <c r="CO41" i="4"/>
  <c r="CN41" i="4"/>
  <c r="CC41" i="4"/>
  <c r="BZ41" i="4"/>
  <c r="DF41" i="4"/>
  <c r="DD41" i="4"/>
  <c r="EM42" i="4"/>
  <c r="CT46" i="4"/>
  <c r="CL47" i="4"/>
  <c r="CV48" i="4"/>
  <c r="DP50" i="4"/>
  <c r="AX45" i="4"/>
  <c r="AX43" i="4"/>
  <c r="AX28" i="4"/>
  <c r="AX26" i="4"/>
  <c r="AX25" i="4"/>
  <c r="AX29" i="4"/>
  <c r="AX24" i="4"/>
  <c r="CF43" i="4"/>
  <c r="CF25" i="4"/>
  <c r="BT42" i="4"/>
  <c r="BT30" i="4"/>
  <c r="DQ45" i="4"/>
  <c r="DQ43" i="4"/>
  <c r="DQ28" i="4"/>
  <c r="DQ27" i="4"/>
  <c r="DQ26" i="4"/>
  <c r="DQ25" i="4"/>
  <c r="DQ29" i="4"/>
  <c r="DQ24" i="4"/>
  <c r="BS23" i="4"/>
  <c r="AZ27" i="4"/>
  <c r="EK29" i="4"/>
  <c r="DU55" i="4"/>
  <c r="CY55" i="4"/>
  <c r="CC55" i="4"/>
  <c r="DM54" i="4"/>
  <c r="CQ54" i="4"/>
  <c r="DE53" i="4"/>
  <c r="CI53" i="4"/>
  <c r="DS52" i="4"/>
  <c r="CW52" i="4"/>
  <c r="CA52" i="4"/>
  <c r="DK51" i="4"/>
  <c r="CO51" i="4"/>
  <c r="DC50" i="4"/>
  <c r="CG50" i="4"/>
  <c r="DQ49" i="4"/>
  <c r="CU49" i="4"/>
  <c r="BY49" i="4"/>
  <c r="DI48" i="4"/>
  <c r="CM48" i="4"/>
  <c r="DW47" i="4"/>
  <c r="DA47" i="4"/>
  <c r="CE47" i="4"/>
  <c r="DO46" i="4"/>
  <c r="DP55" i="4"/>
  <c r="CT55" i="4"/>
  <c r="BX55" i="4"/>
  <c r="DW55" i="4"/>
  <c r="CX55" i="4"/>
  <c r="BZ55" i="4"/>
  <c r="DV54" i="4"/>
  <c r="CY54" i="4"/>
  <c r="CB54" i="4"/>
  <c r="DF53" i="4"/>
  <c r="CH53" i="4"/>
  <c r="DL52" i="4"/>
  <c r="CO52" i="4"/>
  <c r="DS51" i="4"/>
  <c r="CV51" i="4"/>
  <c r="BY51" i="4"/>
  <c r="DD50" i="4"/>
  <c r="CF50" i="4"/>
  <c r="DK49" i="4"/>
  <c r="CN49" i="4"/>
  <c r="DR48" i="4"/>
  <c r="CU48" i="4"/>
  <c r="BX48" i="4"/>
  <c r="DB47" i="4"/>
  <c r="CD47" i="4"/>
  <c r="DI46" i="4"/>
  <c r="CM46" i="4"/>
  <c r="DL44" i="4"/>
  <c r="CP44" i="4"/>
  <c r="DV55" i="4"/>
  <c r="CW55" i="4"/>
  <c r="BY55" i="4"/>
  <c r="DS55" i="4"/>
  <c r="CU55" i="4"/>
  <c r="DS54" i="4"/>
  <c r="CV54" i="4"/>
  <c r="BY54" i="4"/>
  <c r="DB53" i="4"/>
  <c r="CE53" i="4"/>
  <c r="DI52" i="4"/>
  <c r="CL52" i="4"/>
  <c r="DP51" i="4"/>
  <c r="CS51" i="4"/>
  <c r="DW50" i="4"/>
  <c r="CZ50" i="4"/>
  <c r="CC50" i="4"/>
  <c r="DH49" i="4"/>
  <c r="CK49" i="4"/>
  <c r="DO48" i="4"/>
  <c r="CR48" i="4"/>
  <c r="DU47" i="4"/>
  <c r="CX47" i="4"/>
  <c r="CA47" i="4"/>
  <c r="DF46" i="4"/>
  <c r="CJ46" i="4"/>
  <c r="DR55" i="4"/>
  <c r="CS55" i="4"/>
  <c r="DR54" i="4"/>
  <c r="CU54" i="4"/>
  <c r="BX54" i="4"/>
  <c r="DX53" i="4"/>
  <c r="DA53" i="4"/>
  <c r="CD53" i="4"/>
  <c r="DH52" i="4"/>
  <c r="CK52" i="4"/>
  <c r="DO51" i="4"/>
  <c r="CR51" i="4"/>
  <c r="DV50" i="4"/>
  <c r="CY50" i="4"/>
  <c r="CB50" i="4"/>
  <c r="DG49" i="4"/>
  <c r="CJ49" i="4"/>
  <c r="DN48" i="4"/>
  <c r="CQ48" i="4"/>
  <c r="DN55" i="4"/>
  <c r="CP55" i="4"/>
  <c r="DO54" i="4"/>
  <c r="CR54" i="4"/>
  <c r="DU53" i="4"/>
  <c r="CX53" i="4"/>
  <c r="CA53" i="4"/>
  <c r="DX55" i="4"/>
  <c r="CN55" i="4"/>
  <c r="DG54" i="4"/>
  <c r="CF54" i="4"/>
  <c r="DL55" i="4"/>
  <c r="CI55" i="4"/>
  <c r="DB54" i="4"/>
  <c r="BZ54" i="4"/>
  <c r="CZ53" i="4"/>
  <c r="BX53" i="4"/>
  <c r="DD52" i="4"/>
  <c r="CD52" i="4"/>
  <c r="DL51" i="4"/>
  <c r="CK51" i="4"/>
  <c r="DU50" i="4"/>
  <c r="CU50" i="4"/>
  <c r="DE49" i="4"/>
  <c r="CE49" i="4"/>
  <c r="DP48" i="4"/>
  <c r="CN48" i="4"/>
  <c r="CZ47" i="4"/>
  <c r="BZ47" i="4"/>
  <c r="DR46" i="4"/>
  <c r="CS46" i="4"/>
  <c r="DT44" i="4"/>
  <c r="CW44" i="4"/>
  <c r="BZ44" i="4"/>
  <c r="DK55" i="4"/>
  <c r="CH55" i="4"/>
  <c r="DA54" i="4"/>
  <c r="BW54" i="4"/>
  <c r="CY53" i="4"/>
  <c r="BW53" i="4"/>
  <c r="DC52" i="4"/>
  <c r="CC52" i="4"/>
  <c r="DJ51" i="4"/>
  <c r="CJ51" i="4"/>
  <c r="DT50" i="4"/>
  <c r="CT50" i="4"/>
  <c r="DD49" i="4"/>
  <c r="CD49" i="4"/>
  <c r="DM48" i="4"/>
  <c r="CL48" i="4"/>
  <c r="CY47" i="4"/>
  <c r="BY47" i="4"/>
  <c r="DQ46" i="4"/>
  <c r="CR46" i="4"/>
  <c r="DS44" i="4"/>
  <c r="CV44" i="4"/>
  <c r="BY44" i="4"/>
  <c r="DD55" i="4"/>
  <c r="BW55" i="4"/>
  <c r="DT54" i="4"/>
  <c r="CO54" i="4"/>
  <c r="DR53" i="4"/>
  <c r="CQ53" i="4"/>
  <c r="DV52" i="4"/>
  <c r="CU52" i="4"/>
  <c r="DC51" i="4"/>
  <c r="CC51" i="4"/>
  <c r="DM50" i="4"/>
  <c r="DG55" i="4"/>
  <c r="CP54" i="4"/>
  <c r="DW53" i="4"/>
  <c r="CR53" i="4"/>
  <c r="DA52" i="4"/>
  <c r="BW52" i="4"/>
  <c r="DR51" i="4"/>
  <c r="CL51" i="4"/>
  <c r="DB50" i="4"/>
  <c r="BX50" i="4"/>
  <c r="DX49" i="4"/>
  <c r="CV49" i="4"/>
  <c r="DT48" i="4"/>
  <c r="CO48" i="4"/>
  <c r="DN47" i="4"/>
  <c r="CM47" i="4"/>
  <c r="DP46" i="4"/>
  <c r="CO46" i="4"/>
  <c r="DM44" i="4"/>
  <c r="CM44" i="4"/>
  <c r="DC38" i="4"/>
  <c r="CG38" i="4"/>
  <c r="DQ37" i="4"/>
  <c r="CU37" i="4"/>
  <c r="BY37" i="4"/>
  <c r="DI36" i="4"/>
  <c r="CM36" i="4"/>
  <c r="DW35" i="4"/>
  <c r="DA35" i="4"/>
  <c r="CE35" i="4"/>
  <c r="DF55" i="4"/>
  <c r="CN54" i="4"/>
  <c r="DV53" i="4"/>
  <c r="CP53" i="4"/>
  <c r="CZ52" i="4"/>
  <c r="DQ51" i="4"/>
  <c r="CI51" i="4"/>
  <c r="DA50" i="4"/>
  <c r="BW50" i="4"/>
  <c r="DW49" i="4"/>
  <c r="CT49" i="4"/>
  <c r="DS48" i="4"/>
  <c r="CK48" i="4"/>
  <c r="DE55" i="4"/>
  <c r="DX54" i="4"/>
  <c r="CM54" i="4"/>
  <c r="DT53" i="4"/>
  <c r="CO53" i="4"/>
  <c r="CY52" i="4"/>
  <c r="DN51" i="4"/>
  <c r="CH51" i="4"/>
  <c r="CX50" i="4"/>
  <c r="DV49" i="4"/>
  <c r="CS49" i="4"/>
  <c r="DQ48" i="4"/>
  <c r="CJ48" i="4"/>
  <c r="DL47" i="4"/>
  <c r="CK47" i="4"/>
  <c r="DM46" i="4"/>
  <c r="CL46" i="4"/>
  <c r="DC55" i="4"/>
  <c r="DW54" i="4"/>
  <c r="CL54" i="4"/>
  <c r="DS53" i="4"/>
  <c r="CN53" i="4"/>
  <c r="CX52" i="4"/>
  <c r="DM51" i="4"/>
  <c r="CG51" i="4"/>
  <c r="CW50" i="4"/>
  <c r="DU49" i="4"/>
  <c r="CR49" i="4"/>
  <c r="DL48" i="4"/>
  <c r="CI48" i="4"/>
  <c r="DK47" i="4"/>
  <c r="CJ47" i="4"/>
  <c r="DL46" i="4"/>
  <c r="CK46" i="4"/>
  <c r="DI44" i="4"/>
  <c r="CJ44" i="4"/>
  <c r="DA55" i="4"/>
  <c r="DQ54" i="4"/>
  <c r="CJ54" i="4"/>
  <c r="DP53" i="4"/>
  <c r="CL53" i="4"/>
  <c r="CT52" i="4"/>
  <c r="DH51" i="4"/>
  <c r="CE51" i="4"/>
  <c r="CZ55" i="4"/>
  <c r="DP54" i="4"/>
  <c r="CI54" i="4"/>
  <c r="DO53" i="4"/>
  <c r="CK53" i="4"/>
  <c r="DX52" i="4"/>
  <c r="CS52" i="4"/>
  <c r="DG51" i="4"/>
  <c r="CD51" i="4"/>
  <c r="CR50" i="4"/>
  <c r="DR49" i="4"/>
  <c r="CO49" i="4"/>
  <c r="DH48" i="4"/>
  <c r="CF48" i="4"/>
  <c r="DH47" i="4"/>
  <c r="CG47" i="4"/>
  <c r="DH46" i="4"/>
  <c r="CG46" i="4"/>
  <c r="DF44" i="4"/>
  <c r="CG44" i="4"/>
  <c r="DS38" i="4"/>
  <c r="CW38" i="4"/>
  <c r="CA38" i="4"/>
  <c r="DK37" i="4"/>
  <c r="CO37" i="4"/>
  <c r="DC36" i="4"/>
  <c r="CG36" i="4"/>
  <c r="CV55" i="4"/>
  <c r="DN54" i="4"/>
  <c r="CH54" i="4"/>
  <c r="DN53" i="4"/>
  <c r="CJ53" i="4"/>
  <c r="DW52" i="4"/>
  <c r="CR52" i="4"/>
  <c r="DF51" i="4"/>
  <c r="CB51" i="4"/>
  <c r="DX50" i="4"/>
  <c r="CQ50" i="4"/>
  <c r="DP49" i="4"/>
  <c r="CM49" i="4"/>
  <c r="DG48" i="4"/>
  <c r="CE48" i="4"/>
  <c r="DG47" i="4"/>
  <c r="CF47" i="4"/>
  <c r="DG46" i="4"/>
  <c r="CF46" i="4"/>
  <c r="CR55" i="4"/>
  <c r="DL54" i="4"/>
  <c r="CG54" i="4"/>
  <c r="DM53" i="4"/>
  <c r="CG53" i="4"/>
  <c r="DU52" i="4"/>
  <c r="CQ52" i="4"/>
  <c r="DE51" i="4"/>
  <c r="CA51" i="4"/>
  <c r="DI55" i="4"/>
  <c r="DD54" i="4"/>
  <c r="CP52" i="4"/>
  <c r="DW51" i="4"/>
  <c r="DI50" i="4"/>
  <c r="CG49" i="4"/>
  <c r="CT48" i="4"/>
  <c r="DE47" i="4"/>
  <c r="CV46" i="4"/>
  <c r="DG44" i="4"/>
  <c r="CD44" i="4"/>
  <c r="DH55" i="4"/>
  <c r="DC54" i="4"/>
  <c r="DQ53" i="4"/>
  <c r="CN52" i="4"/>
  <c r="DV51" i="4"/>
  <c r="DH50" i="4"/>
  <c r="DT49" i="4"/>
  <c r="CF49" i="4"/>
  <c r="CS48" i="4"/>
  <c r="DD47" i="4"/>
  <c r="CU46" i="4"/>
  <c r="DE44" i="4"/>
  <c r="CC44" i="4"/>
  <c r="CQ55" i="4"/>
  <c r="CX54" i="4"/>
  <c r="DK53" i="4"/>
  <c r="CJ52" i="4"/>
  <c r="DT51" i="4"/>
  <c r="DF50" i="4"/>
  <c r="DO49" i="4"/>
  <c r="CB49" i="4"/>
  <c r="CH48" i="4"/>
  <c r="CW47" i="4"/>
  <c r="CQ46" i="4"/>
  <c r="CO55" i="4"/>
  <c r="CW54" i="4"/>
  <c r="DJ53" i="4"/>
  <c r="CI52" i="4"/>
  <c r="DI51" i="4"/>
  <c r="DE50" i="4"/>
  <c r="DN49" i="4"/>
  <c r="CA49" i="4"/>
  <c r="CG48" i="4"/>
  <c r="CV47" i="4"/>
  <c r="DX46" i="4"/>
  <c r="CP46" i="4"/>
  <c r="DB44" i="4"/>
  <c r="BX44" i="4"/>
  <c r="CM55" i="4"/>
  <c r="CT54" i="4"/>
  <c r="DI53" i="4"/>
  <c r="CH52" i="4"/>
  <c r="DD51" i="4"/>
  <c r="CV50" i="4"/>
  <c r="DM49" i="4"/>
  <c r="BZ49" i="4"/>
  <c r="DX48" i="4"/>
  <c r="CD48" i="4"/>
  <c r="CU47" i="4"/>
  <c r="DW46" i="4"/>
  <c r="CN46" i="4"/>
  <c r="DA44" i="4"/>
  <c r="BW44" i="4"/>
  <c r="DN38" i="4"/>
  <c r="CP38" i="4"/>
  <c r="DN37" i="4"/>
  <c r="CP37" i="4"/>
  <c r="DN36" i="4"/>
  <c r="CP36" i="4"/>
  <c r="DR35" i="4"/>
  <c r="CU35" i="4"/>
  <c r="BX35" i="4"/>
  <c r="DE34" i="4"/>
  <c r="CI34" i="4"/>
  <c r="DS33" i="4"/>
  <c r="CW33" i="4"/>
  <c r="CA33" i="4"/>
  <c r="DK32" i="4"/>
  <c r="CO32" i="4"/>
  <c r="CL55" i="4"/>
  <c r="CS54" i="4"/>
  <c r="DH53" i="4"/>
  <c r="CG52" i="4"/>
  <c r="DB51" i="4"/>
  <c r="CS50" i="4"/>
  <c r="DL49" i="4"/>
  <c r="BX49" i="4"/>
  <c r="DW48" i="4"/>
  <c r="CC48" i="4"/>
  <c r="CT47" i="4"/>
  <c r="DV46" i="4"/>
  <c r="CI46" i="4"/>
  <c r="CZ44" i="4"/>
  <c r="DM38" i="4"/>
  <c r="CO38" i="4"/>
  <c r="DM37" i="4"/>
  <c r="CN37" i="4"/>
  <c r="CJ55" i="4"/>
  <c r="CG55" i="4"/>
  <c r="CD54" i="4"/>
  <c r="DC53" i="4"/>
  <c r="DR52" i="4"/>
  <c r="CB52" i="4"/>
  <c r="CY51" i="4"/>
  <c r="CN50" i="4"/>
  <c r="DF49" i="4"/>
  <c r="DK48" i="4"/>
  <c r="BZ48" i="4"/>
  <c r="CQ47" i="4"/>
  <c r="DS46" i="4"/>
  <c r="CD46" i="4"/>
  <c r="CU44" i="4"/>
  <c r="CD55" i="4"/>
  <c r="CU53" i="4"/>
  <c r="DO52" i="4"/>
  <c r="BX52" i="4"/>
  <c r="CU51" i="4"/>
  <c r="CK50" i="4"/>
  <c r="DA49" i="4"/>
  <c r="DE48" i="4"/>
  <c r="DT47" i="4"/>
  <c r="CN47" i="4"/>
  <c r="DJ46" i="4"/>
  <c r="CA46" i="4"/>
  <c r="DV44" i="4"/>
  <c r="CR44" i="4"/>
  <c r="CF53" i="4"/>
  <c r="DK52" i="4"/>
  <c r="DJ50" i="4"/>
  <c r="CY49" i="4"/>
  <c r="CB48" i="4"/>
  <c r="CB47" i="4"/>
  <c r="CC46" i="4"/>
  <c r="CS44" i="4"/>
  <c r="DK38" i="4"/>
  <c r="CK38" i="4"/>
  <c r="DV37" i="4"/>
  <c r="CV37" i="4"/>
  <c r="DE36" i="4"/>
  <c r="CE36" i="4"/>
  <c r="DC35" i="4"/>
  <c r="CD35" i="4"/>
  <c r="DD34" i="4"/>
  <c r="CG34" i="4"/>
  <c r="DK33" i="4"/>
  <c r="CN33" i="4"/>
  <c r="DR32" i="4"/>
  <c r="CU32" i="4"/>
  <c r="BX32" i="4"/>
  <c r="DC31" i="4"/>
  <c r="CG31" i="4"/>
  <c r="DW22" i="4"/>
  <c r="DA22" i="4"/>
  <c r="DA40" i="4" s="1"/>
  <c r="CE22" i="4"/>
  <c r="DI21" i="4"/>
  <c r="CM21" i="4"/>
  <c r="CC53" i="4"/>
  <c r="DJ52" i="4"/>
  <c r="DG50" i="4"/>
  <c r="CX49" i="4"/>
  <c r="CA48" i="4"/>
  <c r="BX47" i="4"/>
  <c r="CB46" i="4"/>
  <c r="CQ44" i="4"/>
  <c r="CB53" i="4"/>
  <c r="DG52" i="4"/>
  <c r="CP50" i="4"/>
  <c r="CW49" i="4"/>
  <c r="BY48" i="4"/>
  <c r="DX47" i="4"/>
  <c r="BW47" i="4"/>
  <c r="BZ46" i="4"/>
  <c r="CO44" i="4"/>
  <c r="BZ53" i="4"/>
  <c r="DF52" i="4"/>
  <c r="CO50" i="4"/>
  <c r="CQ49" i="4"/>
  <c r="BW48" i="4"/>
  <c r="DV47" i="4"/>
  <c r="BY46" i="4"/>
  <c r="CN44" i="4"/>
  <c r="DH38" i="4"/>
  <c r="CH38" i="4"/>
  <c r="DS37" i="4"/>
  <c r="CR37" i="4"/>
  <c r="DA36" i="4"/>
  <c r="CB36" i="4"/>
  <c r="DX35" i="4"/>
  <c r="CY35" i="4"/>
  <c r="CA35" i="4"/>
  <c r="BY53" i="4"/>
  <c r="DE52" i="4"/>
  <c r="DX51" i="4"/>
  <c r="CM50" i="4"/>
  <c r="CP49" i="4"/>
  <c r="DS47" i="4"/>
  <c r="BX46" i="4"/>
  <c r="CL44" i="4"/>
  <c r="DB52" i="4"/>
  <c r="DU51" i="4"/>
  <c r="CL50" i="4"/>
  <c r="CL49" i="4"/>
  <c r="DR47" i="4"/>
  <c r="BW46" i="4"/>
  <c r="CK44" i="4"/>
  <c r="DF38" i="4"/>
  <c r="CE38" i="4"/>
  <c r="DP37" i="4"/>
  <c r="CM37" i="4"/>
  <c r="DX36" i="4"/>
  <c r="CY36" i="4"/>
  <c r="BZ36" i="4"/>
  <c r="DU35" i="4"/>
  <c r="CW35" i="4"/>
  <c r="BY35" i="4"/>
  <c r="DV34" i="4"/>
  <c r="CY34" i="4"/>
  <c r="CB34" i="4"/>
  <c r="DF33" i="4"/>
  <c r="CI33" i="4"/>
  <c r="DM32" i="4"/>
  <c r="CP32" i="4"/>
  <c r="DT31" i="4"/>
  <c r="CX31" i="4"/>
  <c r="CB31" i="4"/>
  <c r="CV52" i="4"/>
  <c r="DA51" i="4"/>
  <c r="CJ50" i="4"/>
  <c r="CI49" i="4"/>
  <c r="DQ47" i="4"/>
  <c r="DU46" i="4"/>
  <c r="DX44" i="4"/>
  <c r="CI44" i="4"/>
  <c r="DE38" i="4"/>
  <c r="CD38" i="4"/>
  <c r="DO37" i="4"/>
  <c r="CL37" i="4"/>
  <c r="DW36" i="4"/>
  <c r="CX36" i="4"/>
  <c r="BY36" i="4"/>
  <c r="DT35" i="4"/>
  <c r="CV35" i="4"/>
  <c r="BW35" i="4"/>
  <c r="DU34" i="4"/>
  <c r="CX34" i="4"/>
  <c r="CA34" i="4"/>
  <c r="DE33" i="4"/>
  <c r="CH33" i="4"/>
  <c r="DL32" i="4"/>
  <c r="CN32" i="4"/>
  <c r="DK54" i="4"/>
  <c r="CF52" i="4"/>
  <c r="CX51" i="4"/>
  <c r="CH50" i="4"/>
  <c r="CC49" i="4"/>
  <c r="DV48" i="4"/>
  <c r="DO47" i="4"/>
  <c r="DN46" i="4"/>
  <c r="DU44" i="4"/>
  <c r="CF44" i="4"/>
  <c r="DJ54" i="4"/>
  <c r="CE52" i="4"/>
  <c r="CW51" i="4"/>
  <c r="CE50" i="4"/>
  <c r="BW49" i="4"/>
  <c r="DU48" i="4"/>
  <c r="DM47" i="4"/>
  <c r="DK46" i="4"/>
  <c r="DR44" i="4"/>
  <c r="CE44" i="4"/>
  <c r="DB55" i="4"/>
  <c r="CK54" i="4"/>
  <c r="DG53" i="4"/>
  <c r="CF51" i="4"/>
  <c r="DR50" i="4"/>
  <c r="DA48" i="4"/>
  <c r="CR47" i="4"/>
  <c r="CZ46" i="4"/>
  <c r="DJ44" i="4"/>
  <c r="CK55" i="4"/>
  <c r="CE54" i="4"/>
  <c r="DD53" i="4"/>
  <c r="BZ51" i="4"/>
  <c r="DQ50" i="4"/>
  <c r="DS49" i="4"/>
  <c r="CZ48" i="4"/>
  <c r="CP47" i="4"/>
  <c r="CY46" i="4"/>
  <c r="DH44" i="4"/>
  <c r="DN52" i="4"/>
  <c r="BZ50" i="4"/>
  <c r="DN44" i="4"/>
  <c r="DV38" i="4"/>
  <c r="CQ38" i="4"/>
  <c r="CX37" i="4"/>
  <c r="DF36" i="4"/>
  <c r="BX36" i="4"/>
  <c r="CR35" i="4"/>
  <c r="DS34" i="4"/>
  <c r="CS34" i="4"/>
  <c r="DB33" i="4"/>
  <c r="CB33" i="4"/>
  <c r="DN32" i="4"/>
  <c r="CK32" i="4"/>
  <c r="DW31" i="4"/>
  <c r="CY31" i="4"/>
  <c r="BZ31" i="4"/>
  <c r="DJ22" i="4"/>
  <c r="DJ40" i="4" s="1"/>
  <c r="CM22" i="4"/>
  <c r="CM40" i="4" s="1"/>
  <c r="DK21" i="4"/>
  <c r="CN21" i="4"/>
  <c r="BW36" i="4"/>
  <c r="DA33" i="4"/>
  <c r="CJ32" i="4"/>
  <c r="CW31" i="4"/>
  <c r="BY31" i="4"/>
  <c r="DI22" i="4"/>
  <c r="CL22" i="4"/>
  <c r="CL40" i="4" s="1"/>
  <c r="CL21" i="4"/>
  <c r="DM52" i="4"/>
  <c r="BY50" i="4"/>
  <c r="DT46" i="4"/>
  <c r="DK44" i="4"/>
  <c r="DU38" i="4"/>
  <c r="CN38" i="4"/>
  <c r="CW37" i="4"/>
  <c r="DD36" i="4"/>
  <c r="DV35" i="4"/>
  <c r="CQ35" i="4"/>
  <c r="DR34" i="4"/>
  <c r="CR34" i="4"/>
  <c r="BZ33" i="4"/>
  <c r="DJ32" i="4"/>
  <c r="DV31" i="4"/>
  <c r="DJ21" i="4"/>
  <c r="CM52" i="4"/>
  <c r="DE46" i="4"/>
  <c r="DD44" i="4"/>
  <c r="DT38" i="4"/>
  <c r="CM38" i="4"/>
  <c r="CT37" i="4"/>
  <c r="DB36" i="4"/>
  <c r="DS35" i="4"/>
  <c r="CP35" i="4"/>
  <c r="DQ34" i="4"/>
  <c r="CQ34" i="4"/>
  <c r="CZ33" i="4"/>
  <c r="BY33" i="4"/>
  <c r="DI32" i="4"/>
  <c r="CI32" i="4"/>
  <c r="DU31" i="4"/>
  <c r="CV31" i="4"/>
  <c r="BX31" i="4"/>
  <c r="DH22" i="4"/>
  <c r="CK22" i="4"/>
  <c r="CK40" i="4" s="1"/>
  <c r="DH21" i="4"/>
  <c r="CK21" i="4"/>
  <c r="BZ52" i="4"/>
  <c r="DD46" i="4"/>
  <c r="DC44" i="4"/>
  <c r="DR38" i="4"/>
  <c r="CL38" i="4"/>
  <c r="CS37" i="4"/>
  <c r="CZ36" i="4"/>
  <c r="DQ35" i="4"/>
  <c r="CO35" i="4"/>
  <c r="DP34" i="4"/>
  <c r="CP34" i="4"/>
  <c r="CY33" i="4"/>
  <c r="BX33" i="4"/>
  <c r="DH32" i="4"/>
  <c r="CH32" i="4"/>
  <c r="DS31" i="4"/>
  <c r="CU31" i="4"/>
  <c r="BW31" i="4"/>
  <c r="DG22" i="4"/>
  <c r="DG40" i="4" s="1"/>
  <c r="CJ22" i="4"/>
  <c r="CJ41" i="4" s="1"/>
  <c r="DG21" i="4"/>
  <c r="CJ21" i="4"/>
  <c r="BY52" i="4"/>
  <c r="DJ49" i="4"/>
  <c r="DC46" i="4"/>
  <c r="CY44" i="4"/>
  <c r="DQ38" i="4"/>
  <c r="CJ38" i="4"/>
  <c r="DX37" i="4"/>
  <c r="CQ37" i="4"/>
  <c r="CW36" i="4"/>
  <c r="DP35" i="4"/>
  <c r="CN35" i="4"/>
  <c r="DO34" i="4"/>
  <c r="CO34" i="4"/>
  <c r="DX33" i="4"/>
  <c r="CX33" i="4"/>
  <c r="BW33" i="4"/>
  <c r="DG32" i="4"/>
  <c r="CG32" i="4"/>
  <c r="DR31" i="4"/>
  <c r="CT31" i="4"/>
  <c r="DI49" i="4"/>
  <c r="DB46" i="4"/>
  <c r="CX44" i="4"/>
  <c r="DP38" i="4"/>
  <c r="CI38" i="4"/>
  <c r="DW37" i="4"/>
  <c r="CK37" i="4"/>
  <c r="CV36" i="4"/>
  <c r="DO35" i="4"/>
  <c r="CM35" i="4"/>
  <c r="DN34" i="4"/>
  <c r="CN34" i="4"/>
  <c r="DW33" i="4"/>
  <c r="CV33" i="4"/>
  <c r="DF32" i="4"/>
  <c r="CF32" i="4"/>
  <c r="DQ31" i="4"/>
  <c r="CS31" i="4"/>
  <c r="DE22" i="4"/>
  <c r="DE40" i="4" s="1"/>
  <c r="CH22" i="4"/>
  <c r="CH40" i="4" s="1"/>
  <c r="DE21" i="4"/>
  <c r="CH21" i="4"/>
  <c r="DT55" i="4"/>
  <c r="CZ51" i="4"/>
  <c r="DC49" i="4"/>
  <c r="DP47" i="4"/>
  <c r="DA46" i="4"/>
  <c r="CT44" i="4"/>
  <c r="DO38" i="4"/>
  <c r="CF38" i="4"/>
  <c r="DU37" i="4"/>
  <c r="CJ37" i="4"/>
  <c r="CU36" i="4"/>
  <c r="DN35" i="4"/>
  <c r="CL35" i="4"/>
  <c r="DM34" i="4"/>
  <c r="CM34" i="4"/>
  <c r="DV33" i="4"/>
  <c r="CU33" i="4"/>
  <c r="DE32" i="4"/>
  <c r="CE32" i="4"/>
  <c r="DP31" i="4"/>
  <c r="CR31" i="4"/>
  <c r="DD22" i="4"/>
  <c r="CG22" i="4"/>
  <c r="DD21" i="4"/>
  <c r="CG21" i="4"/>
  <c r="DO55" i="4"/>
  <c r="DI54" i="4"/>
  <c r="CQ51" i="4"/>
  <c r="CZ49" i="4"/>
  <c r="DI47" i="4"/>
  <c r="CW46" i="4"/>
  <c r="CB44" i="4"/>
  <c r="DJ38" i="4"/>
  <c r="CB38" i="4"/>
  <c r="DR37" i="4"/>
  <c r="CH37" i="4"/>
  <c r="DV36" i="4"/>
  <c r="CS36" i="4"/>
  <c r="DL35" i="4"/>
  <c r="CJ35" i="4"/>
  <c r="DK34" i="4"/>
  <c r="CK34" i="4"/>
  <c r="DT33" i="4"/>
  <c r="CS33" i="4"/>
  <c r="DC32" i="4"/>
  <c r="CC32" i="4"/>
  <c r="DN31" i="4"/>
  <c r="CP31" i="4"/>
  <c r="CW53" i="4"/>
  <c r="DO50" i="4"/>
  <c r="DC48" i="4"/>
  <c r="CH47" i="4"/>
  <c r="CV53" i="4"/>
  <c r="DN50" i="4"/>
  <c r="DB48" i="4"/>
  <c r="CC47" i="4"/>
  <c r="CX38" i="4"/>
  <c r="DD37" i="4"/>
  <c r="BZ37" i="4"/>
  <c r="DM36" i="4"/>
  <c r="CI36" i="4"/>
  <c r="DD35" i="4"/>
  <c r="DA34" i="4"/>
  <c r="BY34" i="4"/>
  <c r="DJ33" i="4"/>
  <c r="CJ33" i="4"/>
  <c r="DU32" i="4"/>
  <c r="CT32" i="4"/>
  <c r="DF31" i="4"/>
  <c r="CH31" i="4"/>
  <c r="AC43" i="4"/>
  <c r="AC27" i="4"/>
  <c r="AC45" i="4"/>
  <c r="AC24" i="4"/>
  <c r="AC23" i="4"/>
  <c r="AP23" i="4"/>
  <c r="GB29" i="4"/>
  <c r="CD31" i="4"/>
  <c r="BY32" i="4"/>
  <c r="DT32" i="4"/>
  <c r="CF33" i="4"/>
  <c r="DB35" i="4"/>
  <c r="CA36" i="4"/>
  <c r="FD40" i="4"/>
  <c r="DW44" i="4"/>
  <c r="AF45" i="4"/>
  <c r="AF23" i="4"/>
  <c r="EX25" i="4"/>
  <c r="D26" i="4"/>
  <c r="CC26" i="4" s="1"/>
  <c r="BD27" i="4"/>
  <c r="CF36" i="4"/>
  <c r="BX37" i="4"/>
  <c r="CI47" i="4"/>
  <c r="CP48" i="4"/>
  <c r="DL50" i="4"/>
  <c r="CT51" i="4"/>
  <c r="CB21" i="4"/>
  <c r="FP42" i="4"/>
  <c r="FP30" i="4"/>
  <c r="V42" i="4"/>
  <c r="V30" i="4"/>
  <c r="AY30" i="4"/>
  <c r="CC21" i="4"/>
  <c r="DM21" i="4"/>
  <c r="EP42" i="4"/>
  <c r="EP30" i="4"/>
  <c r="FQ42" i="4"/>
  <c r="FQ30" i="4"/>
  <c r="AH25" i="4"/>
  <c r="AH43" i="4"/>
  <c r="AH45" i="4"/>
  <c r="AH23" i="4"/>
  <c r="BP43" i="4"/>
  <c r="BP29" i="4"/>
  <c r="BP27" i="4"/>
  <c r="BP28" i="4"/>
  <c r="BP26" i="4"/>
  <c r="CU22" i="4"/>
  <c r="CU41" i="4" s="1"/>
  <c r="EA43" i="4"/>
  <c r="EA45" i="4"/>
  <c r="EA29" i="4"/>
  <c r="FH43" i="4"/>
  <c r="FH27" i="4"/>
  <c r="AR25" i="4"/>
  <c r="F26" i="4"/>
  <c r="BB26" i="4"/>
  <c r="Z27" i="4"/>
  <c r="Z56" i="4" s="1"/>
  <c r="BF27" i="4"/>
  <c r="AF28" i="4"/>
  <c r="FU28" i="4"/>
  <c r="EK30" i="4"/>
  <c r="CK31" i="4"/>
  <c r="CL32" i="4"/>
  <c r="CO33" i="4"/>
  <c r="CU34" i="4"/>
  <c r="DI35" i="4"/>
  <c r="CJ36" i="4"/>
  <c r="CB37" i="4"/>
  <c r="DW38" i="4"/>
  <c r="BB39" i="4"/>
  <c r="CV40" i="4"/>
  <c r="CA41" i="4"/>
  <c r="CX46" i="4"/>
  <c r="CO47" i="4"/>
  <c r="CW48" i="4"/>
  <c r="CH49" i="4"/>
  <c r="DS50" i="4"/>
  <c r="CE55" i="4"/>
  <c r="EB42" i="4"/>
  <c r="DO45" i="4"/>
  <c r="DO28" i="4"/>
  <c r="DO27" i="4"/>
  <c r="DO26" i="4"/>
  <c r="DO25" i="4"/>
  <c r="DO24" i="4"/>
  <c r="DO29" i="4"/>
  <c r="BC45" i="4"/>
  <c r="BC28" i="4"/>
  <c r="BC23" i="4"/>
  <c r="BC43" i="4"/>
  <c r="DR45" i="4"/>
  <c r="DR28" i="4"/>
  <c r="DR27" i="4"/>
  <c r="DR26" i="4"/>
  <c r="DR25" i="4"/>
  <c r="DR29" i="4"/>
  <c r="DR24" i="4"/>
  <c r="EN30" i="4"/>
  <c r="EN42" i="4"/>
  <c r="FS28" i="4"/>
  <c r="CJ40" i="4"/>
  <c r="FR42" i="4"/>
  <c r="FR30" i="4"/>
  <c r="EB43" i="4"/>
  <c r="EB45" i="4"/>
  <c r="AZ25" i="4"/>
  <c r="EH28" i="4"/>
  <c r="FV28" i="4"/>
  <c r="CC29" i="4"/>
  <c r="EL30" i="4"/>
  <c r="CL31" i="4"/>
  <c r="CM32" i="4"/>
  <c r="CP33" i="4"/>
  <c r="CV34" i="4"/>
  <c r="DJ35" i="4"/>
  <c r="CK36" i="4"/>
  <c r="CC37" i="4"/>
  <c r="DX38" i="4"/>
  <c r="BC39" i="4"/>
  <c r="CW40" i="4"/>
  <c r="BO41" i="4"/>
  <c r="AS41" i="4"/>
  <c r="W41" i="4"/>
  <c r="AM41" i="4"/>
  <c r="AY41" i="4"/>
  <c r="AA41" i="4"/>
  <c r="AX41" i="4"/>
  <c r="Z41" i="4"/>
  <c r="BS41" i="4"/>
  <c r="AU41" i="4"/>
  <c r="V41" i="4"/>
  <c r="AG41" i="4"/>
  <c r="BG41" i="4"/>
  <c r="AF41" i="4"/>
  <c r="AF58" i="4" s="1"/>
  <c r="AF59" i="4" s="1"/>
  <c r="BF41" i="4"/>
  <c r="AE41" i="4"/>
  <c r="BE41" i="4"/>
  <c r="AD41" i="4"/>
  <c r="BD41" i="4"/>
  <c r="AC41" i="4"/>
  <c r="BC41" i="4"/>
  <c r="AB41" i="4"/>
  <c r="BB41" i="4"/>
  <c r="Y41" i="4"/>
  <c r="AW41" i="4"/>
  <c r="BQ41" i="4"/>
  <c r="AR41" i="4"/>
  <c r="AP41" i="4"/>
  <c r="AK41" i="4"/>
  <c r="AH41" i="4"/>
  <c r="BL41" i="4"/>
  <c r="FH45" i="4"/>
  <c r="CS47" i="4"/>
  <c r="CX48" i="4"/>
  <c r="DB49" i="4"/>
  <c r="CF55" i="4"/>
  <c r="CY42" i="4"/>
  <c r="CY30" i="4"/>
  <c r="CF27" i="4"/>
  <c r="DS22" i="4"/>
  <c r="DS41" i="4" s="1"/>
  <c r="DC21" i="4"/>
  <c r="DF21" i="4"/>
  <c r="CS22" i="4"/>
  <c r="CC25" i="4"/>
  <c r="AZ42" i="4"/>
  <c r="AZ30" i="4"/>
  <c r="EQ42" i="4"/>
  <c r="EQ30" i="4"/>
  <c r="AI43" i="4"/>
  <c r="AI45" i="4"/>
  <c r="FI24" i="4"/>
  <c r="FI43" i="4"/>
  <c r="S23" i="4"/>
  <c r="BC26" i="4"/>
  <c r="AA27" i="4"/>
  <c r="FJ27" i="4"/>
  <c r="Y30" i="4"/>
  <c r="BA42" i="4"/>
  <c r="BA30" i="4"/>
  <c r="CE21" i="4"/>
  <c r="DO21" i="4"/>
  <c r="ER42" i="4"/>
  <c r="ER30" i="4"/>
  <c r="FS42" i="4"/>
  <c r="FS30" i="4"/>
  <c r="AM25" i="4"/>
  <c r="AM43" i="4"/>
  <c r="BR45" i="4"/>
  <c r="BR43" i="4"/>
  <c r="BR27" i="4"/>
  <c r="BR28" i="4"/>
  <c r="BR26" i="4"/>
  <c r="BR25" i="4"/>
  <c r="BR24" i="4"/>
  <c r="BR29" i="4"/>
  <c r="CW22" i="4"/>
  <c r="EE43" i="4"/>
  <c r="FJ43" i="4"/>
  <c r="FJ28" i="4"/>
  <c r="FJ29" i="4"/>
  <c r="AX23" i="4"/>
  <c r="CC24" i="4"/>
  <c r="BA25" i="4"/>
  <c r="DM25" i="4"/>
  <c r="FB25" i="4"/>
  <c r="BD26" i="4"/>
  <c r="FH26" i="4"/>
  <c r="AI28" i="4"/>
  <c r="AI56" i="4" s="1"/>
  <c r="BO28" i="4"/>
  <c r="EO30" i="4"/>
  <c r="CM31" i="4"/>
  <c r="CQ32" i="4"/>
  <c r="CQ33" i="4"/>
  <c r="CW34" i="4"/>
  <c r="DK35" i="4"/>
  <c r="CL36" i="4"/>
  <c r="CD37" i="4"/>
  <c r="BD39" i="4"/>
  <c r="Y42" i="4"/>
  <c r="FI45" i="4"/>
  <c r="DC47" i="4"/>
  <c r="CY48" i="4"/>
  <c r="DJ55" i="4"/>
  <c r="DU33" i="4"/>
  <c r="DT52" i="4"/>
  <c r="CI43" i="4"/>
  <c r="CD21" i="4"/>
  <c r="BS43" i="4"/>
  <c r="BS27" i="4"/>
  <c r="BS28" i="4"/>
  <c r="BS26" i="4"/>
  <c r="BS25" i="4"/>
  <c r="BS24" i="4"/>
  <c r="BS29" i="4"/>
  <c r="CI25" i="4"/>
  <c r="CR33" i="4"/>
  <c r="CZ34" i="4"/>
  <c r="DM35" i="4"/>
  <c r="CN36" i="4"/>
  <c r="CE37" i="4"/>
  <c r="BE39" i="4"/>
  <c r="AY42" i="4"/>
  <c r="FJ45" i="4"/>
  <c r="DF47" i="4"/>
  <c r="DD48" i="4"/>
  <c r="DM55" i="4"/>
  <c r="EV43" i="4"/>
  <c r="EV45" i="4"/>
  <c r="EW26" i="4"/>
  <c r="FM41" i="4"/>
  <c r="EQ41" i="4"/>
  <c r="FY41" i="4"/>
  <c r="FB41" i="4"/>
  <c r="EE41" i="4"/>
  <c r="FS41" i="4"/>
  <c r="EV41" i="4"/>
  <c r="FU41" i="4"/>
  <c r="FT41" i="4"/>
  <c r="ET41" i="4"/>
  <c r="FR41" i="4"/>
  <c r="ES41" i="4"/>
  <c r="FO41" i="4"/>
  <c r="EO41" i="4"/>
  <c r="GB41" i="4"/>
  <c r="EX41" i="4"/>
  <c r="EW41" i="4"/>
  <c r="ER41" i="4"/>
  <c r="FX41" i="4"/>
  <c r="EP41" i="4"/>
  <c r="EN41" i="4"/>
  <c r="FV41" i="4"/>
  <c r="EM41" i="4"/>
  <c r="FQ41" i="4"/>
  <c r="EL41" i="4"/>
  <c r="FN41" i="4"/>
  <c r="EJ41" i="4"/>
  <c r="FL41" i="4"/>
  <c r="EB41" i="4"/>
  <c r="FE41" i="4"/>
  <c r="EA41" i="4"/>
  <c r="EZ41" i="4"/>
  <c r="EY41" i="4"/>
  <c r="EK41" i="4"/>
  <c r="EH41" i="4"/>
  <c r="EG41" i="4"/>
  <c r="EF41" i="4"/>
  <c r="FK41" i="4"/>
  <c r="FJ41" i="4"/>
  <c r="DI38" i="4"/>
  <c r="BQ43" i="4"/>
  <c r="BQ27" i="4"/>
  <c r="BQ28" i="4"/>
  <c r="BQ26" i="4"/>
  <c r="BQ25" i="4"/>
  <c r="BQ24" i="4"/>
  <c r="DP21" i="4"/>
  <c r="FK45" i="4"/>
  <c r="FK28" i="4"/>
  <c r="FK27" i="4"/>
  <c r="FK25" i="4"/>
  <c r="FK43" i="4"/>
  <c r="FP24" i="5"/>
  <c r="FN24" i="5"/>
  <c r="FI24" i="5"/>
  <c r="EL24" i="5"/>
  <c r="EK24" i="5"/>
  <c r="ET42" i="4"/>
  <c r="ET30" i="4"/>
  <c r="EJ45" i="4"/>
  <c r="EJ43" i="4"/>
  <c r="BF23" i="4"/>
  <c r="AA26" i="4"/>
  <c r="AA56" i="4" s="1"/>
  <c r="FJ26" i="4"/>
  <c r="BJ27" i="4"/>
  <c r="FT27" i="4"/>
  <c r="EK28" i="4"/>
  <c r="FY28" i="4"/>
  <c r="CF29" i="4"/>
  <c r="FE29" i="4"/>
  <c r="AG30" i="4"/>
  <c r="CO31" i="4"/>
  <c r="CS32" i="4"/>
  <c r="CT33" i="4"/>
  <c r="DB34" i="4"/>
  <c r="CO36" i="4"/>
  <c r="CF37" i="4"/>
  <c r="BW38" i="4"/>
  <c r="AT39" i="4"/>
  <c r="AE40" i="4"/>
  <c r="AE58" i="4" s="1"/>
  <c r="AE59" i="4" s="1"/>
  <c r="BB42" i="4"/>
  <c r="DJ47" i="4"/>
  <c r="DF48" i="4"/>
  <c r="DQ55" i="4"/>
  <c r="EP45" i="4"/>
  <c r="EP43" i="4"/>
  <c r="EP25" i="4"/>
  <c r="EP28" i="4"/>
  <c r="EP27" i="4"/>
  <c r="EP29" i="4"/>
  <c r="EP24" i="4"/>
  <c r="Y43" i="4"/>
  <c r="Y27" i="4"/>
  <c r="Y45" i="4"/>
  <c r="Y28" i="4"/>
  <c r="Y26" i="4"/>
  <c r="Y25" i="4"/>
  <c r="Y56" i="4" s="1"/>
  <c r="Y29" i="4"/>
  <c r="Y39" i="4"/>
  <c r="FJ42" i="4"/>
  <c r="FJ30" i="4"/>
  <c r="BR56" i="4"/>
  <c r="FS24" i="4"/>
  <c r="FB40" i="4"/>
  <c r="AB45" i="4"/>
  <c r="AB29" i="4"/>
  <c r="AB24" i="4"/>
  <c r="AB23" i="4"/>
  <c r="AB43" i="4"/>
  <c r="AB58" i="4" s="1"/>
  <c r="AB59" i="4" s="1"/>
  <c r="CO24" i="4"/>
  <c r="CO45" i="4"/>
  <c r="CO43" i="4"/>
  <c r="CO27" i="4"/>
  <c r="CO28" i="4"/>
  <c r="CO29" i="4"/>
  <c r="EW43" i="4"/>
  <c r="EW45" i="4"/>
  <c r="EW29" i="4"/>
  <c r="EY26" i="4"/>
  <c r="FH41" i="4"/>
  <c r="CF45" i="4"/>
  <c r="BX21" i="4"/>
  <c r="BW42" i="4" s="1"/>
  <c r="CP22" i="4"/>
  <c r="CP41" i="4" s="1"/>
  <c r="EX43" i="4"/>
  <c r="EX45" i="4"/>
  <c r="BT23" i="4"/>
  <c r="BA27" i="4"/>
  <c r="EE30" i="4"/>
  <c r="CF34" i="4"/>
  <c r="CF40" i="4"/>
  <c r="BB43" i="4"/>
  <c r="AW42" i="4"/>
  <c r="AW30" i="4"/>
  <c r="AZ26" i="4"/>
  <c r="CI31" i="4"/>
  <c r="CL33" i="4"/>
  <c r="X30" i="4"/>
  <c r="X42" i="4"/>
  <c r="DN21" i="4"/>
  <c r="CV22" i="4"/>
  <c r="CV41" i="4" s="1"/>
  <c r="BB24" i="5"/>
  <c r="BO24" i="5"/>
  <c r="BM24" i="5"/>
  <c r="U24" i="5"/>
  <c r="BH24" i="5"/>
  <c r="BF24" i="5"/>
  <c r="BC24" i="5"/>
  <c r="AY24" i="5"/>
  <c r="AO24" i="5"/>
  <c r="AL24" i="5"/>
  <c r="AQ24" i="5"/>
  <c r="AN24" i="5"/>
  <c r="AM24" i="5"/>
  <c r="AH24" i="5"/>
  <c r="AC24" i="5"/>
  <c r="Z42" i="4"/>
  <c r="Z30" i="4"/>
  <c r="CF21" i="4"/>
  <c r="ES42" i="4"/>
  <c r="ES30" i="4"/>
  <c r="FT30" i="4"/>
  <c r="FT42" i="4"/>
  <c r="AP27" i="4"/>
  <c r="CX22" i="4"/>
  <c r="EH43" i="4"/>
  <c r="V23" i="4"/>
  <c r="BA23" i="4"/>
  <c r="AR24" i="4"/>
  <c r="EX24" i="4"/>
  <c r="BB25" i="4"/>
  <c r="BE26" i="4"/>
  <c r="CN26" i="4"/>
  <c r="FI26" i="4"/>
  <c r="EE27" i="4"/>
  <c r="FS27" i="4"/>
  <c r="CN31" i="4"/>
  <c r="CR32" i="4"/>
  <c r="AA30" i="4"/>
  <c r="AA42" i="4"/>
  <c r="CI21" i="4"/>
  <c r="DQ21" i="4"/>
  <c r="AR43" i="4"/>
  <c r="AR27" i="4"/>
  <c r="AR26" i="4"/>
  <c r="AR28" i="4"/>
  <c r="BT45" i="4"/>
  <c r="BT43" i="4"/>
  <c r="BT27" i="4"/>
  <c r="BT28" i="4"/>
  <c r="BT26" i="4"/>
  <c r="BT25" i="4"/>
  <c r="BT24" i="4"/>
  <c r="BT29" i="4"/>
  <c r="CY22" i="4"/>
  <c r="FL45" i="4"/>
  <c r="FL25" i="4"/>
  <c r="FL28" i="4"/>
  <c r="FL27" i="4"/>
  <c r="FL29" i="4"/>
  <c r="FL26" i="4"/>
  <c r="FL24" i="4"/>
  <c r="FL43" i="4"/>
  <c r="W23" i="4"/>
  <c r="AS24" i="4"/>
  <c r="EY24" i="4"/>
  <c r="BC25" i="4"/>
  <c r="BF26" i="4"/>
  <c r="AE27" i="4"/>
  <c r="AB42" i="4"/>
  <c r="AB30" i="4"/>
  <c r="BD42" i="4"/>
  <c r="CO21" i="4"/>
  <c r="DR21" i="4"/>
  <c r="EU42" i="4"/>
  <c r="EU30" i="4"/>
  <c r="FV42" i="4"/>
  <c r="AS45" i="4"/>
  <c r="AS43" i="4"/>
  <c r="AS26" i="4"/>
  <c r="AS27" i="4"/>
  <c r="AS28" i="4"/>
  <c r="AS29" i="4"/>
  <c r="AS25" i="4"/>
  <c r="BW22" i="4"/>
  <c r="BW40" i="4" s="1"/>
  <c r="CZ22" i="4"/>
  <c r="CZ40" i="4" s="1"/>
  <c r="EK45" i="4"/>
  <c r="EK43" i="4"/>
  <c r="FM45" i="4"/>
  <c r="FM28" i="4"/>
  <c r="FM27" i="4"/>
  <c r="FM29" i="4"/>
  <c r="FM25" i="4"/>
  <c r="FM24" i="4"/>
  <c r="X23" i="4"/>
  <c r="BB24" i="4"/>
  <c r="CF24" i="4"/>
  <c r="BE25" i="4"/>
  <c r="AB26" i="4"/>
  <c r="EE26" i="4"/>
  <c r="FK26" i="4"/>
  <c r="AF27" i="4"/>
  <c r="FU27" i="4"/>
  <c r="AM28" i="4"/>
  <c r="BA29" i="4"/>
  <c r="AH30" i="4"/>
  <c r="CQ31" i="4"/>
  <c r="CV32" i="4"/>
  <c r="DC33" i="4"/>
  <c r="DC34" i="4"/>
  <c r="BZ35" i="4"/>
  <c r="CQ36" i="4"/>
  <c r="CG37" i="4"/>
  <c r="BX38" i="4"/>
  <c r="BO39" i="4"/>
  <c r="AP40" i="4"/>
  <c r="DF40" i="4"/>
  <c r="DC41" i="4"/>
  <c r="DJ48" i="4"/>
  <c r="AP32" i="4"/>
  <c r="BS32" i="4"/>
  <c r="EV32" i="4"/>
  <c r="FV32" i="4"/>
  <c r="AF33" i="4"/>
  <c r="BG33" i="4"/>
  <c r="EL33" i="4"/>
  <c r="FM33" i="4"/>
  <c r="X34" i="4"/>
  <c r="AX34" i="4"/>
  <c r="ED34" i="4"/>
  <c r="FD34" i="4"/>
  <c r="AS35" i="4"/>
  <c r="EG35" i="4"/>
  <c r="FI35" i="4"/>
  <c r="Y36" i="4"/>
  <c r="BD36" i="4"/>
  <c r="ER36" i="4"/>
  <c r="FW36" i="4"/>
  <c r="AP37" i="4"/>
  <c r="EJ37" i="4"/>
  <c r="FS37" i="4"/>
  <c r="AK38" i="4"/>
  <c r="BR38" i="4"/>
  <c r="EC38" i="4"/>
  <c r="FP38" i="4"/>
  <c r="BH44" i="4"/>
  <c r="EO44" i="4"/>
  <c r="EH45" i="4"/>
  <c r="AZ46" i="4"/>
  <c r="FB46" i="4"/>
  <c r="FK47" i="4"/>
  <c r="AY49" i="4"/>
  <c r="FR49" i="4"/>
  <c r="BL51" i="4"/>
  <c r="ES52" i="4"/>
  <c r="BR54" i="4"/>
  <c r="AL55" i="4"/>
  <c r="BI44" i="4"/>
  <c r="EP44" i="4"/>
  <c r="BG46" i="4"/>
  <c r="FC46" i="4"/>
  <c r="AZ49" i="4"/>
  <c r="FS49" i="4"/>
  <c r="BQ51" i="4"/>
  <c r="ET52" i="4"/>
  <c r="AS31" i="4"/>
  <c r="BQ31" i="4"/>
  <c r="FL31" i="4"/>
  <c r="AA32" i="4"/>
  <c r="BB32" i="4"/>
  <c r="ED32" i="4"/>
  <c r="FE32" i="4"/>
  <c r="AQ33" i="4"/>
  <c r="BR33" i="4"/>
  <c r="EU33" i="4"/>
  <c r="FU33" i="4"/>
  <c r="AH34" i="4"/>
  <c r="BH34" i="4"/>
  <c r="EL34" i="4"/>
  <c r="FM34" i="4"/>
  <c r="Y35" i="4"/>
  <c r="BF35" i="4"/>
  <c r="EO35" i="4"/>
  <c r="FV35" i="4"/>
  <c r="AK36" i="4"/>
  <c r="BM36" i="4"/>
  <c r="FF36" i="4"/>
  <c r="W37" i="4"/>
  <c r="BC37" i="4"/>
  <c r="EY37" i="4"/>
  <c r="AV38" i="4"/>
  <c r="ER38" i="4"/>
  <c r="FY38" i="4"/>
  <c r="FC44" i="4"/>
  <c r="AI48" i="4"/>
  <c r="EY48" i="4"/>
  <c r="AA50" i="4"/>
  <c r="EU50" i="4"/>
  <c r="BF52" i="4"/>
  <c r="FQ53" i="4"/>
  <c r="AK21" i="4"/>
  <c r="AJ42" i="4" s="1"/>
  <c r="BH21" i="4"/>
  <c r="EC21" i="4"/>
  <c r="EZ21" i="4"/>
  <c r="FW21" i="4"/>
  <c r="AJ22" i="4"/>
  <c r="BH22" i="4"/>
  <c r="BH40" i="4" s="1"/>
  <c r="EC22" i="4"/>
  <c r="EC40" i="4" s="1"/>
  <c r="EZ22" i="4"/>
  <c r="FW22" i="4"/>
  <c r="S26" i="4"/>
  <c r="W31" i="4"/>
  <c r="AU31" i="4"/>
  <c r="BS31" i="4"/>
  <c r="EN31" i="4"/>
  <c r="FP31" i="4"/>
  <c r="AD32" i="4"/>
  <c r="BD32" i="4"/>
  <c r="EF32" i="4"/>
  <c r="FI32" i="4"/>
  <c r="S33" i="4"/>
  <c r="AT33" i="4"/>
  <c r="BT33" i="4"/>
  <c r="EW33" i="4"/>
  <c r="FY33" i="4"/>
  <c r="AJ34" i="4"/>
  <c r="BK34" i="4"/>
  <c r="EN34" i="4"/>
  <c r="FO34" i="4"/>
  <c r="AE35" i="4"/>
  <c r="BI35" i="4"/>
  <c r="ER35" i="4"/>
  <c r="FY35" i="4"/>
  <c r="AM36" i="4"/>
  <c r="BO36" i="4"/>
  <c r="EB36" i="4"/>
  <c r="FH36" i="4"/>
  <c r="Y37" i="4"/>
  <c r="BE37" i="4"/>
  <c r="FA37" i="4"/>
  <c r="AX38" i="4"/>
  <c r="ET38" i="4"/>
  <c r="GA38" i="4"/>
  <c r="S44" i="4"/>
  <c r="FS44" i="4"/>
  <c r="U47" i="4"/>
  <c r="AU48" i="4"/>
  <c r="FC48" i="4"/>
  <c r="AX50" i="4"/>
  <c r="FV50" i="4"/>
  <c r="BP52" i="4"/>
  <c r="AD53" i="4"/>
  <c r="FZ53" i="4"/>
  <c r="AA30" i="5"/>
  <c r="AY42" i="5"/>
  <c r="AX42" i="5"/>
  <c r="AY30" i="5"/>
  <c r="AX30" i="5"/>
  <c r="CV30" i="5"/>
  <c r="CV42" i="5"/>
  <c r="DS42" i="5"/>
  <c r="DS30" i="5"/>
  <c r="FG42" i="5"/>
  <c r="FG30" i="5"/>
  <c r="AB29" i="5"/>
  <c r="AB43" i="5"/>
  <c r="AB24" i="5"/>
  <c r="AB23" i="5"/>
  <c r="AB26" i="5"/>
  <c r="AB27" i="5"/>
  <c r="AB45" i="5"/>
  <c r="AB28" i="5"/>
  <c r="AB25" i="5"/>
  <c r="CC43" i="5"/>
  <c r="CC24" i="5"/>
  <c r="CC27" i="5"/>
  <c r="CC28" i="5"/>
  <c r="CC45" i="5"/>
  <c r="CC29" i="5"/>
  <c r="CC25" i="5"/>
  <c r="DB45" i="5"/>
  <c r="DB43" i="5"/>
  <c r="DB23" i="5"/>
  <c r="DB24" i="5"/>
  <c r="DB25" i="5"/>
  <c r="DB27" i="5"/>
  <c r="DB28" i="5"/>
  <c r="DB29" i="5"/>
  <c r="DB39" i="5"/>
  <c r="EC45" i="5"/>
  <c r="EC24" i="5"/>
  <c r="EC43" i="5"/>
  <c r="EC25" i="5"/>
  <c r="EC23" i="5"/>
  <c r="EC28" i="5"/>
  <c r="EC29" i="5"/>
  <c r="AL21" i="4"/>
  <c r="BI21" i="4"/>
  <c r="ED21" i="4"/>
  <c r="FA21" i="4"/>
  <c r="FX21" i="4"/>
  <c r="AL22" i="4"/>
  <c r="AL40" i="4" s="1"/>
  <c r="BI22" i="4"/>
  <c r="BI40" i="4" s="1"/>
  <c r="ED22" i="4"/>
  <c r="FA22" i="4"/>
  <c r="FA41" i="4" s="1"/>
  <c r="FX22" i="4"/>
  <c r="S27" i="4"/>
  <c r="X31" i="4"/>
  <c r="AV31" i="4"/>
  <c r="BT31" i="4"/>
  <c r="EO31" i="4"/>
  <c r="FQ31" i="4"/>
  <c r="AE32" i="4"/>
  <c r="BE32" i="4"/>
  <c r="EG32" i="4"/>
  <c r="FJ32" i="4"/>
  <c r="T33" i="4"/>
  <c r="AU33" i="4"/>
  <c r="EX33" i="4"/>
  <c r="FZ33" i="4"/>
  <c r="AK34" i="4"/>
  <c r="BM34" i="4"/>
  <c r="EO34" i="4"/>
  <c r="FP34" i="4"/>
  <c r="AF35" i="4"/>
  <c r="BJ35" i="4"/>
  <c r="EV35" i="4"/>
  <c r="FZ35" i="4"/>
  <c r="AN36" i="4"/>
  <c r="BR36" i="4"/>
  <c r="EC36" i="4"/>
  <c r="FK36" i="4"/>
  <c r="AA37" i="4"/>
  <c r="BF37" i="4"/>
  <c r="FB37" i="4"/>
  <c r="S38" i="4"/>
  <c r="AY38" i="4"/>
  <c r="EU38" i="4"/>
  <c r="T44" i="4"/>
  <c r="GB44" i="4"/>
  <c r="V47" i="4"/>
  <c r="BA48" i="4"/>
  <c r="FN48" i="4"/>
  <c r="AZ50" i="4"/>
  <c r="FW50" i="4"/>
  <c r="AE53" i="4"/>
  <c r="GA53" i="4"/>
  <c r="FL54" i="4"/>
  <c r="Y31" i="4"/>
  <c r="AW31" i="4"/>
  <c r="ER31" i="4"/>
  <c r="FS31" i="4"/>
  <c r="AF32" i="4"/>
  <c r="BF32" i="4"/>
  <c r="EI32" i="4"/>
  <c r="FK32" i="4"/>
  <c r="U33" i="4"/>
  <c r="AV33" i="4"/>
  <c r="EY33" i="4"/>
  <c r="GA33" i="4"/>
  <c r="AM34" i="4"/>
  <c r="BN34" i="4"/>
  <c r="EP34" i="4"/>
  <c r="FS34" i="4"/>
  <c r="AH35" i="4"/>
  <c r="BK35" i="4"/>
  <c r="EX35" i="4"/>
  <c r="GA35" i="4"/>
  <c r="AO36" i="4"/>
  <c r="BS36" i="4"/>
  <c r="EE36" i="4"/>
  <c r="FL36" i="4"/>
  <c r="AB37" i="4"/>
  <c r="BG37" i="4"/>
  <c r="FC37" i="4"/>
  <c r="V38" i="4"/>
  <c r="AZ38" i="4"/>
  <c r="EW38" i="4"/>
  <c r="AP39" i="4"/>
  <c r="T39" i="4"/>
  <c r="BF39" i="4"/>
  <c r="BK39" i="4"/>
  <c r="AM39" i="4"/>
  <c r="BJ39" i="4"/>
  <c r="BG39" i="4"/>
  <c r="AH39" i="4"/>
  <c r="AV39" i="4"/>
  <c r="U39" i="4"/>
  <c r="U58" i="4" s="1"/>
  <c r="U59" i="4" s="1"/>
  <c r="BT39" i="4"/>
  <c r="BT58" i="4" s="1"/>
  <c r="BT59" i="4" s="1"/>
  <c r="AS39" i="4"/>
  <c r="BS39" i="4"/>
  <c r="AR39" i="4"/>
  <c r="BR39" i="4"/>
  <c r="BQ39" i="4"/>
  <c r="AI39" i="4"/>
  <c r="AU39" i="4"/>
  <c r="V44" i="4"/>
  <c r="AJ47" i="4"/>
  <c r="EC47" i="4"/>
  <c r="BD48" i="4"/>
  <c r="FU48" i="4"/>
  <c r="BA50" i="4"/>
  <c r="GA50" i="4"/>
  <c r="EE51" i="4"/>
  <c r="GB53" i="4"/>
  <c r="FP54" i="4"/>
  <c r="EB55" i="4"/>
  <c r="BF55" i="4"/>
  <c r="AJ55" i="4"/>
  <c r="BT54" i="4"/>
  <c r="AX54" i="4"/>
  <c r="AB54" i="4"/>
  <c r="BL53" i="4"/>
  <c r="AP53" i="4"/>
  <c r="T53" i="4"/>
  <c r="BD52" i="4"/>
  <c r="AH52" i="4"/>
  <c r="BR51" i="4"/>
  <c r="AV51" i="4"/>
  <c r="Z51" i="4"/>
  <c r="BJ50" i="4"/>
  <c r="AN50" i="4"/>
  <c r="BB49" i="4"/>
  <c r="AF49" i="4"/>
  <c r="BP48" i="4"/>
  <c r="AT48" i="4"/>
  <c r="X48" i="4"/>
  <c r="BH47" i="4"/>
  <c r="AL47" i="4"/>
  <c r="BA55" i="4"/>
  <c r="AE55" i="4"/>
  <c r="AZ55" i="4"/>
  <c r="AB55" i="4"/>
  <c r="BD54" i="4"/>
  <c r="AG54" i="4"/>
  <c r="BJ53" i="4"/>
  <c r="AM53" i="4"/>
  <c r="BQ52" i="4"/>
  <c r="AT52" i="4"/>
  <c r="W52" i="4"/>
  <c r="BA51" i="4"/>
  <c r="AD51" i="4"/>
  <c r="BH50" i="4"/>
  <c r="AK50" i="4"/>
  <c r="BP49" i="4"/>
  <c r="AS49" i="4"/>
  <c r="V49" i="4"/>
  <c r="AZ48" i="4"/>
  <c r="AC48" i="4"/>
  <c r="BF47" i="4"/>
  <c r="AI47" i="4"/>
  <c r="BP46" i="4"/>
  <c r="AT46" i="4"/>
  <c r="X46" i="4"/>
  <c r="BS44" i="4"/>
  <c r="AW44" i="4"/>
  <c r="AA44" i="4"/>
  <c r="AY55" i="4"/>
  <c r="AA55" i="4"/>
  <c r="AW55" i="4"/>
  <c r="Y55" i="4"/>
  <c r="BA54" i="4"/>
  <c r="AD54" i="4"/>
  <c r="BG53" i="4"/>
  <c r="AJ53" i="4"/>
  <c r="BN52" i="4"/>
  <c r="AQ52" i="4"/>
  <c r="T52" i="4"/>
  <c r="AX51" i="4"/>
  <c r="AA51" i="4"/>
  <c r="BE50" i="4"/>
  <c r="AH50" i="4"/>
  <c r="BM49" i="4"/>
  <c r="AP49" i="4"/>
  <c r="S49" i="4"/>
  <c r="BT48" i="4"/>
  <c r="AW48" i="4"/>
  <c r="Z48" i="4"/>
  <c r="BC47" i="4"/>
  <c r="AF47" i="4"/>
  <c r="BM46" i="4"/>
  <c r="AQ46" i="4"/>
  <c r="U46" i="4"/>
  <c r="BT55" i="4"/>
  <c r="AV55" i="4"/>
  <c r="X55" i="4"/>
  <c r="AZ54" i="4"/>
  <c r="AC54" i="4"/>
  <c r="BF53" i="4"/>
  <c r="AI53" i="4"/>
  <c r="BM52" i="4"/>
  <c r="AP52" i="4"/>
  <c r="S52" i="4"/>
  <c r="BT51" i="4"/>
  <c r="AW51" i="4"/>
  <c r="Y51" i="4"/>
  <c r="BD50" i="4"/>
  <c r="AG50" i="4"/>
  <c r="BL49" i="4"/>
  <c r="AO49" i="4"/>
  <c r="BS48" i="4"/>
  <c r="AV48" i="4"/>
  <c r="Y48" i="4"/>
  <c r="BQ55" i="4"/>
  <c r="AS55" i="4"/>
  <c r="U55" i="4"/>
  <c r="BS54" i="4"/>
  <c r="AV54" i="4"/>
  <c r="Y54" i="4"/>
  <c r="BC53" i="4"/>
  <c r="AF53" i="4"/>
  <c r="BK55" i="4"/>
  <c r="AG55" i="4"/>
  <c r="BC54" i="4"/>
  <c r="X54" i="4"/>
  <c r="BE55" i="4"/>
  <c r="W55" i="4"/>
  <c r="AT54" i="4"/>
  <c r="S54" i="4"/>
  <c r="AV53" i="4"/>
  <c r="U53" i="4"/>
  <c r="BB52" i="4"/>
  <c r="AB52" i="4"/>
  <c r="BK51" i="4"/>
  <c r="AK51" i="4"/>
  <c r="BT50" i="4"/>
  <c r="AT50" i="4"/>
  <c r="T50" i="4"/>
  <c r="BD49" i="4"/>
  <c r="AC49" i="4"/>
  <c r="BL48" i="4"/>
  <c r="AL48" i="4"/>
  <c r="AZ47" i="4"/>
  <c r="AA47" i="4"/>
  <c r="BT46" i="4"/>
  <c r="AV46" i="4"/>
  <c r="W46" i="4"/>
  <c r="BB44" i="4"/>
  <c r="AE44" i="4"/>
  <c r="BD55" i="4"/>
  <c r="V55" i="4"/>
  <c r="AS54" i="4"/>
  <c r="AU53" i="4"/>
  <c r="S53" i="4"/>
  <c r="BA52" i="4"/>
  <c r="AA52" i="4"/>
  <c r="BJ51" i="4"/>
  <c r="AJ51" i="4"/>
  <c r="BS50" i="4"/>
  <c r="AS50" i="4"/>
  <c r="S50" i="4"/>
  <c r="BC49" i="4"/>
  <c r="AB49" i="4"/>
  <c r="BK48" i="4"/>
  <c r="AK48" i="4"/>
  <c r="AY47" i="4"/>
  <c r="Z47" i="4"/>
  <c r="BS46" i="4"/>
  <c r="AU46" i="4"/>
  <c r="V46" i="4"/>
  <c r="BA44" i="4"/>
  <c r="AD44" i="4"/>
  <c r="AQ55" i="4"/>
  <c r="BM54" i="4"/>
  <c r="AL54" i="4"/>
  <c r="BO53" i="4"/>
  <c r="AL53" i="4"/>
  <c r="BT52" i="4"/>
  <c r="AS52" i="4"/>
  <c r="BC51" i="4"/>
  <c r="AB51" i="4"/>
  <c r="BS55" i="4"/>
  <c r="AK55" i="4"/>
  <c r="BI54" i="4"/>
  <c r="Z54" i="4"/>
  <c r="BK53" i="4"/>
  <c r="AC53" i="4"/>
  <c r="AO52" i="4"/>
  <c r="BG51" i="4"/>
  <c r="AC51" i="4"/>
  <c r="AU50" i="4"/>
  <c r="BR49" i="4"/>
  <c r="AM49" i="4"/>
  <c r="BI48" i="4"/>
  <c r="AG48" i="4"/>
  <c r="BK47" i="4"/>
  <c r="AH47" i="4"/>
  <c r="BL46" i="4"/>
  <c r="AL46" i="4"/>
  <c r="BM44" i="4"/>
  <c r="AN44" i="4"/>
  <c r="BJ38" i="4"/>
  <c r="AN38" i="4"/>
  <c r="BB37" i="4"/>
  <c r="AF37" i="4"/>
  <c r="BP36" i="4"/>
  <c r="AT36" i="4"/>
  <c r="X36" i="4"/>
  <c r="BH35" i="4"/>
  <c r="AL35" i="4"/>
  <c r="BR55" i="4"/>
  <c r="AI55" i="4"/>
  <c r="BH54" i="4"/>
  <c r="W54" i="4"/>
  <c r="BI53" i="4"/>
  <c r="AB53" i="4"/>
  <c r="AN52" i="4"/>
  <c r="BF51" i="4"/>
  <c r="X51" i="4"/>
  <c r="AR50" i="4"/>
  <c r="BQ49" i="4"/>
  <c r="AL49" i="4"/>
  <c r="BH48" i="4"/>
  <c r="AF48" i="4"/>
  <c r="BP55" i="4"/>
  <c r="AH55" i="4"/>
  <c r="BG54" i="4"/>
  <c r="V54" i="4"/>
  <c r="BH53" i="4"/>
  <c r="AA53" i="4"/>
  <c r="BS52" i="4"/>
  <c r="AM52" i="4"/>
  <c r="BE51" i="4"/>
  <c r="W51" i="4"/>
  <c r="AQ50" i="4"/>
  <c r="BO49" i="4"/>
  <c r="AK49" i="4"/>
  <c r="BG48" i="4"/>
  <c r="AE48" i="4"/>
  <c r="BI47" i="4"/>
  <c r="AE47" i="4"/>
  <c r="BJ46" i="4"/>
  <c r="AJ46" i="4"/>
  <c r="BO55" i="4"/>
  <c r="AF55" i="4"/>
  <c r="BF54" i="4"/>
  <c r="U54" i="4"/>
  <c r="BE53" i="4"/>
  <c r="Z53" i="4"/>
  <c r="BR52" i="4"/>
  <c r="AL52" i="4"/>
  <c r="BD51" i="4"/>
  <c r="V51" i="4"/>
  <c r="BR50" i="4"/>
  <c r="AP50" i="4"/>
  <c r="BN49" i="4"/>
  <c r="AJ49" i="4"/>
  <c r="BF48" i="4"/>
  <c r="AD48" i="4"/>
  <c r="BG47" i="4"/>
  <c r="AD47" i="4"/>
  <c r="BI46" i="4"/>
  <c r="AI46" i="4"/>
  <c r="BJ44" i="4"/>
  <c r="AK44" i="4"/>
  <c r="F71" i="4"/>
  <c r="BM55" i="4"/>
  <c r="AC55" i="4"/>
  <c r="BB54" i="4"/>
  <c r="BB53" i="4"/>
  <c r="X53" i="4"/>
  <c r="BO52" i="4"/>
  <c r="AJ52" i="4"/>
  <c r="AZ51" i="4"/>
  <c r="T51" i="4"/>
  <c r="BL55" i="4"/>
  <c r="Z55" i="4"/>
  <c r="AY54" i="4"/>
  <c r="BA53" i="4"/>
  <c r="W53" i="4"/>
  <c r="BL52" i="4"/>
  <c r="AI52" i="4"/>
  <c r="AY51" i="4"/>
  <c r="S51" i="4"/>
  <c r="BO50" i="4"/>
  <c r="AL50" i="4"/>
  <c r="BI49" i="4"/>
  <c r="AG49" i="4"/>
  <c r="BC48" i="4"/>
  <c r="W48" i="4"/>
  <c r="BB47" i="4"/>
  <c r="Y47" i="4"/>
  <c r="BF46" i="4"/>
  <c r="AF46" i="4"/>
  <c r="BG44" i="4"/>
  <c r="AH44" i="4"/>
  <c r="BD38" i="4"/>
  <c r="AH38" i="4"/>
  <c r="BR37" i="4"/>
  <c r="AV37" i="4"/>
  <c r="Z37" i="4"/>
  <c r="BJ55" i="4"/>
  <c r="T55" i="4"/>
  <c r="AW54" i="4"/>
  <c r="AZ53" i="4"/>
  <c r="V53" i="4"/>
  <c r="BK52" i="4"/>
  <c r="AG52" i="4"/>
  <c r="AU51" i="4"/>
  <c r="BN50" i="4"/>
  <c r="AJ50" i="4"/>
  <c r="BH49" i="4"/>
  <c r="AE49" i="4"/>
  <c r="BB48" i="4"/>
  <c r="V48" i="4"/>
  <c r="BA47" i="4"/>
  <c r="X47" i="4"/>
  <c r="BE46" i="4"/>
  <c r="AE46" i="4"/>
  <c r="BI55" i="4"/>
  <c r="S55" i="4"/>
  <c r="AU54" i="4"/>
  <c r="AY53" i="4"/>
  <c r="BJ52" i="4"/>
  <c r="AF52" i="4"/>
  <c r="AT51" i="4"/>
  <c r="AU55" i="4"/>
  <c r="AR54" i="4"/>
  <c r="BT53" i="4"/>
  <c r="AY52" i="4"/>
  <c r="AF51" i="4"/>
  <c r="BQ50" i="4"/>
  <c r="AC50" i="4"/>
  <c r="AU49" i="4"/>
  <c r="AY48" i="4"/>
  <c r="BS47" i="4"/>
  <c r="AM47" i="4"/>
  <c r="BK46" i="4"/>
  <c r="AB46" i="4"/>
  <c r="AY44" i="4"/>
  <c r="AT55" i="4"/>
  <c r="AQ54" i="4"/>
  <c r="BS53" i="4"/>
  <c r="AX52" i="4"/>
  <c r="BS51" i="4"/>
  <c r="AE51" i="4"/>
  <c r="BP50" i="4"/>
  <c r="AB50" i="4"/>
  <c r="AT49" i="4"/>
  <c r="AX48" i="4"/>
  <c r="BR47" i="4"/>
  <c r="AK47" i="4"/>
  <c r="BH46" i="4"/>
  <c r="AA46" i="4"/>
  <c r="AX44" i="4"/>
  <c r="U44" i="4"/>
  <c r="AP55" i="4"/>
  <c r="AO54" i="4"/>
  <c r="BQ53" i="4"/>
  <c r="AV52" i="4"/>
  <c r="BP51" i="4"/>
  <c r="BL50" i="4"/>
  <c r="Z50" i="4"/>
  <c r="AQ49" i="4"/>
  <c r="AS48" i="4"/>
  <c r="BP47" i="4"/>
  <c r="AG47" i="4"/>
  <c r="BD46" i="4"/>
  <c r="AO55" i="4"/>
  <c r="AN54" i="4"/>
  <c r="BP53" i="4"/>
  <c r="AU52" i="4"/>
  <c r="BO51" i="4"/>
  <c r="BK50" i="4"/>
  <c r="Y50" i="4"/>
  <c r="AN49" i="4"/>
  <c r="AR48" i="4"/>
  <c r="BO47" i="4"/>
  <c r="AC47" i="4"/>
  <c r="BC46" i="4"/>
  <c r="T46" i="4"/>
  <c r="AT44" i="4"/>
  <c r="AN55" i="4"/>
  <c r="AM54" i="4"/>
  <c r="BN53" i="4"/>
  <c r="AR52" i="4"/>
  <c r="BN51" i="4"/>
  <c r="BI50" i="4"/>
  <c r="X50" i="4"/>
  <c r="AI49" i="4"/>
  <c r="AQ48" i="4"/>
  <c r="BN47" i="4"/>
  <c r="AB47" i="4"/>
  <c r="BB46" i="4"/>
  <c r="S46" i="4"/>
  <c r="AS44" i="4"/>
  <c r="BQ38" i="4"/>
  <c r="AS38" i="4"/>
  <c r="U38" i="4"/>
  <c r="BP37" i="4"/>
  <c r="AR37" i="4"/>
  <c r="T37" i="4"/>
  <c r="BQ36" i="4"/>
  <c r="AS36" i="4"/>
  <c r="V36" i="4"/>
  <c r="AZ35" i="4"/>
  <c r="AC35" i="4"/>
  <c r="BL34" i="4"/>
  <c r="AP34" i="4"/>
  <c r="T34" i="4"/>
  <c r="BD33" i="4"/>
  <c r="AH33" i="4"/>
  <c r="BR32" i="4"/>
  <c r="AV32" i="4"/>
  <c r="Z32" i="4"/>
  <c r="AM55" i="4"/>
  <c r="AK54" i="4"/>
  <c r="BM53" i="4"/>
  <c r="AK52" i="4"/>
  <c r="BM51" i="4"/>
  <c r="BG50" i="4"/>
  <c r="W50" i="4"/>
  <c r="AH49" i="4"/>
  <c r="AP48" i="4"/>
  <c r="BM47" i="4"/>
  <c r="W47" i="4"/>
  <c r="BA46" i="4"/>
  <c r="AR44" i="4"/>
  <c r="BP38" i="4"/>
  <c r="AR38" i="4"/>
  <c r="T38" i="4"/>
  <c r="BO37" i="4"/>
  <c r="AQ37" i="4"/>
  <c r="S37" i="4"/>
  <c r="AH54" i="4"/>
  <c r="AW53" i="4"/>
  <c r="AC52" i="4"/>
  <c r="BH51" i="4"/>
  <c r="BB50" i="4"/>
  <c r="BT49" i="4"/>
  <c r="Z49" i="4"/>
  <c r="AM48" i="4"/>
  <c r="BE47" i="4"/>
  <c r="T47" i="4"/>
  <c r="AX46" i="4"/>
  <c r="BQ44" i="4"/>
  <c r="AO44" i="4"/>
  <c r="AA54" i="4"/>
  <c r="AR53" i="4"/>
  <c r="X52" i="4"/>
  <c r="AR51" i="4"/>
  <c r="AY50" i="4"/>
  <c r="BJ49" i="4"/>
  <c r="W49" i="4"/>
  <c r="AH48" i="4"/>
  <c r="AW47" i="4"/>
  <c r="AR46" i="4"/>
  <c r="BN44" i="4"/>
  <c r="AJ44" i="4"/>
  <c r="BN55" i="4"/>
  <c r="BP54" i="4"/>
  <c r="AE52" i="4"/>
  <c r="BI51" i="4"/>
  <c r="AV50" i="4"/>
  <c r="AR49" i="4"/>
  <c r="T48" i="4"/>
  <c r="S47" i="4"/>
  <c r="AG46" i="4"/>
  <c r="BE44" i="4"/>
  <c r="BI38" i="4"/>
  <c r="AI38" i="4"/>
  <c r="BT37" i="4"/>
  <c r="AS37" i="4"/>
  <c r="BF36" i="4"/>
  <c r="AH36" i="4"/>
  <c r="BE35" i="4"/>
  <c r="AG35" i="4"/>
  <c r="BI34" i="4"/>
  <c r="AL34" i="4"/>
  <c r="BP33" i="4"/>
  <c r="AS33" i="4"/>
  <c r="V33" i="4"/>
  <c r="AZ32" i="4"/>
  <c r="AC32" i="4"/>
  <c r="BJ31" i="4"/>
  <c r="AN31" i="4"/>
  <c r="BG22" i="4"/>
  <c r="AK22" i="4"/>
  <c r="BO21" i="4"/>
  <c r="AS21" i="4"/>
  <c r="W21" i="4"/>
  <c r="BH55" i="4"/>
  <c r="BO54" i="4"/>
  <c r="AD52" i="4"/>
  <c r="BB51" i="4"/>
  <c r="AO50" i="4"/>
  <c r="AD49" i="4"/>
  <c r="S48" i="4"/>
  <c r="AD46" i="4"/>
  <c r="BD44" i="4"/>
  <c r="BG55" i="4"/>
  <c r="BN54" i="4"/>
  <c r="Z52" i="4"/>
  <c r="AS51" i="4"/>
  <c r="AM50" i="4"/>
  <c r="AA49" i="4"/>
  <c r="AC46" i="4"/>
  <c r="BC44" i="4"/>
  <c r="BC55" i="4"/>
  <c r="BL54" i="4"/>
  <c r="Y52" i="4"/>
  <c r="AQ51" i="4"/>
  <c r="AI50" i="4"/>
  <c r="Y49" i="4"/>
  <c r="Z46" i="4"/>
  <c r="AZ44" i="4"/>
  <c r="BF38" i="4"/>
  <c r="AE38" i="4"/>
  <c r="BN37" i="4"/>
  <c r="AN37" i="4"/>
  <c r="BC36" i="4"/>
  <c r="AE36" i="4"/>
  <c r="BB35" i="4"/>
  <c r="AD35" i="4"/>
  <c r="BB55" i="4"/>
  <c r="BK54" i="4"/>
  <c r="V52" i="4"/>
  <c r="AP51" i="4"/>
  <c r="AF50" i="4"/>
  <c r="X49" i="4"/>
  <c r="BT47" i="4"/>
  <c r="Y46" i="4"/>
  <c r="AV44" i="4"/>
  <c r="AX55" i="4"/>
  <c r="BJ54" i="4"/>
  <c r="U52" i="4"/>
  <c r="AO51" i="4"/>
  <c r="AE50" i="4"/>
  <c r="U49" i="4"/>
  <c r="BR48" i="4"/>
  <c r="BQ47" i="4"/>
  <c r="AU44" i="4"/>
  <c r="BC38" i="4"/>
  <c r="AC38" i="4"/>
  <c r="BL37" i="4"/>
  <c r="AL37" i="4"/>
  <c r="BA36" i="4"/>
  <c r="AC36" i="4"/>
  <c r="AY35" i="4"/>
  <c r="AA35" i="4"/>
  <c r="BD34" i="4"/>
  <c r="AG34" i="4"/>
  <c r="BK33" i="4"/>
  <c r="AN33" i="4"/>
  <c r="BQ32" i="4"/>
  <c r="AT32" i="4"/>
  <c r="W32" i="4"/>
  <c r="BE31" i="4"/>
  <c r="AI31" i="4"/>
  <c r="AR55" i="4"/>
  <c r="BE54" i="4"/>
  <c r="BR53" i="4"/>
  <c r="AN51" i="4"/>
  <c r="AD50" i="4"/>
  <c r="T49" i="4"/>
  <c r="BQ48" i="4"/>
  <c r="BL47" i="4"/>
  <c r="AQ44" i="4"/>
  <c r="BB38" i="4"/>
  <c r="AB38" i="4"/>
  <c r="BK37" i="4"/>
  <c r="AK37" i="4"/>
  <c r="AZ36" i="4"/>
  <c r="AB36" i="4"/>
  <c r="AX35" i="4"/>
  <c r="Z35" i="4"/>
  <c r="BC34" i="4"/>
  <c r="AF34" i="4"/>
  <c r="BJ33" i="4"/>
  <c r="AM33" i="4"/>
  <c r="BP32" i="4"/>
  <c r="AS32" i="4"/>
  <c r="V32" i="4"/>
  <c r="AD55" i="4"/>
  <c r="AJ54" i="4"/>
  <c r="AX53" i="4"/>
  <c r="AL51" i="4"/>
  <c r="V50" i="4"/>
  <c r="BN48" i="4"/>
  <c r="BD47" i="4"/>
  <c r="BQ46" i="4"/>
  <c r="AM44" i="4"/>
  <c r="AI54" i="4"/>
  <c r="AT53" i="4"/>
  <c r="AI51" i="4"/>
  <c r="U50" i="4"/>
  <c r="BM48" i="4"/>
  <c r="AX47" i="4"/>
  <c r="BO46" i="4"/>
  <c r="AL44" i="4"/>
  <c r="AH53" i="4"/>
  <c r="BH52" i="4"/>
  <c r="BM50" i="4"/>
  <c r="BE49" i="4"/>
  <c r="AO48" i="4"/>
  <c r="AQ47" i="4"/>
  <c r="AS46" i="4"/>
  <c r="BP44" i="4"/>
  <c r="Z44" i="4"/>
  <c r="AG53" i="4"/>
  <c r="BG52" i="4"/>
  <c r="BF50" i="4"/>
  <c r="BA49" i="4"/>
  <c r="AN48" i="4"/>
  <c r="AP47" i="4"/>
  <c r="AP46" i="4"/>
  <c r="BO44" i="4"/>
  <c r="Y44" i="4"/>
  <c r="AN21" i="4"/>
  <c r="BK21" i="4"/>
  <c r="FD42" i="4"/>
  <c r="GA42" i="4"/>
  <c r="GA30" i="4"/>
  <c r="AN22" i="4"/>
  <c r="AN40" i="4" s="1"/>
  <c r="BK22" i="4"/>
  <c r="BK41" i="4" s="1"/>
  <c r="EF22" i="4"/>
  <c r="FC22" i="4"/>
  <c r="FZ22" i="4"/>
  <c r="FZ41" i="4" s="1"/>
  <c r="Z31" i="4"/>
  <c r="AX31" i="4"/>
  <c r="ES31" i="4"/>
  <c r="FU31" i="4"/>
  <c r="AG32" i="4"/>
  <c r="BG32" i="4"/>
  <c r="EL32" i="4"/>
  <c r="FL32" i="4"/>
  <c r="W33" i="4"/>
  <c r="AW33" i="4"/>
  <c r="FB33" i="4"/>
  <c r="GB33" i="4"/>
  <c r="AN34" i="4"/>
  <c r="BO34" i="4"/>
  <c r="EQ34" i="4"/>
  <c r="FT34" i="4"/>
  <c r="AI35" i="4"/>
  <c r="BL35" i="4"/>
  <c r="EY35" i="4"/>
  <c r="GB35" i="4"/>
  <c r="AP36" i="4"/>
  <c r="BT36" i="4"/>
  <c r="EG36" i="4"/>
  <c r="FM36" i="4"/>
  <c r="AC37" i="4"/>
  <c r="BH37" i="4"/>
  <c r="FE37" i="4"/>
  <c r="W38" i="4"/>
  <c r="BA38" i="4"/>
  <c r="EX38" i="4"/>
  <c r="AW39" i="4"/>
  <c r="W44" i="4"/>
  <c r="AN47" i="4"/>
  <c r="EJ47" i="4"/>
  <c r="BE48" i="4"/>
  <c r="GA48" i="4"/>
  <c r="BC50" i="4"/>
  <c r="GB50" i="4"/>
  <c r="EF51" i="4"/>
  <c r="AN53" i="4"/>
  <c r="FS54" i="4"/>
  <c r="E25" i="3"/>
  <c r="E26" i="3" s="1"/>
  <c r="FN55" i="4"/>
  <c r="ER55" i="4"/>
  <c r="GB54" i="4"/>
  <c r="FF54" i="4"/>
  <c r="EJ54" i="4"/>
  <c r="FT53" i="4"/>
  <c r="EX53" i="4"/>
  <c r="EB53" i="4"/>
  <c r="FL52" i="4"/>
  <c r="EP52" i="4"/>
  <c r="FZ51" i="4"/>
  <c r="FD51" i="4"/>
  <c r="EH51" i="4"/>
  <c r="FR50" i="4"/>
  <c r="EV50" i="4"/>
  <c r="FJ49" i="4"/>
  <c r="EN49" i="4"/>
  <c r="FX48" i="4"/>
  <c r="FB48" i="4"/>
  <c r="EF48" i="4"/>
  <c r="FP47" i="4"/>
  <c r="ET47" i="4"/>
  <c r="FH46" i="4"/>
  <c r="EL46" i="4"/>
  <c r="FI55" i="4"/>
  <c r="EM55" i="4"/>
  <c r="FW54" i="4"/>
  <c r="FA54" i="4"/>
  <c r="FT55" i="4"/>
  <c r="EV55" i="4"/>
  <c r="FR54" i="4"/>
  <c r="ET54" i="4"/>
  <c r="FX53" i="4"/>
  <c r="FA53" i="4"/>
  <c r="ED53" i="4"/>
  <c r="FG52" i="4"/>
  <c r="EJ52" i="4"/>
  <c r="FN51" i="4"/>
  <c r="EQ51" i="4"/>
  <c r="FU50" i="4"/>
  <c r="EX50" i="4"/>
  <c r="EA50" i="4"/>
  <c r="FF49" i="4"/>
  <c r="EI49" i="4"/>
  <c r="FM48" i="4"/>
  <c r="EP48" i="4"/>
  <c r="FT47" i="4"/>
  <c r="EW47" i="4"/>
  <c r="GA46" i="4"/>
  <c r="FD46" i="4"/>
  <c r="EG46" i="4"/>
  <c r="GA44" i="4"/>
  <c r="FE44" i="4"/>
  <c r="EI44" i="4"/>
  <c r="FS55" i="4"/>
  <c r="EU55" i="4"/>
  <c r="FQ54" i="4"/>
  <c r="FQ55" i="4"/>
  <c r="ES55" i="4"/>
  <c r="FO54" i="4"/>
  <c r="EQ54" i="4"/>
  <c r="FU53" i="4"/>
  <c r="EW53" i="4"/>
  <c r="GA52" i="4"/>
  <c r="FD52" i="4"/>
  <c r="EG52" i="4"/>
  <c r="FK51" i="4"/>
  <c r="EN51" i="4"/>
  <c r="FQ50" i="4"/>
  <c r="ET50" i="4"/>
  <c r="FZ49" i="4"/>
  <c r="FC49" i="4"/>
  <c r="EF49" i="4"/>
  <c r="FJ48" i="4"/>
  <c r="EM48" i="4"/>
  <c r="FQ47" i="4"/>
  <c r="ES47" i="4"/>
  <c r="FX46" i="4"/>
  <c r="FA46" i="4"/>
  <c r="ED46" i="4"/>
  <c r="FP55" i="4"/>
  <c r="EQ55" i="4"/>
  <c r="FN54" i="4"/>
  <c r="EP54" i="4"/>
  <c r="FS53" i="4"/>
  <c r="EV53" i="4"/>
  <c r="FZ52" i="4"/>
  <c r="FC52" i="4"/>
  <c r="EF52" i="4"/>
  <c r="FJ51" i="4"/>
  <c r="EM51" i="4"/>
  <c r="FP50" i="4"/>
  <c r="ES50" i="4"/>
  <c r="FY49" i="4"/>
  <c r="FB49" i="4"/>
  <c r="EE49" i="4"/>
  <c r="FI48" i="4"/>
  <c r="EL48" i="4"/>
  <c r="FO47" i="4"/>
  <c r="FL55" i="4"/>
  <c r="EN55" i="4"/>
  <c r="FK54" i="4"/>
  <c r="EM54" i="4"/>
  <c r="FP53" i="4"/>
  <c r="ES53" i="4"/>
  <c r="FW52" i="4"/>
  <c r="FB55" i="4"/>
  <c r="FM54" i="4"/>
  <c r="EI54" i="4"/>
  <c r="FK53" i="4"/>
  <c r="EJ53" i="4"/>
  <c r="FZ55" i="4"/>
  <c r="EW55" i="4"/>
  <c r="FG54" i="4"/>
  <c r="ED54" i="4"/>
  <c r="FF53" i="4"/>
  <c r="EE53" i="4"/>
  <c r="FH52" i="4"/>
  <c r="EE52" i="4"/>
  <c r="FP51" i="4"/>
  <c r="EO51" i="4"/>
  <c r="FY50" i="4"/>
  <c r="EY50" i="4"/>
  <c r="FI49" i="4"/>
  <c r="EH49" i="4"/>
  <c r="FR48" i="4"/>
  <c r="ER48" i="4"/>
  <c r="FZ47" i="4"/>
  <c r="EZ47" i="4"/>
  <c r="EA47" i="4"/>
  <c r="FQ46" i="4"/>
  <c r="ER46" i="4"/>
  <c r="FO44" i="4"/>
  <c r="ER44" i="4"/>
  <c r="FY55" i="4"/>
  <c r="ET55" i="4"/>
  <c r="FE54" i="4"/>
  <c r="EC54" i="4"/>
  <c r="FE53" i="4"/>
  <c r="EC53" i="4"/>
  <c r="FF52" i="4"/>
  <c r="ED52" i="4"/>
  <c r="FO51" i="4"/>
  <c r="EL51" i="4"/>
  <c r="FX50" i="4"/>
  <c r="EW50" i="4"/>
  <c r="FH49" i="4"/>
  <c r="EG49" i="4"/>
  <c r="FQ48" i="4"/>
  <c r="EQ48" i="4"/>
  <c r="FY47" i="4"/>
  <c r="EY47" i="4"/>
  <c r="FP46" i="4"/>
  <c r="EQ46" i="4"/>
  <c r="FN44" i="4"/>
  <c r="EQ44" i="4"/>
  <c r="FM55" i="4"/>
  <c r="EH55" i="4"/>
  <c r="GA54" i="4"/>
  <c r="EW54" i="4"/>
  <c r="FY53" i="4"/>
  <c r="ET53" i="4"/>
  <c r="FX52" i="4"/>
  <c r="EW52" i="4"/>
  <c r="FE51" i="4"/>
  <c r="ED51" i="4"/>
  <c r="FM50" i="4"/>
  <c r="EM50" i="4"/>
  <c r="EX55" i="4"/>
  <c r="FJ54" i="4"/>
  <c r="EA54" i="4"/>
  <c r="FH53" i="4"/>
  <c r="FN52" i="4"/>
  <c r="EI52" i="4"/>
  <c r="GA51" i="4"/>
  <c r="EW51" i="4"/>
  <c r="FJ50" i="4"/>
  <c r="EG50" i="4"/>
  <c r="FA49" i="4"/>
  <c r="FZ48" i="4"/>
  <c r="EW48" i="4"/>
  <c r="FR47" i="4"/>
  <c r="EN47" i="4"/>
  <c r="FU46" i="4"/>
  <c r="ET46" i="4"/>
  <c r="FL44" i="4"/>
  <c r="EM44" i="4"/>
  <c r="FR38" i="4"/>
  <c r="EV38" i="4"/>
  <c r="FJ37" i="4"/>
  <c r="EN37" i="4"/>
  <c r="FX36" i="4"/>
  <c r="FB36" i="4"/>
  <c r="EF36" i="4"/>
  <c r="FP35" i="4"/>
  <c r="ET35" i="4"/>
  <c r="FH34" i="4"/>
  <c r="EP55" i="4"/>
  <c r="FI54" i="4"/>
  <c r="FG53" i="4"/>
  <c r="FM52" i="4"/>
  <c r="EH52" i="4"/>
  <c r="FY51" i="4"/>
  <c r="EV51" i="4"/>
  <c r="FI50" i="4"/>
  <c r="EF50" i="4"/>
  <c r="EZ49" i="4"/>
  <c r="FY48" i="4"/>
  <c r="EV48" i="4"/>
  <c r="FN47" i="4"/>
  <c r="EO55" i="4"/>
  <c r="FH54" i="4"/>
  <c r="FD53" i="4"/>
  <c r="FK52" i="4"/>
  <c r="EC52" i="4"/>
  <c r="FX51" i="4"/>
  <c r="EU51" i="4"/>
  <c r="FH50" i="4"/>
  <c r="EE50" i="4"/>
  <c r="EY49" i="4"/>
  <c r="FW48" i="4"/>
  <c r="EU48" i="4"/>
  <c r="FM47" i="4"/>
  <c r="EL47" i="4"/>
  <c r="FS46" i="4"/>
  <c r="EP46" i="4"/>
  <c r="FJ44" i="4"/>
  <c r="GB55" i="4"/>
  <c r="EL55" i="4"/>
  <c r="FD54" i="4"/>
  <c r="FC53" i="4"/>
  <c r="FJ52" i="4"/>
  <c r="EB52" i="4"/>
  <c r="FW51" i="4"/>
  <c r="ET51" i="4"/>
  <c r="FG50" i="4"/>
  <c r="ED50" i="4"/>
  <c r="GB49" i="4"/>
  <c r="EX49" i="4"/>
  <c r="FV48" i="4"/>
  <c r="ET48" i="4"/>
  <c r="FL47" i="4"/>
  <c r="EK47" i="4"/>
  <c r="FR46" i="4"/>
  <c r="EO46" i="4"/>
  <c r="FI44" i="4"/>
  <c r="EJ44" i="4"/>
  <c r="FX55" i="4"/>
  <c r="EJ55" i="4"/>
  <c r="FB54" i="4"/>
  <c r="EZ53" i="4"/>
  <c r="FE52" i="4"/>
  <c r="FU51" i="4"/>
  <c r="ER51" i="4"/>
  <c r="FE50" i="4"/>
  <c r="FW55" i="4"/>
  <c r="EI55" i="4"/>
  <c r="EZ54" i="4"/>
  <c r="EY53" i="4"/>
  <c r="FB52" i="4"/>
  <c r="FT51" i="4"/>
  <c r="EP51" i="4"/>
  <c r="FD50" i="4"/>
  <c r="FW49" i="4"/>
  <c r="EU49" i="4"/>
  <c r="FS48" i="4"/>
  <c r="EN48" i="4"/>
  <c r="FI47" i="4"/>
  <c r="EH47" i="4"/>
  <c r="FM46" i="4"/>
  <c r="EK46" i="4"/>
  <c r="FF44" i="4"/>
  <c r="EF44" i="4"/>
  <c r="FL38" i="4"/>
  <c r="EP38" i="4"/>
  <c r="FZ37" i="4"/>
  <c r="FD37" i="4"/>
  <c r="EH37" i="4"/>
  <c r="FR36" i="4"/>
  <c r="EV36" i="4"/>
  <c r="FV55" i="4"/>
  <c r="EG55" i="4"/>
  <c r="EY54" i="4"/>
  <c r="EU53" i="4"/>
  <c r="FA52" i="4"/>
  <c r="FS51" i="4"/>
  <c r="EK51" i="4"/>
  <c r="FC50" i="4"/>
  <c r="FV49" i="4"/>
  <c r="ET49" i="4"/>
  <c r="FP48" i="4"/>
  <c r="EK48" i="4"/>
  <c r="FH47" i="4"/>
  <c r="EG47" i="4"/>
  <c r="FL46" i="4"/>
  <c r="EJ46" i="4"/>
  <c r="FU55" i="4"/>
  <c r="EF55" i="4"/>
  <c r="EX54" i="4"/>
  <c r="ER53" i="4"/>
  <c r="EZ52" i="4"/>
  <c r="FR51" i="4"/>
  <c r="EJ51" i="4"/>
  <c r="FB50" i="4"/>
  <c r="FJ55" i="4"/>
  <c r="FC54" i="4"/>
  <c r="FV53" i="4"/>
  <c r="EQ52" i="4"/>
  <c r="FM51" i="4"/>
  <c r="ER50" i="4"/>
  <c r="FN49" i="4"/>
  <c r="FT48" i="4"/>
  <c r="ED48" i="4"/>
  <c r="GB47" i="4"/>
  <c r="EO47" i="4"/>
  <c r="FN46" i="4"/>
  <c r="EC46" i="4"/>
  <c r="FR44" i="4"/>
  <c r="EL44" i="4"/>
  <c r="FH55" i="4"/>
  <c r="EV54" i="4"/>
  <c r="FR53" i="4"/>
  <c r="EO52" i="4"/>
  <c r="FL51" i="4"/>
  <c r="EQ50" i="4"/>
  <c r="FM49" i="4"/>
  <c r="FO48" i="4"/>
  <c r="EC48" i="4"/>
  <c r="GA47" i="4"/>
  <c r="EM47" i="4"/>
  <c r="FK46" i="4"/>
  <c r="EB46" i="4"/>
  <c r="FQ44" i="4"/>
  <c r="EK44" i="4"/>
  <c r="FF55" i="4"/>
  <c r="ES54" i="4"/>
  <c r="FO53" i="4"/>
  <c r="EM52" i="4"/>
  <c r="FH51" i="4"/>
  <c r="EO50" i="4"/>
  <c r="FK49" i="4"/>
  <c r="FL48" i="4"/>
  <c r="EA48" i="4"/>
  <c r="FW47" i="4"/>
  <c r="EI47" i="4"/>
  <c r="FI46" i="4"/>
  <c r="FE55" i="4"/>
  <c r="ER54" i="4"/>
  <c r="FN53" i="4"/>
  <c r="GB52" i="4"/>
  <c r="EL52" i="4"/>
  <c r="FG51" i="4"/>
  <c r="EN50" i="4"/>
  <c r="FG49" i="4"/>
  <c r="FK48" i="4"/>
  <c r="FV47" i="4"/>
  <c r="EF47" i="4"/>
  <c r="FG46" i="4"/>
  <c r="FK44" i="4"/>
  <c r="EE44" i="4"/>
  <c r="FD55" i="4"/>
  <c r="EO54" i="4"/>
  <c r="FM53" i="4"/>
  <c r="FY52" i="4"/>
  <c r="EK52" i="4"/>
  <c r="FF51" i="4"/>
  <c r="EL50" i="4"/>
  <c r="FE49" i="4"/>
  <c r="FH48" i="4"/>
  <c r="FU47" i="4"/>
  <c r="EE47" i="4"/>
  <c r="FF46" i="4"/>
  <c r="FH44" i="4"/>
  <c r="ED44" i="4"/>
  <c r="FJ38" i="4"/>
  <c r="EL38" i="4"/>
  <c r="FL37" i="4"/>
  <c r="EM37" i="4"/>
  <c r="FJ36" i="4"/>
  <c r="EL36" i="4"/>
  <c r="FM35" i="4"/>
  <c r="EP35" i="4"/>
  <c r="FU34" i="4"/>
  <c r="EX34" i="4"/>
  <c r="EB34" i="4"/>
  <c r="FL33" i="4"/>
  <c r="EP33" i="4"/>
  <c r="FZ32" i="4"/>
  <c r="FD32" i="4"/>
  <c r="EH32" i="4"/>
  <c r="FR31" i="4"/>
  <c r="EV31" i="4"/>
  <c r="FC55" i="4"/>
  <c r="EN54" i="4"/>
  <c r="FL53" i="4"/>
  <c r="FV52" i="4"/>
  <c r="EA52" i="4"/>
  <c r="FC51" i="4"/>
  <c r="EK50" i="4"/>
  <c r="FD49" i="4"/>
  <c r="FG48" i="4"/>
  <c r="FS47" i="4"/>
  <c r="ED47" i="4"/>
  <c r="FE46" i="4"/>
  <c r="FG44" i="4"/>
  <c r="EC44" i="4"/>
  <c r="FI38" i="4"/>
  <c r="EK38" i="4"/>
  <c r="FK37" i="4"/>
  <c r="EL37" i="4"/>
  <c r="FI36" i="4"/>
  <c r="EK36" i="4"/>
  <c r="EZ55" i="4"/>
  <c r="EY55" i="4"/>
  <c r="EH54" i="4"/>
  <c r="FB53" i="4"/>
  <c r="FS52" i="4"/>
  <c r="EZ51" i="4"/>
  <c r="FZ50" i="4"/>
  <c r="EH50" i="4"/>
  <c r="ES49" i="4"/>
  <c r="FD48" i="4"/>
  <c r="FG47" i="4"/>
  <c r="EZ46" i="4"/>
  <c r="FB44" i="4"/>
  <c r="ED55" i="4"/>
  <c r="EE54" i="4"/>
  <c r="EO53" i="4"/>
  <c r="FP52" i="4"/>
  <c r="ES51" i="4"/>
  <c r="FT50" i="4"/>
  <c r="EP49" i="4"/>
  <c r="EZ48" i="4"/>
  <c r="FD47" i="4"/>
  <c r="EW46" i="4"/>
  <c r="EY44" i="4"/>
  <c r="FO55" i="4"/>
  <c r="EU54" i="4"/>
  <c r="FJ53" i="4"/>
  <c r="EC51" i="4"/>
  <c r="FO50" i="4"/>
  <c r="FO49" i="4"/>
  <c r="EO48" i="4"/>
  <c r="EB47" i="4"/>
  <c r="EI46" i="4"/>
  <c r="FZ44" i="4"/>
  <c r="EN44" i="4"/>
  <c r="FN38" i="4"/>
  <c r="EM38" i="4"/>
  <c r="FW37" i="4"/>
  <c r="EW37" i="4"/>
  <c r="FE36" i="4"/>
  <c r="ED36" i="4"/>
  <c r="FX35" i="4"/>
  <c r="EZ35" i="4"/>
  <c r="EB35" i="4"/>
  <c r="FX34" i="4"/>
  <c r="EZ34" i="4"/>
  <c r="EC34" i="4"/>
  <c r="FF33" i="4"/>
  <c r="EI33" i="4"/>
  <c r="FM32" i="4"/>
  <c r="EP32" i="4"/>
  <c r="FT31" i="4"/>
  <c r="EW31" i="4"/>
  <c r="FQ22" i="4"/>
  <c r="EU22" i="4"/>
  <c r="FY21" i="4"/>
  <c r="FC21" i="4"/>
  <c r="EG21" i="4"/>
  <c r="FK55" i="4"/>
  <c r="EL54" i="4"/>
  <c r="FI53" i="4"/>
  <c r="EB51" i="4"/>
  <c r="FN50" i="4"/>
  <c r="FL49" i="4"/>
  <c r="EJ48" i="4"/>
  <c r="EH46" i="4"/>
  <c r="FY44" i="4"/>
  <c r="EH44" i="4"/>
  <c r="FG55" i="4"/>
  <c r="EK54" i="4"/>
  <c r="EQ53" i="4"/>
  <c r="FU52" i="4"/>
  <c r="EA51" i="4"/>
  <c r="FL50" i="4"/>
  <c r="EW49" i="4"/>
  <c r="EI48" i="4"/>
  <c r="EF46" i="4"/>
  <c r="FX44" i="4"/>
  <c r="EG44" i="4"/>
  <c r="FA55" i="4"/>
  <c r="EG54" i="4"/>
  <c r="EP53" i="4"/>
  <c r="FT52" i="4"/>
  <c r="FK50" i="4"/>
  <c r="EV49" i="4"/>
  <c r="EH48" i="4"/>
  <c r="EE46" i="4"/>
  <c r="FW44" i="4"/>
  <c r="EB44" i="4"/>
  <c r="FH38" i="4"/>
  <c r="EH38" i="4"/>
  <c r="FT37" i="4"/>
  <c r="ET37" i="4"/>
  <c r="GB36" i="4"/>
  <c r="FA36" i="4"/>
  <c r="EA36" i="4"/>
  <c r="FU35" i="4"/>
  <c r="EW35" i="4"/>
  <c r="EK55" i="4"/>
  <c r="EF54" i="4"/>
  <c r="EN53" i="4"/>
  <c r="FR52" i="4"/>
  <c r="FF50" i="4"/>
  <c r="ER49" i="4"/>
  <c r="EG48" i="4"/>
  <c r="EA46" i="4"/>
  <c r="FV44" i="4"/>
  <c r="EA44" i="4"/>
  <c r="FG38" i="4"/>
  <c r="EE55" i="4"/>
  <c r="EB54" i="4"/>
  <c r="EM53" i="4"/>
  <c r="FQ52" i="4"/>
  <c r="FA50" i="4"/>
  <c r="EQ49" i="4"/>
  <c r="EE48" i="4"/>
  <c r="GB46" i="4"/>
  <c r="FU44" i="4"/>
  <c r="FF38" i="4"/>
  <c r="EF38" i="4"/>
  <c r="FR37" i="4"/>
  <c r="ER37" i="4"/>
  <c r="FZ36" i="4"/>
  <c r="EY36" i="4"/>
  <c r="FS35" i="4"/>
  <c r="EU35" i="4"/>
  <c r="FR34" i="4"/>
  <c r="ET34" i="4"/>
  <c r="FX33" i="4"/>
  <c r="FA33" i="4"/>
  <c r="ED33" i="4"/>
  <c r="FH32" i="4"/>
  <c r="EK32" i="4"/>
  <c r="FN31" i="4"/>
  <c r="EQ31" i="4"/>
  <c r="EC55" i="4"/>
  <c r="EL53" i="4"/>
  <c r="FO52" i="4"/>
  <c r="EZ50" i="4"/>
  <c r="EO49" i="4"/>
  <c r="EB48" i="4"/>
  <c r="FX47" i="4"/>
  <c r="FZ46" i="4"/>
  <c r="FT44" i="4"/>
  <c r="FE38" i="4"/>
  <c r="EE38" i="4"/>
  <c r="FQ37" i="4"/>
  <c r="EQ37" i="4"/>
  <c r="FY36" i="4"/>
  <c r="EX36" i="4"/>
  <c r="FR35" i="4"/>
  <c r="ES35" i="4"/>
  <c r="FQ34" i="4"/>
  <c r="ES34" i="4"/>
  <c r="FW33" i="4"/>
  <c r="EZ33" i="4"/>
  <c r="EC33" i="4"/>
  <c r="FG32" i="4"/>
  <c r="EJ32" i="4"/>
  <c r="FM31" i="4"/>
  <c r="EP31" i="4"/>
  <c r="EA55" i="4"/>
  <c r="EI53" i="4"/>
  <c r="EY52" i="4"/>
  <c r="EP50" i="4"/>
  <c r="EL49" i="4"/>
  <c r="FJ47" i="4"/>
  <c r="FW46" i="4"/>
  <c r="FP44" i="4"/>
  <c r="EH53" i="4"/>
  <c r="EX52" i="4"/>
  <c r="EJ50" i="4"/>
  <c r="EK49" i="4"/>
  <c r="FF47" i="4"/>
  <c r="FV46" i="4"/>
  <c r="FM44" i="4"/>
  <c r="GB38" i="4"/>
  <c r="FB38" i="4"/>
  <c r="FX54" i="4"/>
  <c r="EN52" i="4"/>
  <c r="FA51" i="4"/>
  <c r="FX49" i="4"/>
  <c r="FF48" i="4"/>
  <c r="EV47" i="4"/>
  <c r="EY46" i="4"/>
  <c r="EW44" i="4"/>
  <c r="FV54" i="4"/>
  <c r="EY51" i="4"/>
  <c r="FU49" i="4"/>
  <c r="FE48" i="4"/>
  <c r="EU47" i="4"/>
  <c r="EX46" i="4"/>
  <c r="EV44" i="4"/>
  <c r="AO21" i="4"/>
  <c r="BL21" i="4"/>
  <c r="EH21" i="4"/>
  <c r="FE21" i="4"/>
  <c r="GB21" i="4"/>
  <c r="AO22" i="4"/>
  <c r="BL22" i="4"/>
  <c r="EG22" i="4"/>
  <c r="FD22" i="4"/>
  <c r="GA22" i="4"/>
  <c r="AA31" i="4"/>
  <c r="AY31" i="4"/>
  <c r="ET31" i="4"/>
  <c r="FV31" i="4"/>
  <c r="AH32" i="4"/>
  <c r="BH32" i="4"/>
  <c r="EM32" i="4"/>
  <c r="FN32" i="4"/>
  <c r="X33" i="4"/>
  <c r="AX33" i="4"/>
  <c r="EA33" i="4"/>
  <c r="FC33" i="4"/>
  <c r="AO34" i="4"/>
  <c r="BP34" i="4"/>
  <c r="ER34" i="4"/>
  <c r="FV34" i="4"/>
  <c r="AJ35" i="4"/>
  <c r="BM35" i="4"/>
  <c r="FA35" i="4"/>
  <c r="AQ36" i="4"/>
  <c r="EH36" i="4"/>
  <c r="FN36" i="4"/>
  <c r="AD37" i="4"/>
  <c r="BI37" i="4"/>
  <c r="EA37" i="4"/>
  <c r="FF37" i="4"/>
  <c r="X38" i="4"/>
  <c r="BE38" i="4"/>
  <c r="EY38" i="4"/>
  <c r="AX39" i="4"/>
  <c r="AX58" i="4" s="1"/>
  <c r="AX59" i="4" s="1"/>
  <c r="X44" i="4"/>
  <c r="AO47" i="4"/>
  <c r="EP47" i="4"/>
  <c r="BJ48" i="4"/>
  <c r="GB48" i="4"/>
  <c r="EA49" i="4"/>
  <c r="EG51" i="4"/>
  <c r="AO53" i="4"/>
  <c r="FT54" i="4"/>
  <c r="GA55" i="4"/>
  <c r="S43" i="4"/>
  <c r="S29" i="4"/>
  <c r="FE43" i="4"/>
  <c r="AZ31" i="4"/>
  <c r="AI32" i="4"/>
  <c r="Y33" i="4"/>
  <c r="EB33" i="4"/>
  <c r="FD33" i="4"/>
  <c r="AQ34" i="4"/>
  <c r="BQ34" i="4"/>
  <c r="EU34" i="4"/>
  <c r="FW34" i="4"/>
  <c r="AK35" i="4"/>
  <c r="BN35" i="4"/>
  <c r="FB35" i="4"/>
  <c r="AR36" i="4"/>
  <c r="EI36" i="4"/>
  <c r="FO36" i="4"/>
  <c r="AE37" i="4"/>
  <c r="BJ37" i="4"/>
  <c r="EB37" i="4"/>
  <c r="FG37" i="4"/>
  <c r="Y38" i="4"/>
  <c r="BG38" i="4"/>
  <c r="EZ38" i="4"/>
  <c r="AY39" i="4"/>
  <c r="AB44" i="4"/>
  <c r="AH46" i="4"/>
  <c r="AR47" i="4"/>
  <c r="EQ47" i="4"/>
  <c r="BO48" i="4"/>
  <c r="EB49" i="4"/>
  <c r="EI51" i="4"/>
  <c r="AQ53" i="4"/>
  <c r="FU54" i="4"/>
  <c r="C116" i="5"/>
  <c r="C116" i="4"/>
  <c r="AP43" i="4"/>
  <c r="AP45" i="4"/>
  <c r="BM45" i="4"/>
  <c r="BM23" i="4"/>
  <c r="EH24" i="4"/>
  <c r="GB43" i="4"/>
  <c r="GB45" i="4"/>
  <c r="AB31" i="4"/>
  <c r="EU31" i="4"/>
  <c r="FW31" i="4"/>
  <c r="BI32" i="4"/>
  <c r="EN32" i="4"/>
  <c r="FO32" i="4"/>
  <c r="AY33" i="4"/>
  <c r="T21" i="4"/>
  <c r="AQ21" i="4"/>
  <c r="AP42" i="4" s="1"/>
  <c r="BN21" i="4"/>
  <c r="BM42" i="4" s="1"/>
  <c r="EJ21" i="4"/>
  <c r="EI42" i="4" s="1"/>
  <c r="FG21" i="4"/>
  <c r="FF42" i="4" s="1"/>
  <c r="T22" i="4"/>
  <c r="AQ22" i="4"/>
  <c r="AQ41" i="4" s="1"/>
  <c r="BN22" i="4"/>
  <c r="BN39" i="4" s="1"/>
  <c r="EI22" i="4"/>
  <c r="EI40" i="4" s="1"/>
  <c r="FF22" i="4"/>
  <c r="AC31" i="4"/>
  <c r="BA31" i="4"/>
  <c r="EX31" i="4"/>
  <c r="FX31" i="4"/>
  <c r="AJ32" i="4"/>
  <c r="BJ32" i="4"/>
  <c r="EO32" i="4"/>
  <c r="FP32" i="4"/>
  <c r="Z33" i="4"/>
  <c r="AZ33" i="4"/>
  <c r="EE33" i="4"/>
  <c r="FE33" i="4"/>
  <c r="AR34" i="4"/>
  <c r="BR34" i="4"/>
  <c r="EV34" i="4"/>
  <c r="FY34" i="4"/>
  <c r="AM35" i="4"/>
  <c r="BO35" i="4"/>
  <c r="FC35" i="4"/>
  <c r="AU36" i="4"/>
  <c r="EJ36" i="4"/>
  <c r="FP36" i="4"/>
  <c r="AG37" i="4"/>
  <c r="BM37" i="4"/>
  <c r="EC37" i="4"/>
  <c r="FH37" i="4"/>
  <c r="Z38" i="4"/>
  <c r="BH38" i="4"/>
  <c r="FA38" i="4"/>
  <c r="AZ39" i="4"/>
  <c r="AC44" i="4"/>
  <c r="AK46" i="4"/>
  <c r="AS47" i="4"/>
  <c r="ER47" i="4"/>
  <c r="EC49" i="4"/>
  <c r="EX51" i="4"/>
  <c r="AS53" i="4"/>
  <c r="FY54" i="4"/>
  <c r="DX24" i="5"/>
  <c r="DO24" i="5"/>
  <c r="BZ24" i="5"/>
  <c r="DM24" i="5"/>
  <c r="DG24" i="5"/>
  <c r="DV24" i="5"/>
  <c r="DT24" i="5"/>
  <c r="DR24" i="5"/>
  <c r="DF24" i="5"/>
  <c r="CK24" i="5"/>
  <c r="CI24" i="5"/>
  <c r="CH24" i="5"/>
  <c r="CG24" i="5"/>
  <c r="CY24" i="5"/>
  <c r="CV24" i="5"/>
  <c r="CS24" i="5"/>
  <c r="CR24" i="5"/>
  <c r="CQ24" i="5"/>
  <c r="Z30" i="5"/>
  <c r="FS24" i="5"/>
  <c r="AD42" i="5"/>
  <c r="AD30" i="5"/>
  <c r="CB42" i="5"/>
  <c r="CB30" i="5"/>
  <c r="FL30" i="5"/>
  <c r="FL42" i="5"/>
  <c r="AG27" i="5"/>
  <c r="AG45" i="5"/>
  <c r="AG43" i="5"/>
  <c r="AG25" i="5"/>
  <c r="AG26" i="5"/>
  <c r="AG29" i="5"/>
  <c r="AG24" i="5"/>
  <c r="AG23" i="5"/>
  <c r="AG28" i="5"/>
  <c r="BE25" i="5"/>
  <c r="BE45" i="5"/>
  <c r="BE26" i="5"/>
  <c r="BE43" i="5"/>
  <c r="BE28" i="5"/>
  <c r="BE29" i="5"/>
  <c r="BE24" i="5"/>
  <c r="BE27" i="5"/>
  <c r="BE23" i="5"/>
  <c r="CF43" i="5"/>
  <c r="CF45" i="5"/>
  <c r="CF23" i="5"/>
  <c r="CF28" i="5"/>
  <c r="CF25" i="5"/>
  <c r="CF29" i="5"/>
  <c r="CF27" i="5"/>
  <c r="CF24" i="5"/>
  <c r="DE29" i="5"/>
  <c r="DE24" i="5"/>
  <c r="DE25" i="5"/>
  <c r="EF43" i="5"/>
  <c r="EF24" i="5"/>
  <c r="EF23" i="5"/>
  <c r="EF45" i="5"/>
  <c r="EF25" i="5"/>
  <c r="EF29" i="5"/>
  <c r="EF28" i="5"/>
  <c r="BC23" i="5"/>
  <c r="BB23" i="5"/>
  <c r="BO23" i="5"/>
  <c r="AU23" i="5"/>
  <c r="AQ23" i="5"/>
  <c r="AI23" i="5"/>
  <c r="BS23" i="5"/>
  <c r="W23" i="5"/>
  <c r="BR23" i="5"/>
  <c r="U23" i="5"/>
  <c r="AW23" i="5"/>
  <c r="AS23" i="5"/>
  <c r="Z23" i="5"/>
  <c r="T23" i="5"/>
  <c r="BL23" i="5"/>
  <c r="BT23" i="5"/>
  <c r="BQ23" i="5"/>
  <c r="BN23" i="5"/>
  <c r="BM23" i="5"/>
  <c r="BK23" i="5"/>
  <c r="BJ23" i="5"/>
  <c r="AF42" i="5"/>
  <c r="AF30" i="5"/>
  <c r="BD42" i="5"/>
  <c r="BD30" i="5"/>
  <c r="CD42" i="5"/>
  <c r="CD30" i="5"/>
  <c r="FN30" i="5"/>
  <c r="FN42" i="5"/>
  <c r="BB26" i="5"/>
  <c r="Y26" i="5"/>
  <c r="AQ26" i="5"/>
  <c r="AJ26" i="5"/>
  <c r="AI26" i="5"/>
  <c r="BT26" i="5"/>
  <c r="BS26" i="5"/>
  <c r="AV26" i="5"/>
  <c r="AU26" i="5"/>
  <c r="X26" i="5"/>
  <c r="V26" i="5"/>
  <c r="U26" i="5"/>
  <c r="W26" i="5"/>
  <c r="BM26" i="5"/>
  <c r="BQ26" i="5"/>
  <c r="BO26" i="5"/>
  <c r="BN26" i="5"/>
  <c r="BL26" i="5"/>
  <c r="BC26" i="5"/>
  <c r="AX26" i="5"/>
  <c r="F40" i="5" a="1"/>
  <c r="F40" i="5" s="1"/>
  <c r="F26" i="5"/>
  <c r="FQ26" i="5" s="1"/>
  <c r="DD42" i="5"/>
  <c r="DC30" i="5"/>
  <c r="DD30" i="5"/>
  <c r="FP42" i="5"/>
  <c r="FP30" i="5"/>
  <c r="AK45" i="5"/>
  <c r="AK29" i="5"/>
  <c r="AK24" i="5"/>
  <c r="AK26" i="5"/>
  <c r="AK43" i="5"/>
  <c r="AK27" i="5"/>
  <c r="AK28" i="5"/>
  <c r="BI45" i="5"/>
  <c r="BI23" i="5"/>
  <c r="BI26" i="5"/>
  <c r="BI25" i="5"/>
  <c r="BI27" i="5"/>
  <c r="BI28" i="5"/>
  <c r="BI41" i="5"/>
  <c r="DI28" i="5"/>
  <c r="DI26" i="5"/>
  <c r="EM45" i="5"/>
  <c r="EM28" i="5"/>
  <c r="EM29" i="5"/>
  <c r="EM23" i="5"/>
  <c r="EM25" i="5"/>
  <c r="EM24" i="5"/>
  <c r="AC42" i="5"/>
  <c r="AC30" i="5"/>
  <c r="BA42" i="5"/>
  <c r="CA42" i="5"/>
  <c r="DU30" i="5"/>
  <c r="DU42" i="5"/>
  <c r="FI42" i="5"/>
  <c r="FI30" i="5"/>
  <c r="AF45" i="5"/>
  <c r="AF43" i="5"/>
  <c r="AF25" i="5"/>
  <c r="AF28" i="5"/>
  <c r="AF26" i="5"/>
  <c r="AF40" i="5"/>
  <c r="AF27" i="5"/>
  <c r="AF23" i="5"/>
  <c r="AF29" i="5"/>
  <c r="BD45" i="5"/>
  <c r="BD43" i="5"/>
  <c r="BD25" i="5"/>
  <c r="BD23" i="5"/>
  <c r="BD40" i="5"/>
  <c r="BD28" i="5"/>
  <c r="BD24" i="5"/>
  <c r="CE43" i="5"/>
  <c r="CE39" i="5"/>
  <c r="CE23" i="5"/>
  <c r="CE45" i="5"/>
  <c r="CE27" i="5"/>
  <c r="CE28" i="5"/>
  <c r="DD45" i="5"/>
  <c r="DD43" i="5"/>
  <c r="DD27" i="5"/>
  <c r="DD23" i="5"/>
  <c r="DD29" i="5"/>
  <c r="DD28" i="5"/>
  <c r="DD24" i="5"/>
  <c r="DD25" i="5"/>
  <c r="EE43" i="5"/>
  <c r="EE45" i="5"/>
  <c r="EE25" i="5"/>
  <c r="EE29" i="5"/>
  <c r="EE24" i="5"/>
  <c r="AF24" i="5"/>
  <c r="EE23" i="5"/>
  <c r="BD26" i="5"/>
  <c r="T41" i="5"/>
  <c r="BF41" i="5"/>
  <c r="CA30" i="5"/>
  <c r="AP41" i="5"/>
  <c r="BD27" i="5"/>
  <c r="Z26" i="5"/>
  <c r="CZ24" i="5"/>
  <c r="FQ24" i="5"/>
  <c r="AB42" i="5"/>
  <c r="AB30" i="5"/>
  <c r="AZ42" i="5"/>
  <c r="BZ30" i="5"/>
  <c r="BZ42" i="5"/>
  <c r="CW30" i="5"/>
  <c r="CW42" i="5"/>
  <c r="DT42" i="5"/>
  <c r="FH42" i="5"/>
  <c r="FH30" i="5"/>
  <c r="AC43" i="5"/>
  <c r="AC23" i="5"/>
  <c r="AC28" i="5"/>
  <c r="AC45" i="5"/>
  <c r="AC27" i="5"/>
  <c r="AC26" i="5"/>
  <c r="AC29" i="5"/>
  <c r="DC45" i="5"/>
  <c r="DC43" i="5"/>
  <c r="DC23" i="5"/>
  <c r="DC24" i="5"/>
  <c r="DC27" i="5"/>
  <c r="DC28" i="5"/>
  <c r="DC29" i="5"/>
  <c r="DC25" i="5"/>
  <c r="ED24" i="5"/>
  <c r="ED45" i="5"/>
  <c r="ED43" i="5"/>
  <c r="ED27" i="5"/>
  <c r="ED23" i="5"/>
  <c r="ED25" i="5"/>
  <c r="GB45" i="5"/>
  <c r="GB29" i="5"/>
  <c r="GB24" i="5"/>
  <c r="GB43" i="5"/>
  <c r="GB23" i="5"/>
  <c r="AE42" i="5"/>
  <c r="AE30" i="5"/>
  <c r="CC30" i="5"/>
  <c r="CC42" i="5"/>
  <c r="CZ42" i="5"/>
  <c r="CZ30" i="5"/>
  <c r="FM42" i="5"/>
  <c r="FM30" i="5"/>
  <c r="AH45" i="5"/>
  <c r="AH25" i="5"/>
  <c r="AH29" i="5"/>
  <c r="AH41" i="5"/>
  <c r="AH26" i="5"/>
  <c r="AH43" i="5"/>
  <c r="AH23" i="5"/>
  <c r="AH27" i="5"/>
  <c r="AH28" i="5"/>
  <c r="EH45" i="5"/>
  <c r="EH43" i="5"/>
  <c r="EH24" i="5"/>
  <c r="EH25" i="5"/>
  <c r="EH23" i="5"/>
  <c r="EH28" i="5"/>
  <c r="EK43" i="5"/>
  <c r="EK45" i="5"/>
  <c r="EK29" i="5"/>
  <c r="EK27" i="5"/>
  <c r="EK23" i="5"/>
  <c r="EK28" i="5"/>
  <c r="EK41" i="5"/>
  <c r="DX29" i="5"/>
  <c r="CV29" i="5"/>
  <c r="BW29" i="5"/>
  <c r="CN29" i="5"/>
  <c r="CM29" i="5"/>
  <c r="CH29" i="5"/>
  <c r="CG29" i="5"/>
  <c r="D40" i="5" a="1"/>
  <c r="D40" i="5" s="1"/>
  <c r="EC42" i="5"/>
  <c r="FO42" i="5"/>
  <c r="FO30" i="5"/>
  <c r="D26" i="5"/>
  <c r="DE26" i="5" s="1"/>
  <c r="CY26" i="5"/>
  <c r="BB27" i="5"/>
  <c r="AW27" i="5"/>
  <c r="BM27" i="5"/>
  <c r="BH27" i="5"/>
  <c r="BF27" i="5"/>
  <c r="AJ27" i="5"/>
  <c r="DJ27" i="5"/>
  <c r="BZ29" i="5"/>
  <c r="AL43" i="5"/>
  <c r="AL45" i="5"/>
  <c r="AL23" i="5"/>
  <c r="AL26" i="5"/>
  <c r="AL29" i="5"/>
  <c r="AL25" i="5"/>
  <c r="AL27" i="5"/>
  <c r="AL28" i="5"/>
  <c r="BJ43" i="5"/>
  <c r="BJ45" i="5"/>
  <c r="BJ26" i="5"/>
  <c r="BJ29" i="5"/>
  <c r="BJ27" i="5"/>
  <c r="BJ25" i="5"/>
  <c r="BJ28" i="5"/>
  <c r="BJ41" i="5"/>
  <c r="BJ24" i="5"/>
  <c r="CK43" i="5"/>
  <c r="CK28" i="5"/>
  <c r="CK29" i="5"/>
  <c r="CK45" i="5"/>
  <c r="CK23" i="5"/>
  <c r="CK39" i="5"/>
  <c r="CK27" i="5"/>
  <c r="DJ24" i="5"/>
  <c r="DJ23" i="5"/>
  <c r="DJ45" i="5"/>
  <c r="DJ43" i="5"/>
  <c r="DJ39" i="5"/>
  <c r="EW43" i="5"/>
  <c r="EW23" i="5"/>
  <c r="EW29" i="5"/>
  <c r="EW24" i="5"/>
  <c r="EW28" i="5"/>
  <c r="EW45" i="5"/>
  <c r="EW39" i="5"/>
  <c r="EW25" i="5"/>
  <c r="D41" i="5" a="1"/>
  <c r="D41" i="5" s="1"/>
  <c r="CY27" i="5"/>
  <c r="CM27" i="5"/>
  <c r="CI27" i="5"/>
  <c r="CH27" i="5"/>
  <c r="CG27" i="5"/>
  <c r="DX27" i="5"/>
  <c r="BW27" i="5"/>
  <c r="AJ30" i="5"/>
  <c r="AJ42" i="5"/>
  <c r="CI42" i="5"/>
  <c r="CI30" i="5"/>
  <c r="DF42" i="5"/>
  <c r="DF30" i="5"/>
  <c r="DE30" i="5"/>
  <c r="EI42" i="5"/>
  <c r="FV42" i="5"/>
  <c r="AM45" i="5"/>
  <c r="AM23" i="5"/>
  <c r="AM26" i="5"/>
  <c r="AM29" i="5"/>
  <c r="AM28" i="5"/>
  <c r="AM43" i="5"/>
  <c r="AM25" i="5"/>
  <c r="BK45" i="5"/>
  <c r="BK26" i="5"/>
  <c r="BK43" i="5"/>
  <c r="BK28" i="5"/>
  <c r="BK27" i="5"/>
  <c r="BK29" i="5"/>
  <c r="BK24" i="5"/>
  <c r="CL45" i="5"/>
  <c r="CL43" i="5"/>
  <c r="CL28" i="5"/>
  <c r="CL29" i="5"/>
  <c r="CL39" i="5"/>
  <c r="CL25" i="5"/>
  <c r="CL23" i="5"/>
  <c r="DK45" i="5"/>
  <c r="DK24" i="5"/>
  <c r="DK27" i="5"/>
  <c r="DK43" i="5"/>
  <c r="DK39" i="5"/>
  <c r="DK29" i="5"/>
  <c r="FA43" i="5"/>
  <c r="FA45" i="5"/>
  <c r="FA29" i="5"/>
  <c r="FA28" i="5"/>
  <c r="FA25" i="5"/>
  <c r="FA24" i="5"/>
  <c r="DJ25" i="5"/>
  <c r="CY29" i="5"/>
  <c r="EJ30" i="5"/>
  <c r="AN23" i="5"/>
  <c r="BL24" i="5"/>
  <c r="FB45" i="5"/>
  <c r="FB24" i="5"/>
  <c r="FB43" i="5"/>
  <c r="FB29" i="5"/>
  <c r="FB25" i="5"/>
  <c r="FC24" i="5"/>
  <c r="FC23" i="5"/>
  <c r="FC27" i="5"/>
  <c r="FC25" i="5"/>
  <c r="FC29" i="5"/>
  <c r="FC28" i="5"/>
  <c r="DU27" i="5"/>
  <c r="AN27" i="5"/>
  <c r="DV27" i="5"/>
  <c r="DJ29" i="5"/>
  <c r="AE39" i="5"/>
  <c r="BC39" i="5"/>
  <c r="AF39" i="5"/>
  <c r="BB39" i="5"/>
  <c r="AC39" i="5"/>
  <c r="AB39" i="5"/>
  <c r="BE39" i="5"/>
  <c r="BD39" i="5"/>
  <c r="X39" i="5"/>
  <c r="AW39" i="5"/>
  <c r="V39" i="5"/>
  <c r="AV39" i="5"/>
  <c r="U39" i="5"/>
  <c r="AU39" i="5"/>
  <c r="BR39" i="5"/>
  <c r="AQ39" i="5"/>
  <c r="AP39" i="5"/>
  <c r="AO39" i="5"/>
  <c r="AN39" i="5"/>
  <c r="AM39" i="5"/>
  <c r="BT39" i="5"/>
  <c r="AL39" i="5"/>
  <c r="BO39" i="5"/>
  <c r="AH39" i="5"/>
  <c r="BH39" i="5"/>
  <c r="Z39" i="5"/>
  <c r="W39" i="5"/>
  <c r="BS39" i="5"/>
  <c r="BQ39" i="5"/>
  <c r="BN39" i="5"/>
  <c r="BM39" i="5"/>
  <c r="BL39" i="5"/>
  <c r="BK39" i="5"/>
  <c r="AS39" i="5"/>
  <c r="BJ39" i="5"/>
  <c r="AK39" i="5"/>
  <c r="AJ39" i="5"/>
  <c r="BG39" i="5"/>
  <c r="BF39" i="5"/>
  <c r="AX39" i="5"/>
  <c r="AT39" i="5"/>
  <c r="AI39" i="5"/>
  <c r="AG39" i="5"/>
  <c r="AO27" i="5"/>
  <c r="DN29" i="5"/>
  <c r="FF45" i="5"/>
  <c r="FF24" i="5"/>
  <c r="FF27" i="5"/>
  <c r="FF23" i="5"/>
  <c r="FF28" i="5"/>
  <c r="AQ27" i="5"/>
  <c r="DU29" i="5"/>
  <c r="BM42" i="5"/>
  <c r="BM30" i="5"/>
  <c r="GB42" i="5"/>
  <c r="GB30" i="5"/>
  <c r="AP28" i="5"/>
  <c r="AP43" i="5"/>
  <c r="AP27" i="5"/>
  <c r="AP24" i="5"/>
  <c r="AP26" i="5"/>
  <c r="AP23" i="5"/>
  <c r="BN45" i="5"/>
  <c r="BN43" i="5"/>
  <c r="BN29" i="5"/>
  <c r="BN25" i="5"/>
  <c r="BN28" i="5"/>
  <c r="CO45" i="5"/>
  <c r="CO29" i="5"/>
  <c r="CO24" i="5"/>
  <c r="CO27" i="5"/>
  <c r="CO28" i="5"/>
  <c r="CO25" i="5"/>
  <c r="CO39" i="5"/>
  <c r="CO43" i="5"/>
  <c r="DN43" i="5"/>
  <c r="DN45" i="5"/>
  <c r="DN27" i="5"/>
  <c r="DN39" i="5"/>
  <c r="DN28" i="5"/>
  <c r="DN24" i="5"/>
  <c r="FD45" i="5"/>
  <c r="FD24" i="5"/>
  <c r="FD23" i="5"/>
  <c r="FD28" i="5"/>
  <c r="FD43" i="5"/>
  <c r="AN42" i="5"/>
  <c r="EQ42" i="5"/>
  <c r="EQ30" i="5"/>
  <c r="FE43" i="5"/>
  <c r="FE24" i="5"/>
  <c r="FE23" i="5"/>
  <c r="FE39" i="5"/>
  <c r="AA28" i="5"/>
  <c r="EX30" i="5"/>
  <c r="AO42" i="5"/>
  <c r="T30" i="5"/>
  <c r="T42" i="5"/>
  <c r="S30" i="5"/>
  <c r="U45" i="5"/>
  <c r="U29" i="5"/>
  <c r="U25" i="5"/>
  <c r="U41" i="5"/>
  <c r="AS45" i="5"/>
  <c r="AS29" i="5"/>
  <c r="AS28" i="5"/>
  <c r="AS27" i="5"/>
  <c r="AS43" i="5"/>
  <c r="AS25" i="5"/>
  <c r="AS40" i="5"/>
  <c r="AS24" i="5"/>
  <c r="BQ45" i="5"/>
  <c r="BQ29" i="5"/>
  <c r="BQ28" i="5"/>
  <c r="BQ27" i="5"/>
  <c r="BQ24" i="5"/>
  <c r="BQ43" i="5"/>
  <c r="CR43" i="5"/>
  <c r="CR28" i="5"/>
  <c r="CR29" i="5"/>
  <c r="CR45" i="5"/>
  <c r="CR39" i="5"/>
  <c r="CR25" i="5"/>
  <c r="DT25" i="5"/>
  <c r="DT43" i="5"/>
  <c r="DT29" i="5"/>
  <c r="FH45" i="5"/>
  <c r="FH29" i="5"/>
  <c r="FH24" i="5"/>
  <c r="FH43" i="5"/>
  <c r="V45" i="5"/>
  <c r="V29" i="5"/>
  <c r="V28" i="5"/>
  <c r="V27" i="5"/>
  <c r="V24" i="5"/>
  <c r="V23" i="5"/>
  <c r="V25" i="5"/>
  <c r="V43" i="5"/>
  <c r="AT45" i="5"/>
  <c r="AT43" i="5"/>
  <c r="AT29" i="5"/>
  <c r="AT28" i="5"/>
  <c r="AT27" i="5"/>
  <c r="AT24" i="5"/>
  <c r="AT25" i="5"/>
  <c r="AT23" i="5"/>
  <c r="BR45" i="5"/>
  <c r="BR28" i="5"/>
  <c r="BR27" i="5"/>
  <c r="BR24" i="5"/>
  <c r="BR29" i="5"/>
  <c r="BR43" i="5"/>
  <c r="BR25" i="5"/>
  <c r="BR26" i="5"/>
  <c r="CS45" i="5"/>
  <c r="CS29" i="5"/>
  <c r="CS25" i="5"/>
  <c r="CS27" i="5"/>
  <c r="DU45" i="5"/>
  <c r="DU43" i="5"/>
  <c r="DU24" i="5"/>
  <c r="DU23" i="5"/>
  <c r="FI45" i="5"/>
  <c r="FI43" i="5"/>
  <c r="FI23" i="5"/>
  <c r="FE28" i="5"/>
  <c r="V30" i="5"/>
  <c r="V42" i="5"/>
  <c r="BR30" i="5"/>
  <c r="BR42" i="5"/>
  <c r="BQ42" i="5"/>
  <c r="CQ42" i="5"/>
  <c r="CQ30" i="5"/>
  <c r="DN42" i="5"/>
  <c r="DN30" i="5"/>
  <c r="FN43" i="5"/>
  <c r="FN28" i="5"/>
  <c r="FN29" i="5"/>
  <c r="FN23" i="5"/>
  <c r="FN25" i="5"/>
  <c r="FN45" i="5"/>
  <c r="FD29" i="5"/>
  <c r="EZ42" i="5"/>
  <c r="EZ30" i="5"/>
  <c r="X23" i="5"/>
  <c r="AV23" i="5"/>
  <c r="BT24" i="5"/>
  <c r="DW29" i="5"/>
  <c r="FO43" i="5"/>
  <c r="FO29" i="5"/>
  <c r="FO45" i="5"/>
  <c r="FO27" i="5"/>
  <c r="FO24" i="5"/>
  <c r="FO23" i="5"/>
  <c r="FO25" i="5"/>
  <c r="CO23" i="5"/>
  <c r="BN24" i="5"/>
  <c r="AS26" i="5"/>
  <c r="FE29" i="5"/>
  <c r="FA42" i="5"/>
  <c r="FA30" i="5"/>
  <c r="BW24" i="5"/>
  <c r="FP43" i="5"/>
  <c r="FP23" i="5"/>
  <c r="FP28" i="5"/>
  <c r="FP25" i="5"/>
  <c r="FP45" i="5"/>
  <c r="AT26" i="5"/>
  <c r="FH28" i="5"/>
  <c r="AP29" i="5"/>
  <c r="Y42" i="5"/>
  <c r="Y30" i="5"/>
  <c r="AW42" i="5"/>
  <c r="AW30" i="5"/>
  <c r="CT30" i="5"/>
  <c r="CS42" i="5"/>
  <c r="DQ42" i="5"/>
  <c r="DQ30" i="5"/>
  <c r="FB42" i="5"/>
  <c r="Z45" i="5"/>
  <c r="Z43" i="5"/>
  <c r="Z24" i="5"/>
  <c r="Z27" i="5"/>
  <c r="Z28" i="5"/>
  <c r="Z29" i="5"/>
  <c r="Z40" i="5"/>
  <c r="AX45" i="5"/>
  <c r="AX29" i="5"/>
  <c r="AX43" i="5"/>
  <c r="AX23" i="5"/>
  <c r="CZ45" i="5"/>
  <c r="CZ23" i="5"/>
  <c r="CZ27" i="5"/>
  <c r="CZ25" i="5"/>
  <c r="CZ28" i="5"/>
  <c r="CZ29" i="5"/>
  <c r="FQ45" i="5"/>
  <c r="FQ43" i="5"/>
  <c r="FQ23" i="5"/>
  <c r="FQ25" i="5"/>
  <c r="DH30" i="5"/>
  <c r="Z42" i="5"/>
  <c r="CU30" i="5"/>
  <c r="CU42" i="5"/>
  <c r="DR42" i="5"/>
  <c r="DR30" i="5"/>
  <c r="FD42" i="5"/>
  <c r="FD30" i="5"/>
  <c r="AA43" i="5"/>
  <c r="AA24" i="5"/>
  <c r="AA56" i="5" s="1"/>
  <c r="AA27" i="5"/>
  <c r="AA45" i="5"/>
  <c r="AA26" i="5"/>
  <c r="AA25" i="5"/>
  <c r="AA29" i="5"/>
  <c r="CB43" i="5"/>
  <c r="CB25" i="5"/>
  <c r="CB24" i="5"/>
  <c r="CB29" i="5"/>
  <c r="CB23" i="5"/>
  <c r="CB45" i="5"/>
  <c r="DA43" i="5"/>
  <c r="DA45" i="5"/>
  <c r="DA23" i="5"/>
  <c r="DA24" i="5"/>
  <c r="DA27" i="5"/>
  <c r="DA25" i="5"/>
  <c r="DA28" i="5"/>
  <c r="DA29" i="5"/>
  <c r="EB28" i="5"/>
  <c r="EB45" i="5"/>
  <c r="EB24" i="5"/>
  <c r="EB23" i="5"/>
  <c r="EB43" i="5"/>
  <c r="EB25" i="5"/>
  <c r="FS43" i="5"/>
  <c r="FS45" i="5"/>
  <c r="FS23" i="5"/>
  <c r="FS28" i="5"/>
  <c r="FS25" i="5"/>
  <c r="FE25" i="5"/>
  <c r="FE27" i="5"/>
  <c r="DI30" i="5"/>
  <c r="FE45" i="5"/>
  <c r="FE33" i="5"/>
  <c r="FL34" i="5"/>
  <c r="EV36" i="5"/>
  <c r="FX47" i="5"/>
  <c r="FC54" i="5"/>
  <c r="FF33" i="5"/>
  <c r="FM34" i="5"/>
  <c r="EX36" i="5"/>
  <c r="ES38" i="5"/>
  <c r="EL41" i="5"/>
  <c r="FD54" i="5"/>
  <c r="ET35" i="5"/>
  <c r="FR36" i="5"/>
  <c r="EZ37" i="5"/>
  <c r="FP38" i="5"/>
  <c r="FP55" i="5"/>
  <c r="ET55" i="5"/>
  <c r="FH54" i="5"/>
  <c r="EL54" i="5"/>
  <c r="FV53" i="5"/>
  <c r="EZ53" i="5"/>
  <c r="ED53" i="5"/>
  <c r="FN52" i="5"/>
  <c r="ER52" i="5"/>
  <c r="GB51" i="5"/>
  <c r="FF51" i="5"/>
  <c r="EJ51" i="5"/>
  <c r="FN55" i="5"/>
  <c r="ER55" i="5"/>
  <c r="GB54" i="5"/>
  <c r="FF54" i="5"/>
  <c r="EJ54" i="5"/>
  <c r="FT53" i="5"/>
  <c r="EX53" i="5"/>
  <c r="EB53" i="5"/>
  <c r="FL52" i="5"/>
  <c r="EP52" i="5"/>
  <c r="FM55" i="5"/>
  <c r="EQ55" i="5"/>
  <c r="GA54" i="5"/>
  <c r="FE54" i="5"/>
  <c r="EI54" i="5"/>
  <c r="FS53" i="5"/>
  <c r="EW53" i="5"/>
  <c r="EA53" i="5"/>
  <c r="FK52" i="5"/>
  <c r="EO52" i="5"/>
  <c r="FY51" i="5"/>
  <c r="FC51" i="5"/>
  <c r="FE55" i="5"/>
  <c r="EF55" i="5"/>
  <c r="FU54" i="5"/>
  <c r="EV54" i="5"/>
  <c r="FK53" i="5"/>
  <c r="EL53" i="5"/>
  <c r="FZ52" i="5"/>
  <c r="FA52" i="5"/>
  <c r="EB52" i="5"/>
  <c r="FT51" i="5"/>
  <c r="EV51" i="5"/>
  <c r="FI50" i="5"/>
  <c r="EM50" i="5"/>
  <c r="FD55" i="5"/>
  <c r="EE55" i="5"/>
  <c r="FT54" i="5"/>
  <c r="EU54" i="5"/>
  <c r="GB55" i="5"/>
  <c r="FC55" i="5"/>
  <c r="ED55" i="5"/>
  <c r="FS54" i="5"/>
  <c r="ET54" i="5"/>
  <c r="FI53" i="5"/>
  <c r="EJ53" i="5"/>
  <c r="FX52" i="5"/>
  <c r="EY52" i="5"/>
  <c r="FZ55" i="5"/>
  <c r="FA55" i="5"/>
  <c r="EB55" i="5"/>
  <c r="FQ54" i="5"/>
  <c r="ER54" i="5"/>
  <c r="FG53" i="5"/>
  <c r="EH53" i="5"/>
  <c r="FY55" i="5"/>
  <c r="EZ55" i="5"/>
  <c r="EA55" i="5"/>
  <c r="FP54" i="5"/>
  <c r="EQ54" i="5"/>
  <c r="FF53" i="5"/>
  <c r="EG53" i="5"/>
  <c r="FU52" i="5"/>
  <c r="EV52" i="5"/>
  <c r="FQ55" i="5"/>
  <c r="EJ55" i="5"/>
  <c r="FV54" i="5"/>
  <c r="EM54" i="5"/>
  <c r="EY53" i="5"/>
  <c r="FR52" i="5"/>
  <c r="EM52" i="5"/>
  <c r="FX51" i="5"/>
  <c r="EY51" i="5"/>
  <c r="EA51" i="5"/>
  <c r="GB50" i="5"/>
  <c r="FE50" i="5"/>
  <c r="EH50" i="5"/>
  <c r="FN49" i="5"/>
  <c r="ER49" i="5"/>
  <c r="GB48" i="5"/>
  <c r="FF48" i="5"/>
  <c r="EJ48" i="5"/>
  <c r="FT47" i="5"/>
  <c r="EX47" i="5"/>
  <c r="EB47" i="5"/>
  <c r="FL46" i="5"/>
  <c r="EP46" i="5"/>
  <c r="FO44" i="5"/>
  <c r="ES44" i="5"/>
  <c r="FO55" i="5"/>
  <c r="EI55" i="5"/>
  <c r="FR54" i="5"/>
  <c r="EK54" i="5"/>
  <c r="GB53" i="5"/>
  <c r="EV53" i="5"/>
  <c r="FQ52" i="5"/>
  <c r="EL52" i="5"/>
  <c r="FW51" i="5"/>
  <c r="EX51" i="5"/>
  <c r="GA50" i="5"/>
  <c r="FD50" i="5"/>
  <c r="EG50" i="5"/>
  <c r="FM49" i="5"/>
  <c r="EQ49" i="5"/>
  <c r="GA48" i="5"/>
  <c r="FE48" i="5"/>
  <c r="FL55" i="5"/>
  <c r="EH55" i="5"/>
  <c r="FO54" i="5"/>
  <c r="EH54" i="5"/>
  <c r="GA53" i="5"/>
  <c r="EU53" i="5"/>
  <c r="FK55" i="5"/>
  <c r="EG55" i="5"/>
  <c r="FN54" i="5"/>
  <c r="EG54" i="5"/>
  <c r="FZ53" i="5"/>
  <c r="ET53" i="5"/>
  <c r="FJ55" i="5"/>
  <c r="EC55" i="5"/>
  <c r="FM54" i="5"/>
  <c r="EF54" i="5"/>
  <c r="FY53" i="5"/>
  <c r="ES53" i="5"/>
  <c r="FM52" i="5"/>
  <c r="EI52" i="5"/>
  <c r="FS51" i="5"/>
  <c r="ET51" i="5"/>
  <c r="FX50" i="5"/>
  <c r="FA50" i="5"/>
  <c r="ED50" i="5"/>
  <c r="FJ49" i="5"/>
  <c r="EN49" i="5"/>
  <c r="FI55" i="5"/>
  <c r="FL54" i="5"/>
  <c r="EE54" i="5"/>
  <c r="FX53" i="5"/>
  <c r="ER53" i="5"/>
  <c r="FJ52" i="5"/>
  <c r="EH52" i="5"/>
  <c r="FR51" i="5"/>
  <c r="ES51" i="5"/>
  <c r="FW50" i="5"/>
  <c r="EZ50" i="5"/>
  <c r="EC50" i="5"/>
  <c r="FI49" i="5"/>
  <c r="EM49" i="5"/>
  <c r="FW48" i="5"/>
  <c r="FA48" i="5"/>
  <c r="EE48" i="5"/>
  <c r="FO47" i="5"/>
  <c r="EW55" i="5"/>
  <c r="EP54" i="5"/>
  <c r="EN53" i="5"/>
  <c r="EX52" i="5"/>
  <c r="FE51" i="5"/>
  <c r="EB51" i="5"/>
  <c r="FC50" i="5"/>
  <c r="FF49" i="5"/>
  <c r="EF49" i="5"/>
  <c r="FT48" i="5"/>
  <c r="EU48" i="5"/>
  <c r="FR47" i="5"/>
  <c r="ET47" i="5"/>
  <c r="FX46" i="5"/>
  <c r="FA46" i="5"/>
  <c r="ED46" i="5"/>
  <c r="FK44" i="5"/>
  <c r="EN44" i="5"/>
  <c r="EV55" i="5"/>
  <c r="EO54" i="5"/>
  <c r="EM53" i="5"/>
  <c r="EW52" i="5"/>
  <c r="FD51" i="5"/>
  <c r="FB50" i="5"/>
  <c r="FE49" i="5"/>
  <c r="EE49" i="5"/>
  <c r="FS48" i="5"/>
  <c r="ET48" i="5"/>
  <c r="FQ47" i="5"/>
  <c r="ES47" i="5"/>
  <c r="FW46" i="5"/>
  <c r="EZ46" i="5"/>
  <c r="EC46" i="5"/>
  <c r="FJ44" i="5"/>
  <c r="EM44" i="5"/>
  <c r="EU55" i="5"/>
  <c r="EN54" i="5"/>
  <c r="EK53" i="5"/>
  <c r="EU52" i="5"/>
  <c r="FB51" i="5"/>
  <c r="EY50" i="5"/>
  <c r="FD49" i="5"/>
  <c r="ED49" i="5"/>
  <c r="FR48" i="5"/>
  <c r="ES55" i="5"/>
  <c r="ED54" i="5"/>
  <c r="FW53" i="5"/>
  <c r="EI53" i="5"/>
  <c r="ET52" i="5"/>
  <c r="FA51" i="5"/>
  <c r="EX50" i="5"/>
  <c r="FC49" i="5"/>
  <c r="EC49" i="5"/>
  <c r="EP55" i="5"/>
  <c r="EC54" i="5"/>
  <c r="FU53" i="5"/>
  <c r="EF53" i="5"/>
  <c r="GB52" i="5"/>
  <c r="GA55" i="5"/>
  <c r="EL55" i="5"/>
  <c r="FW54" i="5"/>
  <c r="FO53" i="5"/>
  <c r="FV52" i="5"/>
  <c r="EJ52" i="5"/>
  <c r="FZ51" i="5"/>
  <c r="EQ51" i="5"/>
  <c r="FG55" i="5"/>
  <c r="FB54" i="5"/>
  <c r="FE53" i="5"/>
  <c r="FO52" i="5"/>
  <c r="FN51" i="5"/>
  <c r="EE51" i="5"/>
  <c r="FN50" i="5"/>
  <c r="EF50" i="5"/>
  <c r="FV49" i="5"/>
  <c r="EP49" i="5"/>
  <c r="FG48" i="5"/>
  <c r="ED48" i="5"/>
  <c r="FL47" i="5"/>
  <c r="EM47" i="5"/>
  <c r="FD46" i="5"/>
  <c r="EE46" i="5"/>
  <c r="FH44" i="5"/>
  <c r="EI44" i="5"/>
  <c r="FG38" i="5"/>
  <c r="EK38" i="5"/>
  <c r="FU37" i="5"/>
  <c r="EY37" i="5"/>
  <c r="EC37" i="5"/>
  <c r="FM36" i="5"/>
  <c r="EQ36" i="5"/>
  <c r="GA35" i="5"/>
  <c r="FE35" i="5"/>
  <c r="EI35" i="5"/>
  <c r="FS34" i="5"/>
  <c r="EW34" i="5"/>
  <c r="EA34" i="5"/>
  <c r="FK33" i="5"/>
  <c r="FF55" i="5"/>
  <c r="FA54" i="5"/>
  <c r="FD53" i="5"/>
  <c r="FI52" i="5"/>
  <c r="FM51" i="5"/>
  <c r="ED51" i="5"/>
  <c r="FM50" i="5"/>
  <c r="EE50" i="5"/>
  <c r="FU49" i="5"/>
  <c r="EO49" i="5"/>
  <c r="FD48" i="5"/>
  <c r="EC48" i="5"/>
  <c r="FK47" i="5"/>
  <c r="EL47" i="5"/>
  <c r="GB46" i="5"/>
  <c r="FC46" i="5"/>
  <c r="EB46" i="5"/>
  <c r="FG44" i="5"/>
  <c r="EH44" i="5"/>
  <c r="FB55" i="5"/>
  <c r="EZ54" i="5"/>
  <c r="FC53" i="5"/>
  <c r="FH52" i="5"/>
  <c r="FL51" i="5"/>
  <c r="EC51" i="5"/>
  <c r="FL50" i="5"/>
  <c r="EB50" i="5"/>
  <c r="FT49" i="5"/>
  <c r="EL49" i="5"/>
  <c r="FC48" i="5"/>
  <c r="EB48" i="5"/>
  <c r="FJ47" i="5"/>
  <c r="EK47" i="5"/>
  <c r="GA46" i="5"/>
  <c r="FB46" i="5"/>
  <c r="EA46" i="5"/>
  <c r="FF44" i="5"/>
  <c r="EG44" i="5"/>
  <c r="EY55" i="5"/>
  <c r="EY54" i="5"/>
  <c r="FB53" i="5"/>
  <c r="FG52" i="5"/>
  <c r="FK51" i="5"/>
  <c r="FK50" i="5"/>
  <c r="EA50" i="5"/>
  <c r="FS49" i="5"/>
  <c r="EK49" i="5"/>
  <c r="FB48" i="5"/>
  <c r="EA48" i="5"/>
  <c r="FI47" i="5"/>
  <c r="EJ47" i="5"/>
  <c r="FZ46" i="5"/>
  <c r="EY46" i="5"/>
  <c r="FE44" i="5"/>
  <c r="EF44" i="5"/>
  <c r="EX55" i="5"/>
  <c r="EX54" i="5"/>
  <c r="FA53" i="5"/>
  <c r="FF52" i="5"/>
  <c r="FJ51" i="5"/>
  <c r="FJ50" i="5"/>
  <c r="FR49" i="5"/>
  <c r="EJ49" i="5"/>
  <c r="EZ48" i="5"/>
  <c r="FH47" i="5"/>
  <c r="EI47" i="5"/>
  <c r="FY46" i="5"/>
  <c r="EX46" i="5"/>
  <c r="FD44" i="5"/>
  <c r="EE44" i="5"/>
  <c r="EO55" i="5"/>
  <c r="EW54" i="5"/>
  <c r="EQ53" i="5"/>
  <c r="FE52" i="5"/>
  <c r="FI51" i="5"/>
  <c r="FH50" i="5"/>
  <c r="FQ49" i="5"/>
  <c r="EI49" i="5"/>
  <c r="EK55" i="5"/>
  <c r="EA54" i="5"/>
  <c r="EE53" i="5"/>
  <c r="FB52" i="5"/>
  <c r="EZ51" i="5"/>
  <c r="EW50" i="5"/>
  <c r="FL49" i="5"/>
  <c r="EB49" i="5"/>
  <c r="FY48" i="5"/>
  <c r="EV48" i="5"/>
  <c r="FD47" i="5"/>
  <c r="EE47" i="5"/>
  <c r="FS46" i="5"/>
  <c r="ET46" i="5"/>
  <c r="FY44" i="5"/>
  <c r="EZ44" i="5"/>
  <c r="EA44" i="5"/>
  <c r="FW55" i="5"/>
  <c r="FX54" i="5"/>
  <c r="FQ53" i="5"/>
  <c r="EF52" i="5"/>
  <c r="EM51" i="5"/>
  <c r="FU50" i="5"/>
  <c r="EP50" i="5"/>
  <c r="EY49" i="5"/>
  <c r="FN48" i="5"/>
  <c r="EM48" i="5"/>
  <c r="FW47" i="5"/>
  <c r="EV47" i="5"/>
  <c r="FV55" i="5"/>
  <c r="FK54" i="5"/>
  <c r="FP53" i="5"/>
  <c r="GA52" i="5"/>
  <c r="EE52" i="5"/>
  <c r="GA51" i="5"/>
  <c r="EL51" i="5"/>
  <c r="FT50" i="5"/>
  <c r="EO50" i="5"/>
  <c r="GB49" i="5"/>
  <c r="EX49" i="5"/>
  <c r="FM48" i="5"/>
  <c r="EL48" i="5"/>
  <c r="FV47" i="5"/>
  <c r="EU47" i="5"/>
  <c r="FJ46" i="5"/>
  <c r="EK46" i="5"/>
  <c r="FQ44" i="5"/>
  <c r="EQ44" i="5"/>
  <c r="EO51" i="5"/>
  <c r="ET50" i="5"/>
  <c r="FH49" i="5"/>
  <c r="EK48" i="5"/>
  <c r="EP47" i="5"/>
  <c r="FF46" i="5"/>
  <c r="FL44" i="5"/>
  <c r="GB38" i="5"/>
  <c r="FE38" i="5"/>
  <c r="EH38" i="5"/>
  <c r="FM37" i="5"/>
  <c r="EP37" i="5"/>
  <c r="FT36" i="5"/>
  <c r="EW36" i="5"/>
  <c r="FZ35" i="5"/>
  <c r="FC35" i="5"/>
  <c r="EF35" i="5"/>
  <c r="FJ34" i="5"/>
  <c r="EM34" i="5"/>
  <c r="FQ33" i="5"/>
  <c r="ET33" i="5"/>
  <c r="FH32" i="5"/>
  <c r="EL32" i="5"/>
  <c r="FV31" i="5"/>
  <c r="EZ31" i="5"/>
  <c r="ED31" i="5"/>
  <c r="FY52" i="5"/>
  <c r="EN51" i="5"/>
  <c r="ES50" i="5"/>
  <c r="FG49" i="5"/>
  <c r="FZ48" i="5"/>
  <c r="EI48" i="5"/>
  <c r="GB47" i="5"/>
  <c r="EO47" i="5"/>
  <c r="FE46" i="5"/>
  <c r="FI44" i="5"/>
  <c r="GA38" i="5"/>
  <c r="FD38" i="5"/>
  <c r="EG38" i="5"/>
  <c r="FL37" i="5"/>
  <c r="EO37" i="5"/>
  <c r="FW52" i="5"/>
  <c r="EK51" i="5"/>
  <c r="ER50" i="5"/>
  <c r="FB49" i="5"/>
  <c r="FX48" i="5"/>
  <c r="EH48" i="5"/>
  <c r="GA47" i="5"/>
  <c r="EN47" i="5"/>
  <c r="EW46" i="5"/>
  <c r="FC44" i="5"/>
  <c r="FZ38" i="5"/>
  <c r="FC38" i="5"/>
  <c r="EF38" i="5"/>
  <c r="FT52" i="5"/>
  <c r="EI51" i="5"/>
  <c r="EQ50" i="5"/>
  <c r="FA49" i="5"/>
  <c r="FV48" i="5"/>
  <c r="EG48" i="5"/>
  <c r="FZ47" i="5"/>
  <c r="EH47" i="5"/>
  <c r="EV46" i="5"/>
  <c r="FB44" i="5"/>
  <c r="FY38" i="5"/>
  <c r="FB38" i="5"/>
  <c r="EE38" i="5"/>
  <c r="FJ37" i="5"/>
  <c r="EM37" i="5"/>
  <c r="FY54" i="5"/>
  <c r="FJ53" i="5"/>
  <c r="EZ52" i="5"/>
  <c r="EI50" i="5"/>
  <c r="ET49" i="5"/>
  <c r="FL48" i="5"/>
  <c r="FP47" i="5"/>
  <c r="EA47" i="5"/>
  <c r="EO46" i="5"/>
  <c r="FT55" i="5"/>
  <c r="EB54" i="5"/>
  <c r="EC52" i="5"/>
  <c r="FO51" i="5"/>
  <c r="FQ50" i="5"/>
  <c r="FZ49" i="5"/>
  <c r="EW48" i="5"/>
  <c r="FB47" i="5"/>
  <c r="FO46" i="5"/>
  <c r="EG46" i="5"/>
  <c r="FS55" i="5"/>
  <c r="EA52" i="5"/>
  <c r="FH51" i="5"/>
  <c r="FP50" i="5"/>
  <c r="FY49" i="5"/>
  <c r="ES48" i="5"/>
  <c r="FA47" i="5"/>
  <c r="FN46" i="5"/>
  <c r="EF46" i="5"/>
  <c r="FR53" i="5"/>
  <c r="FI48" i="5"/>
  <c r="EY47" i="5"/>
  <c r="ES46" i="5"/>
  <c r="ER44" i="5"/>
  <c r="FR38" i="5"/>
  <c r="EQ38" i="5"/>
  <c r="FY37" i="5"/>
  <c r="EX37" i="5"/>
  <c r="FJ36" i="5"/>
  <c r="EL36" i="5"/>
  <c r="FK35" i="5"/>
  <c r="EM35" i="5"/>
  <c r="FI34" i="5"/>
  <c r="EK34" i="5"/>
  <c r="FH33" i="5"/>
  <c r="EK33" i="5"/>
  <c r="FN53" i="5"/>
  <c r="FH48" i="5"/>
  <c r="EW47" i="5"/>
  <c r="ER46" i="5"/>
  <c r="EP44" i="5"/>
  <c r="FQ38" i="5"/>
  <c r="EP38" i="5"/>
  <c r="FM53" i="5"/>
  <c r="FL53" i="5"/>
  <c r="FU51" i="5"/>
  <c r="FZ50" i="5"/>
  <c r="EX48" i="5"/>
  <c r="EQ47" i="5"/>
  <c r="EN46" i="5"/>
  <c r="GA44" i="5"/>
  <c r="EL44" i="5"/>
  <c r="FO38" i="5"/>
  <c r="EN38" i="5"/>
  <c r="FV37" i="5"/>
  <c r="EU37" i="5"/>
  <c r="FG36" i="5"/>
  <c r="EI36" i="5"/>
  <c r="FH35" i="5"/>
  <c r="EJ35" i="5"/>
  <c r="FF34" i="5"/>
  <c r="EH34" i="5"/>
  <c r="FH53" i="5"/>
  <c r="FQ51" i="5"/>
  <c r="FY50" i="5"/>
  <c r="ER48" i="5"/>
  <c r="EG47" i="5"/>
  <c r="EM46" i="5"/>
  <c r="FZ44" i="5"/>
  <c r="EK44" i="5"/>
  <c r="FN38" i="5"/>
  <c r="EM38" i="5"/>
  <c r="FT37" i="5"/>
  <c r="ET37" i="5"/>
  <c r="FF36" i="5"/>
  <c r="EH36" i="5"/>
  <c r="FG35" i="5"/>
  <c r="EH35" i="5"/>
  <c r="EP53" i="5"/>
  <c r="FP51" i="5"/>
  <c r="FV50" i="5"/>
  <c r="EQ48" i="5"/>
  <c r="EF47" i="5"/>
  <c r="EL46" i="5"/>
  <c r="FX44" i="5"/>
  <c r="EJ44" i="5"/>
  <c r="FM38" i="5"/>
  <c r="EL38" i="5"/>
  <c r="FS37" i="5"/>
  <c r="ES37" i="5"/>
  <c r="FE36" i="5"/>
  <c r="EG36" i="5"/>
  <c r="FF35" i="5"/>
  <c r="EG35" i="5"/>
  <c r="GB34" i="5"/>
  <c r="FD34" i="5"/>
  <c r="EF34" i="5"/>
  <c r="GA33" i="5"/>
  <c r="FC33" i="5"/>
  <c r="EF33" i="5"/>
  <c r="FK32" i="5"/>
  <c r="EN32" i="5"/>
  <c r="FQ31" i="5"/>
  <c r="ET31" i="5"/>
  <c r="FX55" i="5"/>
  <c r="EU51" i="5"/>
  <c r="FO50" i="5"/>
  <c r="FU55" i="5"/>
  <c r="FS52" i="5"/>
  <c r="ER51" i="5"/>
  <c r="FG50" i="5"/>
  <c r="FX49" i="5"/>
  <c r="EF48" i="5"/>
  <c r="FT44" i="5"/>
  <c r="FI38" i="5"/>
  <c r="EC38" i="5"/>
  <c r="FO37" i="5"/>
  <c r="EL37" i="5"/>
  <c r="FY36" i="5"/>
  <c r="FA36" i="5"/>
  <c r="EC36" i="5"/>
  <c r="FX35" i="5"/>
  <c r="EZ35" i="5"/>
  <c r="EB35" i="5"/>
  <c r="FX34" i="5"/>
  <c r="EZ34" i="5"/>
  <c r="EB34" i="5"/>
  <c r="FG54" i="5"/>
  <c r="EN52" i="5"/>
  <c r="EK50" i="5"/>
  <c r="EW49" i="5"/>
  <c r="FN47" i="5"/>
  <c r="FP46" i="5"/>
  <c r="FA44" i="5"/>
  <c r="EJ50" i="5"/>
  <c r="FO48" i="5"/>
  <c r="FM47" i="5"/>
  <c r="FR46" i="5"/>
  <c r="FP44" i="5"/>
  <c r="ER38" i="5"/>
  <c r="FK37" i="5"/>
  <c r="EE37" i="5"/>
  <c r="FQ36" i="5"/>
  <c r="EM36" i="5"/>
  <c r="FA35" i="5"/>
  <c r="FT34" i="5"/>
  <c r="EQ34" i="5"/>
  <c r="FU33" i="5"/>
  <c r="EU33" i="5"/>
  <c r="FQ32" i="5"/>
  <c r="ES32" i="5"/>
  <c r="FO31" i="5"/>
  <c r="EQ31" i="5"/>
  <c r="FM22" i="5"/>
  <c r="EQ22" i="5"/>
  <c r="FK48" i="5"/>
  <c r="FG47" i="5"/>
  <c r="FQ46" i="5"/>
  <c r="FN44" i="5"/>
  <c r="FX38" i="5"/>
  <c r="EO38" i="5"/>
  <c r="FI37" i="5"/>
  <c r="ED37" i="5"/>
  <c r="FP36" i="5"/>
  <c r="EK36" i="5"/>
  <c r="EY35" i="5"/>
  <c r="FR34" i="5"/>
  <c r="EP34" i="5"/>
  <c r="FT33" i="5"/>
  <c r="ES33" i="5"/>
  <c r="FP32" i="5"/>
  <c r="ER32" i="5"/>
  <c r="FN31" i="5"/>
  <c r="EP31" i="5"/>
  <c r="FL22" i="5"/>
  <c r="EP22" i="5"/>
  <c r="FP52" i="5"/>
  <c r="FJ48" i="5"/>
  <c r="FF47" i="5"/>
  <c r="FM46" i="5"/>
  <c r="FM44" i="5"/>
  <c r="FW38" i="5"/>
  <c r="EJ38" i="5"/>
  <c r="FH37" i="5"/>
  <c r="EB37" i="5"/>
  <c r="FO36" i="5"/>
  <c r="EJ36" i="5"/>
  <c r="EX35" i="5"/>
  <c r="FQ34" i="5"/>
  <c r="EO34" i="5"/>
  <c r="FS33" i="5"/>
  <c r="ER33" i="5"/>
  <c r="FO32" i="5"/>
  <c r="EQ32" i="5"/>
  <c r="FM31" i="5"/>
  <c r="EO31" i="5"/>
  <c r="FK22" i="5"/>
  <c r="FK39" i="5" s="1"/>
  <c r="EO22" i="5"/>
  <c r="FS21" i="5"/>
  <c r="EW21" i="5"/>
  <c r="EA21" i="5"/>
  <c r="FD52" i="5"/>
  <c r="GA49" i="5"/>
  <c r="EY48" i="5"/>
  <c r="FE47" i="5"/>
  <c r="FK46" i="5"/>
  <c r="EY44" i="5"/>
  <c r="FV38" i="5"/>
  <c r="EI38" i="5"/>
  <c r="FG37" i="5"/>
  <c r="EA37" i="5"/>
  <c r="FN36" i="5"/>
  <c r="EF36" i="5"/>
  <c r="EW35" i="5"/>
  <c r="FP34" i="5"/>
  <c r="EN34" i="5"/>
  <c r="FR33" i="5"/>
  <c r="EQ33" i="5"/>
  <c r="FN32" i="5"/>
  <c r="EP32" i="5"/>
  <c r="FL31" i="5"/>
  <c r="EN31" i="5"/>
  <c r="FJ22" i="5"/>
  <c r="EN22" i="5"/>
  <c r="FR21" i="5"/>
  <c r="FQ42" i="5" s="1"/>
  <c r="EV21" i="5"/>
  <c r="FC52" i="5"/>
  <c r="FW49" i="5"/>
  <c r="EP48" i="5"/>
  <c r="FC47" i="5"/>
  <c r="FI46" i="5"/>
  <c r="EX44" i="5"/>
  <c r="FU38" i="5"/>
  <c r="ED38" i="5"/>
  <c r="FF37" i="5"/>
  <c r="FL36" i="5"/>
  <c r="EE36" i="5"/>
  <c r="GB35" i="5"/>
  <c r="EV35" i="5"/>
  <c r="FO34" i="5"/>
  <c r="EL34" i="5"/>
  <c r="FP33" i="5"/>
  <c r="EP33" i="5"/>
  <c r="FM32" i="5"/>
  <c r="EO32" i="5"/>
  <c r="FK31" i="5"/>
  <c r="EM31" i="5"/>
  <c r="FI54" i="5"/>
  <c r="EG52" i="5"/>
  <c r="EW51" i="5"/>
  <c r="EZ49" i="5"/>
  <c r="EC47" i="5"/>
  <c r="EQ46" i="5"/>
  <c r="ET44" i="5"/>
  <c r="FL38" i="5"/>
  <c r="FB37" i="5"/>
  <c r="FD36" i="5"/>
  <c r="FU35" i="5"/>
  <c r="ER35" i="5"/>
  <c r="FK34" i="5"/>
  <c r="EE34" i="5"/>
  <c r="FL33" i="5"/>
  <c r="EL33" i="5"/>
  <c r="FG32" i="5"/>
  <c r="EI32" i="5"/>
  <c r="FS50" i="5"/>
  <c r="EY38" i="5"/>
  <c r="FZ37" i="5"/>
  <c r="EN37" i="5"/>
  <c r="FZ36" i="5"/>
  <c r="EU36" i="5"/>
  <c r="FN35" i="5"/>
  <c r="EE35" i="5"/>
  <c r="EY34" i="5"/>
  <c r="ES54" i="5"/>
  <c r="FQ48" i="5"/>
  <c r="FH46" i="5"/>
  <c r="EW38" i="5"/>
  <c r="FE37" i="5"/>
  <c r="ET36" i="5"/>
  <c r="FI35" i="5"/>
  <c r="FB34" i="5"/>
  <c r="FY33" i="5"/>
  <c r="EM33" i="5"/>
  <c r="FB32" i="5"/>
  <c r="FW31" i="5"/>
  <c r="ER31" i="5"/>
  <c r="FZ22" i="5"/>
  <c r="FZ39" i="5" s="1"/>
  <c r="EZ22" i="5"/>
  <c r="EZ39" i="5" s="1"/>
  <c r="FK21" i="5"/>
  <c r="EM21" i="5"/>
  <c r="FP48" i="5"/>
  <c r="FG46" i="5"/>
  <c r="EV38" i="5"/>
  <c r="FD37" i="5"/>
  <c r="ES36" i="5"/>
  <c r="FD35" i="5"/>
  <c r="FA34" i="5"/>
  <c r="FX33" i="5"/>
  <c r="EJ33" i="5"/>
  <c r="FA32" i="5"/>
  <c r="FU31" i="5"/>
  <c r="EL31" i="5"/>
  <c r="FY22" i="5"/>
  <c r="FY39" i="5" s="1"/>
  <c r="EY22" i="5"/>
  <c r="FJ21" i="5"/>
  <c r="EL21" i="5"/>
  <c r="EO48" i="5"/>
  <c r="EU46" i="5"/>
  <c r="EU38" i="5"/>
  <c r="FC37" i="5"/>
  <c r="ER36" i="5"/>
  <c r="FB35" i="5"/>
  <c r="EX34" i="5"/>
  <c r="FW33" i="5"/>
  <c r="EI33" i="5"/>
  <c r="EZ32" i="5"/>
  <c r="FT31" i="5"/>
  <c r="EK31" i="5"/>
  <c r="FX22" i="5"/>
  <c r="FX39" i="5" s="1"/>
  <c r="EX22" i="5"/>
  <c r="EX39" i="5" s="1"/>
  <c r="FR55" i="5"/>
  <c r="EN48" i="5"/>
  <c r="EJ46" i="5"/>
  <c r="ET38" i="5"/>
  <c r="FA37" i="5"/>
  <c r="EP36" i="5"/>
  <c r="EU35" i="5"/>
  <c r="EV34" i="5"/>
  <c r="EN55" i="5"/>
  <c r="EH46" i="5"/>
  <c r="EB38" i="5"/>
  <c r="EW37" i="5"/>
  <c r="GB36" i="5"/>
  <c r="EN36" i="5"/>
  <c r="ES35" i="5"/>
  <c r="ET34" i="5"/>
  <c r="FN33" i="5"/>
  <c r="EE33" i="5"/>
  <c r="GA32" i="5"/>
  <c r="EW32" i="5"/>
  <c r="FP31" i="5"/>
  <c r="EH31" i="5"/>
  <c r="FU22" i="5"/>
  <c r="EU22" i="5"/>
  <c r="FF21" i="5"/>
  <c r="EH21" i="5"/>
  <c r="EM55" i="5"/>
  <c r="EA38" i="5"/>
  <c r="EV37" i="5"/>
  <c r="GA36" i="5"/>
  <c r="ED36" i="5"/>
  <c r="EQ35" i="5"/>
  <c r="ES34" i="5"/>
  <c r="FM33" i="5"/>
  <c r="ED33" i="5"/>
  <c r="FZ32" i="5"/>
  <c r="EV32" i="5"/>
  <c r="FJ31" i="5"/>
  <c r="EG31" i="5"/>
  <c r="FT22" i="5"/>
  <c r="FT39" i="5" s="1"/>
  <c r="ET22" i="5"/>
  <c r="ET41" i="5" s="1"/>
  <c r="FE21" i="5"/>
  <c r="EG21" i="5"/>
  <c r="EF30" i="5" s="1"/>
  <c r="GB44" i="5"/>
  <c r="ER37" i="5"/>
  <c r="FX36" i="5"/>
  <c r="EB36" i="5"/>
  <c r="EP35" i="5"/>
  <c r="ER34" i="5"/>
  <c r="FJ33" i="5"/>
  <c r="EC33" i="5"/>
  <c r="FV51" i="5"/>
  <c r="FY47" i="5"/>
  <c r="FW44" i="5"/>
  <c r="EQ37" i="5"/>
  <c r="FW36" i="5"/>
  <c r="EA36" i="5"/>
  <c r="EO35" i="5"/>
  <c r="EJ34" i="5"/>
  <c r="FI33" i="5"/>
  <c r="EB33" i="5"/>
  <c r="FX32" i="5"/>
  <c r="ET32" i="5"/>
  <c r="FH31" i="5"/>
  <c r="EE31" i="5"/>
  <c r="FR22" i="5"/>
  <c r="FR41" i="5" s="1"/>
  <c r="ER22" i="5"/>
  <c r="GA21" i="5"/>
  <c r="FC21" i="5"/>
  <c r="FB30" i="5" s="1"/>
  <c r="EE21" i="5"/>
  <c r="EO53" i="5"/>
  <c r="EL50" i="5"/>
  <c r="FK49" i="5"/>
  <c r="EU44" i="5"/>
  <c r="FK38" i="5"/>
  <c r="GA37" i="5"/>
  <c r="FH36" i="5"/>
  <c r="FR35" i="5"/>
  <c r="FN34" i="5"/>
  <c r="EZ33" i="5"/>
  <c r="FL32" i="5"/>
  <c r="EE32" i="5"/>
  <c r="FA31" i="5"/>
  <c r="FG22" i="5"/>
  <c r="FG41" i="5" s="1"/>
  <c r="EG22" i="5"/>
  <c r="EG39" i="5" s="1"/>
  <c r="EO21" i="5"/>
  <c r="EN42" i="5" s="1"/>
  <c r="FT21" i="5"/>
  <c r="AI25" i="5"/>
  <c r="AI45" i="5"/>
  <c r="AI40" i="5"/>
  <c r="AI43" i="5"/>
  <c r="AI27" i="5"/>
  <c r="AI24" i="5"/>
  <c r="BG43" i="5"/>
  <c r="BG45" i="5"/>
  <c r="BG23" i="5"/>
  <c r="BG26" i="5"/>
  <c r="BG28" i="5"/>
  <c r="BG29" i="5"/>
  <c r="CH43" i="5"/>
  <c r="CH39" i="5"/>
  <c r="CH23" i="5"/>
  <c r="DG43" i="5"/>
  <c r="EI22" i="5"/>
  <c r="EI39" i="5" s="1"/>
  <c r="FW22" i="5"/>
  <c r="FW39" i="5" s="1"/>
  <c r="BO25" i="5"/>
  <c r="EA31" i="5"/>
  <c r="FY31" i="5"/>
  <c r="FT32" i="5"/>
  <c r="EA33" i="5"/>
  <c r="FL35" i="5"/>
  <c r="FU36" i="5"/>
  <c r="FP37" i="5"/>
  <c r="FT38" i="5"/>
  <c r="FQ39" i="5"/>
  <c r="FT46" i="5"/>
  <c r="EV49" i="5"/>
  <c r="EN50" i="5"/>
  <c r="EK52" i="5"/>
  <c r="S42" i="5"/>
  <c r="AQ30" i="5"/>
  <c r="EP21" i="5"/>
  <c r="FU21" i="5"/>
  <c r="AJ43" i="5"/>
  <c r="AJ23" i="5"/>
  <c r="AJ45" i="5"/>
  <c r="AJ40" i="5"/>
  <c r="BH45" i="5"/>
  <c r="BH23" i="5"/>
  <c r="BH26" i="5"/>
  <c r="BH28" i="5"/>
  <c r="BH43" i="5"/>
  <c r="CI28" i="5"/>
  <c r="CI23" i="5"/>
  <c r="CI29" i="5"/>
  <c r="DH43" i="5"/>
  <c r="DH45" i="5"/>
  <c r="DH23" i="5"/>
  <c r="DH26" i="5"/>
  <c r="EJ22" i="5"/>
  <c r="GA22" i="5"/>
  <c r="GA39" i="5" s="1"/>
  <c r="BG27" i="5"/>
  <c r="CY28" i="5"/>
  <c r="EB31" i="5"/>
  <c r="FZ31" i="5"/>
  <c r="EA32" i="5"/>
  <c r="FU32" i="5"/>
  <c r="EG33" i="5"/>
  <c r="FM35" i="5"/>
  <c r="FV36" i="5"/>
  <c r="FQ37" i="5"/>
  <c r="CH45" i="5"/>
  <c r="FU46" i="5"/>
  <c r="FO49" i="5"/>
  <c r="EU50" i="5"/>
  <c r="EF51" i="5"/>
  <c r="EQ52" i="5"/>
  <c r="EC31" i="5"/>
  <c r="GA31" i="5"/>
  <c r="EB32" i="5"/>
  <c r="FV32" i="5"/>
  <c r="EH33" i="5"/>
  <c r="FO35" i="5"/>
  <c r="FR37" i="5"/>
  <c r="FS39" i="5"/>
  <c r="EB44" i="5"/>
  <c r="CI45" i="5"/>
  <c r="FV46" i="5"/>
  <c r="FP49" i="5"/>
  <c r="EV50" i="5"/>
  <c r="EG51" i="5"/>
  <c r="ES52" i="5"/>
  <c r="EL43" i="5"/>
  <c r="EL45" i="5"/>
  <c r="EL27" i="5"/>
  <c r="EL28" i="5"/>
  <c r="EL23" i="5"/>
  <c r="BZ23" i="5"/>
  <c r="CQ23" i="5"/>
  <c r="BC28" i="5"/>
  <c r="BB28" i="5"/>
  <c r="EF31" i="5"/>
  <c r="GB31" i="5"/>
  <c r="EC32" i="5"/>
  <c r="FW32" i="5"/>
  <c r="EN33" i="5"/>
  <c r="EC34" i="5"/>
  <c r="FP35" i="5"/>
  <c r="FW37" i="5"/>
  <c r="EC44" i="5"/>
  <c r="FF50" i="5"/>
  <c r="EH51" i="5"/>
  <c r="EI31" i="5"/>
  <c r="ED32" i="5"/>
  <c r="FY32" i="5"/>
  <c r="EO33" i="5"/>
  <c r="ED34" i="5"/>
  <c r="FQ35" i="5"/>
  <c r="FX37" i="5"/>
  <c r="FI39" i="5"/>
  <c r="EM39" i="5"/>
  <c r="FP39" i="5"/>
  <c r="ES39" i="5"/>
  <c r="FO39" i="5"/>
  <c r="ER39" i="5"/>
  <c r="FN39" i="5"/>
  <c r="FH39" i="5"/>
  <c r="EF39" i="5"/>
  <c r="EE39" i="5"/>
  <c r="FB39" i="5"/>
  <c r="FD39" i="5"/>
  <c r="FA39" i="5"/>
  <c r="EY39" i="5"/>
  <c r="GB39" i="5"/>
  <c r="EU39" i="5"/>
  <c r="FU39" i="5"/>
  <c r="ED39" i="5"/>
  <c r="EK39" i="5"/>
  <c r="EH39" i="5"/>
  <c r="EC39" i="5"/>
  <c r="EB39" i="5"/>
  <c r="ED44" i="5"/>
  <c r="FR50" i="5"/>
  <c r="EP51" i="5"/>
  <c r="W30" i="5"/>
  <c r="W42" i="5"/>
  <c r="BS30" i="5"/>
  <c r="BS42" i="5"/>
  <c r="DO42" i="5"/>
  <c r="DO30" i="5"/>
  <c r="ET21" i="5"/>
  <c r="ES30" i="5" s="1"/>
  <c r="FY21" i="5"/>
  <c r="AN43" i="5"/>
  <c r="AN26" i="5"/>
  <c r="AN45" i="5"/>
  <c r="AN25" i="5"/>
  <c r="BL43" i="5"/>
  <c r="BL45" i="5"/>
  <c r="BL28" i="5"/>
  <c r="BL25" i="5"/>
  <c r="CM43" i="5"/>
  <c r="CM45" i="5"/>
  <c r="DL45" i="5"/>
  <c r="DL29" i="5"/>
  <c r="DL24" i="5"/>
  <c r="DL27" i="5"/>
  <c r="DL43" i="5"/>
  <c r="DL39" i="5"/>
  <c r="DL28" i="5"/>
  <c r="ES22" i="5"/>
  <c r="CM23" i="5"/>
  <c r="AJ24" i="5"/>
  <c r="W25" i="5"/>
  <c r="BL27" i="5"/>
  <c r="BM28" i="5"/>
  <c r="EJ31" i="5"/>
  <c r="EF32" i="5"/>
  <c r="GB32" i="5"/>
  <c r="EV33" i="5"/>
  <c r="EG34" i="5"/>
  <c r="FS35" i="5"/>
  <c r="GB37" i="5"/>
  <c r="EO44" i="5"/>
  <c r="FG51" i="5"/>
  <c r="FH55" i="5"/>
  <c r="X42" i="5"/>
  <c r="X30" i="5"/>
  <c r="AV30" i="5"/>
  <c r="AV42" i="5"/>
  <c r="BT30" i="5"/>
  <c r="BT42" i="5"/>
  <c r="CS30" i="5"/>
  <c r="DP42" i="5"/>
  <c r="DP30" i="5"/>
  <c r="EU21" i="5"/>
  <c r="FZ21" i="5"/>
  <c r="AO23" i="5"/>
  <c r="EV22" i="5"/>
  <c r="CN23" i="5"/>
  <c r="X25" i="5"/>
  <c r="X28" i="5"/>
  <c r="DG29" i="5"/>
  <c r="ES31" i="5"/>
  <c r="EG32" i="5"/>
  <c r="EW33" i="5"/>
  <c r="EI34" i="5"/>
  <c r="FT35" i="5"/>
  <c r="BV41" i="5"/>
  <c r="DZ41" i="5"/>
  <c r="EV44" i="5"/>
  <c r="BF45" i="5"/>
  <c r="BF23" i="5"/>
  <c r="CG43" i="5"/>
  <c r="CG23" i="5"/>
  <c r="DF43" i="5"/>
  <c r="DF45" i="5"/>
  <c r="DF39" i="5"/>
  <c r="DF25" i="5"/>
  <c r="AR26" i="5"/>
  <c r="BT28" i="5"/>
  <c r="X40" i="5"/>
  <c r="BE41" i="5"/>
  <c r="AI41" i="5"/>
  <c r="BT41" i="5"/>
  <c r="AW41" i="5"/>
  <c r="Z41" i="5"/>
  <c r="BK41" i="5"/>
  <c r="AM41" i="5"/>
  <c r="BD41" i="5"/>
  <c r="AE41" i="5"/>
  <c r="BC41" i="5"/>
  <c r="BB41" i="5"/>
  <c r="AC41" i="5"/>
  <c r="AB41" i="5"/>
  <c r="AQ41" i="5"/>
  <c r="BR41" i="5"/>
  <c r="AO41" i="5"/>
  <c r="BQ41" i="5"/>
  <c r="AN41" i="5"/>
  <c r="AL41" i="5"/>
  <c r="BL41" i="5"/>
  <c r="AG41" i="5"/>
  <c r="AF41" i="5"/>
  <c r="AA41" i="5"/>
  <c r="BS41" i="5"/>
  <c r="BO41" i="5"/>
  <c r="X41" i="5"/>
  <c r="BN41" i="5"/>
  <c r="W41" i="5"/>
  <c r="BH41" i="5"/>
  <c r="AU41" i="5"/>
  <c r="BM41" i="5"/>
  <c r="EH41" i="5"/>
  <c r="CH42" i="5"/>
  <c r="DE42" i="5"/>
  <c r="AO43" i="5"/>
  <c r="AO26" i="5"/>
  <c r="BM43" i="5"/>
  <c r="BM45" i="5"/>
  <c r="CN45" i="5"/>
  <c r="CN24" i="5"/>
  <c r="CN27" i="5"/>
  <c r="DM45" i="5"/>
  <c r="DM29" i="5"/>
  <c r="DM43" i="5"/>
  <c r="DM27" i="5"/>
  <c r="DM39" i="5"/>
  <c r="DM28" i="5"/>
  <c r="DM25" i="5"/>
  <c r="DF28" i="5"/>
  <c r="V41" i="5"/>
  <c r="AR42" i="5"/>
  <c r="BF43" i="5"/>
  <c r="DW43" i="5"/>
  <c r="FM41" i="5"/>
  <c r="EQ41" i="5"/>
  <c r="EM41" i="5"/>
  <c r="FE41" i="5"/>
  <c r="GB41" i="5"/>
  <c r="ED41" i="5"/>
  <c r="GA41" i="5"/>
  <c r="FB41" i="5"/>
  <c r="EC41" i="5"/>
  <c r="FA41" i="5"/>
  <c r="EB41" i="5"/>
  <c r="FO41" i="5"/>
  <c r="FN41" i="5"/>
  <c r="EF41" i="5"/>
  <c r="FI41" i="5"/>
  <c r="EE41" i="5"/>
  <c r="FH41" i="5"/>
  <c r="EY41" i="5"/>
  <c r="FF41" i="5"/>
  <c r="FD41" i="5"/>
  <c r="EX41" i="5"/>
  <c r="EW41" i="5"/>
  <c r="EV41" i="5"/>
  <c r="ER41" i="5"/>
  <c r="CJ42" i="5"/>
  <c r="DG42" i="5"/>
  <c r="CP45" i="5"/>
  <c r="CP24" i="5"/>
  <c r="CP27" i="5"/>
  <c r="CP28" i="5"/>
  <c r="CP29" i="5"/>
  <c r="CP39" i="5"/>
  <c r="DO43" i="5"/>
  <c r="DO39" i="5"/>
  <c r="DO28" i="5"/>
  <c r="DO29" i="5"/>
  <c r="DO45" i="5"/>
  <c r="AR24" i="5"/>
  <c r="DW24" i="5"/>
  <c r="DW39" i="5"/>
  <c r="AJ41" i="5"/>
  <c r="AN30" i="5"/>
  <c r="BL42" i="5"/>
  <c r="DH42" i="5"/>
  <c r="BP29" i="5"/>
  <c r="BP28" i="5"/>
  <c r="BP27" i="5"/>
  <c r="BP24" i="5"/>
  <c r="CQ29" i="5"/>
  <c r="CQ43" i="5"/>
  <c r="AO25" i="5"/>
  <c r="AK41" i="5"/>
  <c r="AS41" i="5"/>
  <c r="FQ41" i="5"/>
  <c r="W45" i="5"/>
  <c r="W29" i="5"/>
  <c r="W28" i="5"/>
  <c r="W27" i="5"/>
  <c r="AU45" i="5"/>
  <c r="AU43" i="5"/>
  <c r="AU28" i="5"/>
  <c r="AU29" i="5"/>
  <c r="AU27" i="5"/>
  <c r="AU24" i="5"/>
  <c r="BS45" i="5"/>
  <c r="BS28" i="5"/>
  <c r="BS27" i="5"/>
  <c r="BS24" i="5"/>
  <c r="BS29" i="5"/>
  <c r="BS43" i="5"/>
  <c r="DV45" i="5"/>
  <c r="DV43" i="5"/>
  <c r="DV23" i="5"/>
  <c r="DW25" i="5"/>
  <c r="BF28" i="5"/>
  <c r="BM29" i="5"/>
  <c r="AT41" i="5"/>
  <c r="X45" i="5"/>
  <c r="X43" i="5"/>
  <c r="X29" i="5"/>
  <c r="X27" i="5"/>
  <c r="X24" i="5"/>
  <c r="AV45" i="5"/>
  <c r="AV43" i="5"/>
  <c r="AV29" i="5"/>
  <c r="AV27" i="5"/>
  <c r="AV24" i="5"/>
  <c r="BT45" i="5"/>
  <c r="BT29" i="5"/>
  <c r="BT43" i="5"/>
  <c r="DW45" i="5"/>
  <c r="DW23" i="5"/>
  <c r="W24" i="5"/>
  <c r="BS25" i="5"/>
  <c r="BF26" i="5"/>
  <c r="BC40" i="5"/>
  <c r="AG40" i="5"/>
  <c r="BM40" i="5"/>
  <c r="AP40" i="5"/>
  <c r="BL40" i="5"/>
  <c r="AO40" i="5"/>
  <c r="BK40" i="5"/>
  <c r="AN40" i="5"/>
  <c r="BJ40" i="5"/>
  <c r="AM40" i="5"/>
  <c r="AU40" i="5"/>
  <c r="T40" i="5"/>
  <c r="AT40" i="5"/>
  <c r="BS40" i="5"/>
  <c r="BR40" i="5"/>
  <c r="AQ40" i="5"/>
  <c r="BQ40" i="5"/>
  <c r="AL40" i="5"/>
  <c r="BI40" i="5"/>
  <c r="AH40" i="5"/>
  <c r="BB40" i="5"/>
  <c r="U40" i="5"/>
  <c r="BA40" i="5"/>
  <c r="AX40" i="5"/>
  <c r="AK40" i="5"/>
  <c r="BO40" i="5"/>
  <c r="AB40" i="5"/>
  <c r="BE40" i="5"/>
  <c r="AV41" i="5"/>
  <c r="FS41" i="5"/>
  <c r="U42" i="5"/>
  <c r="U30" i="5"/>
  <c r="BQ30" i="5"/>
  <c r="CP42" i="5"/>
  <c r="CP30" i="5"/>
  <c r="DM42" i="5"/>
  <c r="AW24" i="5"/>
  <c r="BW45" i="5"/>
  <c r="BW43" i="5"/>
  <c r="CY45" i="5"/>
  <c r="CY43" i="5"/>
  <c r="DX43" i="5"/>
  <c r="DX45" i="5"/>
  <c r="DX23" i="5"/>
  <c r="DX26" i="5"/>
  <c r="T25" i="5"/>
  <c r="BT25" i="5"/>
  <c r="CY25" i="5"/>
  <c r="BO29" i="5"/>
  <c r="BF40" i="5"/>
  <c r="AX41" i="5"/>
  <c r="FU41" i="5"/>
  <c r="AT38" i="5"/>
  <c r="DQ38" i="5"/>
  <c r="BQ44" i="5"/>
  <c r="DR44" i="5"/>
  <c r="AX46" i="5"/>
  <c r="DU46" i="5"/>
  <c r="DF47" i="5"/>
  <c r="DF48" i="5"/>
  <c r="AY50" i="5"/>
  <c r="DL51" i="5"/>
  <c r="BM52" i="5"/>
  <c r="DN55" i="5"/>
  <c r="X35" i="5"/>
  <c r="BA35" i="5"/>
  <c r="CD35" i="5"/>
  <c r="DM35" i="5"/>
  <c r="AG36" i="5"/>
  <c r="BP36" i="5"/>
  <c r="CU36" i="5"/>
  <c r="S37" i="5"/>
  <c r="BA37" i="5"/>
  <c r="CG37" i="5"/>
  <c r="DN37" i="5"/>
  <c r="T38" i="5"/>
  <c r="BC38" i="5"/>
  <c r="CQ38" i="5"/>
  <c r="DX38" i="5"/>
  <c r="AD44" i="5"/>
  <c r="BZ44" i="5"/>
  <c r="BQ46" i="5"/>
  <c r="AX47" i="5"/>
  <c r="AR48" i="5"/>
  <c r="DX48" i="5"/>
  <c r="BL49" i="5"/>
  <c r="CE50" i="5"/>
  <c r="AG51" i="5"/>
  <c r="BR33" i="5"/>
  <c r="DP33" i="5"/>
  <c r="AB34" i="5"/>
  <c r="BB34" i="5"/>
  <c r="CC34" i="5"/>
  <c r="DF34" i="5"/>
  <c r="AC35" i="5"/>
  <c r="BE35" i="5"/>
  <c r="CM35" i="5"/>
  <c r="DR35" i="5"/>
  <c r="AQ36" i="5"/>
  <c r="CZ36" i="5"/>
  <c r="Y37" i="5"/>
  <c r="BE37" i="5"/>
  <c r="CM37" i="5"/>
  <c r="Z38" i="5"/>
  <c r="BL38" i="5"/>
  <c r="CV38" i="5"/>
  <c r="AL44" i="5"/>
  <c r="CO44" i="5"/>
  <c r="BX46" i="5"/>
  <c r="BQ47" i="5"/>
  <c r="BL48" i="5"/>
  <c r="BP49" i="5"/>
  <c r="AX51" i="5"/>
  <c r="DW55" i="5"/>
  <c r="DA55" i="5"/>
  <c r="CE55" i="5"/>
  <c r="DO54" i="5"/>
  <c r="CS54" i="5"/>
  <c r="BW54" i="5"/>
  <c r="DG53" i="5"/>
  <c r="CK53" i="5"/>
  <c r="DU52" i="5"/>
  <c r="CY52" i="5"/>
  <c r="CC52" i="5"/>
  <c r="DU55" i="5"/>
  <c r="CY55" i="5"/>
  <c r="CC55" i="5"/>
  <c r="DM54" i="5"/>
  <c r="CQ54" i="5"/>
  <c r="DE53" i="5"/>
  <c r="CI53" i="5"/>
  <c r="DS52" i="5"/>
  <c r="CW52" i="5"/>
  <c r="DT55" i="5"/>
  <c r="CX55" i="5"/>
  <c r="CB55" i="5"/>
  <c r="DL54" i="5"/>
  <c r="CP54" i="5"/>
  <c r="DD53" i="5"/>
  <c r="CH53" i="5"/>
  <c r="DR52" i="5"/>
  <c r="CV52" i="5"/>
  <c r="BZ52" i="5"/>
  <c r="DF55" i="5"/>
  <c r="CG55" i="5"/>
  <c r="DV54" i="5"/>
  <c r="CW54" i="5"/>
  <c r="BX54" i="5"/>
  <c r="DL53" i="5"/>
  <c r="CM53" i="5"/>
  <c r="DB52" i="5"/>
  <c r="CB52" i="5"/>
  <c r="DX51" i="5"/>
  <c r="DB51" i="5"/>
  <c r="CF51" i="5"/>
  <c r="DP50" i="5"/>
  <c r="CT50" i="5"/>
  <c r="BX50" i="5"/>
  <c r="DE55" i="5"/>
  <c r="CF55" i="5"/>
  <c r="DU54" i="5"/>
  <c r="CV54" i="5"/>
  <c r="DD55" i="5"/>
  <c r="CD55" i="5"/>
  <c r="DT54" i="5"/>
  <c r="CU54" i="5"/>
  <c r="DJ53" i="5"/>
  <c r="CJ53" i="5"/>
  <c r="DB55" i="5"/>
  <c r="BZ55" i="5"/>
  <c r="DR54" i="5"/>
  <c r="CR54" i="5"/>
  <c r="CZ55" i="5"/>
  <c r="BY55" i="5"/>
  <c r="DQ54" i="5"/>
  <c r="CO54" i="5"/>
  <c r="DF53" i="5"/>
  <c r="CE53" i="5"/>
  <c r="DV52" i="5"/>
  <c r="CT52" i="5"/>
  <c r="CW55" i="5"/>
  <c r="DE54" i="5"/>
  <c r="CA54" i="5"/>
  <c r="DS53" i="5"/>
  <c r="CQ53" i="5"/>
  <c r="DK52" i="5"/>
  <c r="CJ52" i="5"/>
  <c r="DC51" i="5"/>
  <c r="CE51" i="5"/>
  <c r="DJ50" i="5"/>
  <c r="CM50" i="5"/>
  <c r="DU49" i="5"/>
  <c r="CY49" i="5"/>
  <c r="CC49" i="5"/>
  <c r="DM48" i="5"/>
  <c r="CQ48" i="5"/>
  <c r="DE47" i="5"/>
  <c r="CI47" i="5"/>
  <c r="DS46" i="5"/>
  <c r="CW46" i="5"/>
  <c r="CA46" i="5"/>
  <c r="DV44" i="5"/>
  <c r="CZ44" i="5"/>
  <c r="CD44" i="5"/>
  <c r="CV55" i="5"/>
  <c r="DD54" i="5"/>
  <c r="BZ54" i="5"/>
  <c r="DR53" i="5"/>
  <c r="CP53" i="5"/>
  <c r="DJ52" i="5"/>
  <c r="CI52" i="5"/>
  <c r="DA51" i="5"/>
  <c r="CD51" i="5"/>
  <c r="DI50" i="5"/>
  <c r="CL50" i="5"/>
  <c r="DT49" i="5"/>
  <c r="CX49" i="5"/>
  <c r="CB49" i="5"/>
  <c r="CU55" i="5"/>
  <c r="DC54" i="5"/>
  <c r="BY54" i="5"/>
  <c r="DQ53" i="5"/>
  <c r="CO53" i="5"/>
  <c r="CT55" i="5"/>
  <c r="DB54" i="5"/>
  <c r="DP53" i="5"/>
  <c r="CN53" i="5"/>
  <c r="CS55" i="5"/>
  <c r="DA54" i="5"/>
  <c r="DO53" i="5"/>
  <c r="CL53" i="5"/>
  <c r="DG52" i="5"/>
  <c r="CF52" i="5"/>
  <c r="DU51" i="5"/>
  <c r="CX51" i="5"/>
  <c r="CA51" i="5"/>
  <c r="DF50" i="5"/>
  <c r="CI50" i="5"/>
  <c r="CR55" i="5"/>
  <c r="CZ54" i="5"/>
  <c r="DN53" i="5"/>
  <c r="CG53" i="5"/>
  <c r="DF52" i="5"/>
  <c r="CE52" i="5"/>
  <c r="DT51" i="5"/>
  <c r="CW51" i="5"/>
  <c r="BZ51" i="5"/>
  <c r="DE50" i="5"/>
  <c r="CH50" i="5"/>
  <c r="DP49" i="5"/>
  <c r="CT49" i="5"/>
  <c r="BX49" i="5"/>
  <c r="DH48" i="5"/>
  <c r="CL48" i="5"/>
  <c r="DJ55" i="5"/>
  <c r="CN54" i="5"/>
  <c r="CX53" i="5"/>
  <c r="DN52" i="5"/>
  <c r="CG52" i="5"/>
  <c r="CV51" i="5"/>
  <c r="CX50" i="5"/>
  <c r="DF49" i="5"/>
  <c r="CG49" i="5"/>
  <c r="DV48" i="5"/>
  <c r="CX48" i="5"/>
  <c r="BZ48" i="5"/>
  <c r="DV47" i="5"/>
  <c r="CY47" i="5"/>
  <c r="CB47" i="5"/>
  <c r="DF46" i="5"/>
  <c r="CI46" i="5"/>
  <c r="DP44" i="5"/>
  <c r="CS44" i="5"/>
  <c r="DI55" i="5"/>
  <c r="CM54" i="5"/>
  <c r="CW53" i="5"/>
  <c r="DM52" i="5"/>
  <c r="CD52" i="5"/>
  <c r="CU51" i="5"/>
  <c r="DX50" i="5"/>
  <c r="CW50" i="5"/>
  <c r="DE49" i="5"/>
  <c r="CF49" i="5"/>
  <c r="DU48" i="5"/>
  <c r="CW48" i="5"/>
  <c r="BY48" i="5"/>
  <c r="DU47" i="5"/>
  <c r="CX47" i="5"/>
  <c r="CA47" i="5"/>
  <c r="DE46" i="5"/>
  <c r="CH46" i="5"/>
  <c r="DO44" i="5"/>
  <c r="CR44" i="5"/>
  <c r="DH55" i="5"/>
  <c r="CL54" i="5"/>
  <c r="CV53" i="5"/>
  <c r="DL52" i="5"/>
  <c r="CA52" i="5"/>
  <c r="DW51" i="5"/>
  <c r="CT51" i="5"/>
  <c r="DW50" i="5"/>
  <c r="CV50" i="5"/>
  <c r="DD49" i="5"/>
  <c r="CE49" i="5"/>
  <c r="DG55" i="5"/>
  <c r="CK54" i="5"/>
  <c r="CU53" i="5"/>
  <c r="DI52" i="5"/>
  <c r="BY52" i="5"/>
  <c r="DV51" i="5"/>
  <c r="CS51" i="5"/>
  <c r="DV50" i="5"/>
  <c r="CU50" i="5"/>
  <c r="DC49" i="5"/>
  <c r="CD49" i="5"/>
  <c r="DC55" i="5"/>
  <c r="CJ54" i="5"/>
  <c r="CT53" i="5"/>
  <c r="CN55" i="5"/>
  <c r="DX54" i="5"/>
  <c r="CF54" i="5"/>
  <c r="DX53" i="5"/>
  <c r="CD53" i="5"/>
  <c r="DA52" i="5"/>
  <c r="DO51" i="5"/>
  <c r="CN51" i="5"/>
  <c r="CP55" i="5"/>
  <c r="CT54" i="5"/>
  <c r="CZ53" i="5"/>
  <c r="DW52" i="5"/>
  <c r="BX52" i="5"/>
  <c r="CQ51" i="5"/>
  <c r="CY50" i="5"/>
  <c r="DJ49" i="5"/>
  <c r="CA49" i="5"/>
  <c r="DC48" i="5"/>
  <c r="CC48" i="5"/>
  <c r="DM47" i="5"/>
  <c r="CN47" i="5"/>
  <c r="DC46" i="5"/>
  <c r="CD46" i="5"/>
  <c r="DI44" i="5"/>
  <c r="CJ44" i="5"/>
  <c r="DN38" i="5"/>
  <c r="CR38" i="5"/>
  <c r="DF37" i="5"/>
  <c r="CJ37" i="5"/>
  <c r="DT36" i="5"/>
  <c r="CX36" i="5"/>
  <c r="CB36" i="5"/>
  <c r="DL35" i="5"/>
  <c r="CP35" i="5"/>
  <c r="DD34" i="5"/>
  <c r="CH34" i="5"/>
  <c r="CO55" i="5"/>
  <c r="CI54" i="5"/>
  <c r="CY53" i="5"/>
  <c r="DT52" i="5"/>
  <c r="BW52" i="5"/>
  <c r="CP51" i="5"/>
  <c r="CS50" i="5"/>
  <c r="DI49" i="5"/>
  <c r="BZ49" i="5"/>
  <c r="DB48" i="5"/>
  <c r="CB48" i="5"/>
  <c r="DL47" i="5"/>
  <c r="CM47" i="5"/>
  <c r="DB46" i="5"/>
  <c r="CC46" i="5"/>
  <c r="DH44" i="5"/>
  <c r="CI44" i="5"/>
  <c r="CM55" i="5"/>
  <c r="CH54" i="5"/>
  <c r="CS53" i="5"/>
  <c r="DQ52" i="5"/>
  <c r="CO51" i="5"/>
  <c r="CR50" i="5"/>
  <c r="DH49" i="5"/>
  <c r="BY49" i="5"/>
  <c r="DA48" i="5"/>
  <c r="CA48" i="5"/>
  <c r="DK47" i="5"/>
  <c r="CL47" i="5"/>
  <c r="DA46" i="5"/>
  <c r="CB46" i="5"/>
  <c r="CL55" i="5"/>
  <c r="CG54" i="5"/>
  <c r="CR53" i="5"/>
  <c r="DP52" i="5"/>
  <c r="CM51" i="5"/>
  <c r="CQ50" i="5"/>
  <c r="DG49" i="5"/>
  <c r="BW49" i="5"/>
  <c r="CZ48" i="5"/>
  <c r="BX48" i="5"/>
  <c r="DJ47" i="5"/>
  <c r="CK47" i="5"/>
  <c r="CZ46" i="5"/>
  <c r="BZ46" i="5"/>
  <c r="DF44" i="5"/>
  <c r="CG44" i="5"/>
  <c r="CK55" i="5"/>
  <c r="CE54" i="5"/>
  <c r="CF53" i="5"/>
  <c r="DO52" i="5"/>
  <c r="DS51" i="5"/>
  <c r="CL51" i="5"/>
  <c r="CP50" i="5"/>
  <c r="DB49" i="5"/>
  <c r="CY48" i="5"/>
  <c r="BW48" i="5"/>
  <c r="DI47" i="5"/>
  <c r="CJ47" i="5"/>
  <c r="DX46" i="5"/>
  <c r="CY46" i="5"/>
  <c r="BY46" i="5"/>
  <c r="DE44" i="5"/>
  <c r="CF44" i="5"/>
  <c r="CJ55" i="5"/>
  <c r="CD54" i="5"/>
  <c r="CC53" i="5"/>
  <c r="DH52" i="5"/>
  <c r="DR51" i="5"/>
  <c r="CK51" i="5"/>
  <c r="DU50" i="5"/>
  <c r="CO50" i="5"/>
  <c r="DA49" i="5"/>
  <c r="CA55" i="5"/>
  <c r="BZ53" i="5"/>
  <c r="DC52" i="5"/>
  <c r="DN51" i="5"/>
  <c r="CH51" i="5"/>
  <c r="DR50" i="5"/>
  <c r="CJ50" i="5"/>
  <c r="CV49" i="5"/>
  <c r="DS48" i="5"/>
  <c r="CS48" i="5"/>
  <c r="DD47" i="5"/>
  <c r="CE47" i="5"/>
  <c r="DT46" i="5"/>
  <c r="CT46" i="5"/>
  <c r="DA44" i="5"/>
  <c r="CA44" i="5"/>
  <c r="DP55" i="5"/>
  <c r="DJ54" i="5"/>
  <c r="DM53" i="5"/>
  <c r="CP52" i="5"/>
  <c r="DG51" i="5"/>
  <c r="DH50" i="5"/>
  <c r="CA50" i="5"/>
  <c r="DR49" i="5"/>
  <c r="CN49" i="5"/>
  <c r="DK48" i="5"/>
  <c r="CJ48" i="5"/>
  <c r="DT47" i="5"/>
  <c r="CU47" i="5"/>
  <c r="DO55" i="5"/>
  <c r="DI54" i="5"/>
  <c r="DK53" i="5"/>
  <c r="CO52" i="5"/>
  <c r="DF51" i="5"/>
  <c r="DG50" i="5"/>
  <c r="BZ50" i="5"/>
  <c r="DQ49" i="5"/>
  <c r="CM49" i="5"/>
  <c r="DJ48" i="5"/>
  <c r="CI48" i="5"/>
  <c r="DS47" i="5"/>
  <c r="CT47" i="5"/>
  <c r="DK46" i="5"/>
  <c r="CL46" i="5"/>
  <c r="DQ44" i="5"/>
  <c r="CP44" i="5"/>
  <c r="DX55" i="5"/>
  <c r="DH54" i="5"/>
  <c r="DA53" i="5"/>
  <c r="CX52" i="5"/>
  <c r="CI51" i="5"/>
  <c r="CZ50" i="5"/>
  <c r="DK49" i="5"/>
  <c r="CT48" i="5"/>
  <c r="DA47" i="5"/>
  <c r="DQ46" i="5"/>
  <c r="CJ46" i="5"/>
  <c r="DW44" i="5"/>
  <c r="CN44" i="5"/>
  <c r="DJ38" i="5"/>
  <c r="CM38" i="5"/>
  <c r="DR37" i="5"/>
  <c r="CU37" i="5"/>
  <c r="BX37" i="5"/>
  <c r="DB36" i="5"/>
  <c r="CE36" i="5"/>
  <c r="DH35" i="5"/>
  <c r="CK35" i="5"/>
  <c r="DO34" i="5"/>
  <c r="CR34" i="5"/>
  <c r="DW33" i="5"/>
  <c r="DA33" i="5"/>
  <c r="CE33" i="5"/>
  <c r="DO32" i="5"/>
  <c r="CS32" i="5"/>
  <c r="BW32" i="5"/>
  <c r="DG31" i="5"/>
  <c r="CK31" i="5"/>
  <c r="DV55" i="5"/>
  <c r="DG54" i="5"/>
  <c r="CB53" i="5"/>
  <c r="CU52" i="5"/>
  <c r="CG51" i="5"/>
  <c r="CN50" i="5"/>
  <c r="CZ49" i="5"/>
  <c r="CR48" i="5"/>
  <c r="CZ47" i="5"/>
  <c r="DP46" i="5"/>
  <c r="CG46" i="5"/>
  <c r="DU44" i="5"/>
  <c r="CM44" i="5"/>
  <c r="DI38" i="5"/>
  <c r="CL38" i="5"/>
  <c r="DQ37" i="5"/>
  <c r="CT37" i="5"/>
  <c r="BW37" i="5"/>
  <c r="DS55" i="5"/>
  <c r="DF54" i="5"/>
  <c r="CA53" i="5"/>
  <c r="CS52" i="5"/>
  <c r="CC51" i="5"/>
  <c r="CK50" i="5"/>
  <c r="CW49" i="5"/>
  <c r="CP48" i="5"/>
  <c r="CW47" i="5"/>
  <c r="DO46" i="5"/>
  <c r="CF46" i="5"/>
  <c r="DT44" i="5"/>
  <c r="CL44" i="5"/>
  <c r="DR55" i="5"/>
  <c r="CY54" i="5"/>
  <c r="BY53" i="5"/>
  <c r="CR52" i="5"/>
  <c r="CB51" i="5"/>
  <c r="CG50" i="5"/>
  <c r="CU49" i="5"/>
  <c r="CO48" i="5"/>
  <c r="CV47" i="5"/>
  <c r="DN46" i="5"/>
  <c r="CE46" i="5"/>
  <c r="DS44" i="5"/>
  <c r="CK44" i="5"/>
  <c r="DG38" i="5"/>
  <c r="CJ38" i="5"/>
  <c r="DO37" i="5"/>
  <c r="CR37" i="5"/>
  <c r="DK55" i="5"/>
  <c r="CK52" i="5"/>
  <c r="DQ51" i="5"/>
  <c r="CB50" i="5"/>
  <c r="CO49" i="5"/>
  <c r="DT48" i="5"/>
  <c r="CG48" i="5"/>
  <c r="CO47" i="5"/>
  <c r="DH46" i="5"/>
  <c r="DV53" i="5"/>
  <c r="DH51" i="5"/>
  <c r="DM50" i="5"/>
  <c r="DW49" i="5"/>
  <c r="DI48" i="5"/>
  <c r="DO47" i="5"/>
  <c r="BY47" i="5"/>
  <c r="CR46" i="5"/>
  <c r="DU53" i="5"/>
  <c r="DE51" i="5"/>
  <c r="DL50" i="5"/>
  <c r="DV49" i="5"/>
  <c r="DG48" i="5"/>
  <c r="DN47" i="5"/>
  <c r="BX47" i="5"/>
  <c r="CQ46" i="5"/>
  <c r="BX55" i="5"/>
  <c r="DP54" i="5"/>
  <c r="DD52" i="5"/>
  <c r="CZ51" i="5"/>
  <c r="DN50" i="5"/>
  <c r="CV48" i="5"/>
  <c r="CP47" i="5"/>
  <c r="CU46" i="5"/>
  <c r="CX44" i="5"/>
  <c r="DO38" i="5"/>
  <c r="CN38" i="5"/>
  <c r="DW37" i="5"/>
  <c r="CW37" i="5"/>
  <c r="DN36" i="5"/>
  <c r="CP36" i="5"/>
  <c r="DN35" i="5"/>
  <c r="CO35" i="5"/>
  <c r="DL34" i="5"/>
  <c r="CN34" i="5"/>
  <c r="DM33" i="5"/>
  <c r="BW55" i="5"/>
  <c r="DN54" i="5"/>
  <c r="CZ52" i="5"/>
  <c r="CY51" i="5"/>
  <c r="DK50" i="5"/>
  <c r="DX49" i="5"/>
  <c r="CU48" i="5"/>
  <c r="CH47" i="5"/>
  <c r="CS46" i="5"/>
  <c r="CW44" i="5"/>
  <c r="DM38" i="5"/>
  <c r="CK38" i="5"/>
  <c r="DK54" i="5"/>
  <c r="CQ52" i="5"/>
  <c r="CX54" i="5"/>
  <c r="CN52" i="5"/>
  <c r="CJ51" i="5"/>
  <c r="DC50" i="5"/>
  <c r="DO49" i="5"/>
  <c r="CM48" i="5"/>
  <c r="CF47" i="5"/>
  <c r="CO46" i="5"/>
  <c r="CU44" i="5"/>
  <c r="DK38" i="5"/>
  <c r="CH38" i="5"/>
  <c r="DT37" i="5"/>
  <c r="CQ37" i="5"/>
  <c r="DK36" i="5"/>
  <c r="CM36" i="5"/>
  <c r="DJ35" i="5"/>
  <c r="CL35" i="5"/>
  <c r="DI34" i="5"/>
  <c r="CK34" i="5"/>
  <c r="CC54" i="5"/>
  <c r="CM52" i="5"/>
  <c r="BY51" i="5"/>
  <c r="DB50" i="5"/>
  <c r="DN49" i="5"/>
  <c r="CK48" i="5"/>
  <c r="CD47" i="5"/>
  <c r="CN46" i="5"/>
  <c r="CT44" i="5"/>
  <c r="DH38" i="5"/>
  <c r="CG38" i="5"/>
  <c r="DS37" i="5"/>
  <c r="CP37" i="5"/>
  <c r="DJ36" i="5"/>
  <c r="CL36" i="5"/>
  <c r="DI35" i="5"/>
  <c r="CJ35" i="5"/>
  <c r="CB54" i="5"/>
  <c r="CL52" i="5"/>
  <c r="BX51" i="5"/>
  <c r="DA50" i="5"/>
  <c r="DM49" i="5"/>
  <c r="CH48" i="5"/>
  <c r="CC47" i="5"/>
  <c r="CM46" i="5"/>
  <c r="CQ44" i="5"/>
  <c r="DF38" i="5"/>
  <c r="CF38" i="5"/>
  <c r="DP37" i="5"/>
  <c r="CO37" i="5"/>
  <c r="DI36" i="5"/>
  <c r="CK36" i="5"/>
  <c r="DG35" i="5"/>
  <c r="CI35" i="5"/>
  <c r="DG34" i="5"/>
  <c r="CI34" i="5"/>
  <c r="DH33" i="5"/>
  <c r="CK33" i="5"/>
  <c r="DP32" i="5"/>
  <c r="CR32" i="5"/>
  <c r="DV31" i="5"/>
  <c r="CY31" i="5"/>
  <c r="CB31" i="5"/>
  <c r="CD50" i="5"/>
  <c r="DW53" i="5"/>
  <c r="CC50" i="5"/>
  <c r="CQ49" i="5"/>
  <c r="DX47" i="5"/>
  <c r="CC44" i="5"/>
  <c r="DB38" i="5"/>
  <c r="CB38" i="5"/>
  <c r="DK37" i="5"/>
  <c r="CK37" i="5"/>
  <c r="DE36" i="5"/>
  <c r="CG36" i="5"/>
  <c r="DC35" i="5"/>
  <c r="CE35" i="5"/>
  <c r="DB34" i="5"/>
  <c r="DQ55" i="5"/>
  <c r="BX53" i="5"/>
  <c r="DP51" i="5"/>
  <c r="CH49" i="5"/>
  <c r="DP48" i="5"/>
  <c r="DG47" i="5"/>
  <c r="DL46" i="5"/>
  <c r="DK44" i="5"/>
  <c r="AL21" i="5"/>
  <c r="BH21" i="5"/>
  <c r="CF21" i="5"/>
  <c r="DB21" i="5"/>
  <c r="DA30" i="5" s="1"/>
  <c r="DX21" i="5"/>
  <c r="AD22" i="5"/>
  <c r="AZ22" i="5"/>
  <c r="AZ39" i="5" s="1"/>
  <c r="BX22" i="5"/>
  <c r="BX39" i="5" s="1"/>
  <c r="CT22" i="5"/>
  <c r="CT39" i="5" s="1"/>
  <c r="DP22" i="5"/>
  <c r="DP39" i="5" s="1"/>
  <c r="BB25" i="5"/>
  <c r="U31" i="5"/>
  <c r="AT31" i="5"/>
  <c r="BR31" i="5"/>
  <c r="CQ31" i="5"/>
  <c r="DO31" i="5"/>
  <c r="V32" i="5"/>
  <c r="AT32" i="5"/>
  <c r="BR32" i="5"/>
  <c r="CQ32" i="5"/>
  <c r="DQ32" i="5"/>
  <c r="W33" i="5"/>
  <c r="AU33" i="5"/>
  <c r="BS33" i="5"/>
  <c r="CR33" i="5"/>
  <c r="DQ33" i="5"/>
  <c r="AC34" i="5"/>
  <c r="BC34" i="5"/>
  <c r="CD34" i="5"/>
  <c r="DH34" i="5"/>
  <c r="AD35" i="5"/>
  <c r="BG35" i="5"/>
  <c r="CN35" i="5"/>
  <c r="DS35" i="5"/>
  <c r="AR36" i="5"/>
  <c r="BW36" i="5"/>
  <c r="DA36" i="5"/>
  <c r="AA37" i="5"/>
  <c r="BF37" i="5"/>
  <c r="CN37" i="5"/>
  <c r="AB38" i="5"/>
  <c r="BN38" i="5"/>
  <c r="CW38" i="5"/>
  <c r="AO44" i="5"/>
  <c r="CV44" i="5"/>
  <c r="BB45" i="5"/>
  <c r="CK46" i="5"/>
  <c r="BR47" i="5"/>
  <c r="BM48" i="5"/>
  <c r="DS50" i="5"/>
  <c r="BH55" i="5"/>
  <c r="AL55" i="5"/>
  <c r="AZ54" i="5"/>
  <c r="AD54" i="5"/>
  <c r="BN53" i="5"/>
  <c r="AR53" i="5"/>
  <c r="V53" i="5"/>
  <c r="BF52" i="5"/>
  <c r="AJ52" i="5"/>
  <c r="BF55" i="5"/>
  <c r="AJ55" i="5"/>
  <c r="BT54" i="5"/>
  <c r="AX54" i="5"/>
  <c r="AB54" i="5"/>
  <c r="BL53" i="5"/>
  <c r="AP53" i="5"/>
  <c r="T53" i="5"/>
  <c r="BE55" i="5"/>
  <c r="AI55" i="5"/>
  <c r="BS54" i="5"/>
  <c r="AW54" i="5"/>
  <c r="AA54" i="5"/>
  <c r="BK53" i="5"/>
  <c r="AO53" i="5"/>
  <c r="S53" i="5"/>
  <c r="BC52" i="5"/>
  <c r="AG52" i="5"/>
  <c r="BD55" i="5"/>
  <c r="AE55" i="5"/>
  <c r="AU54" i="5"/>
  <c r="V54" i="5"/>
  <c r="BJ53" i="5"/>
  <c r="AK53" i="5"/>
  <c r="BB52" i="5"/>
  <c r="AD52" i="5"/>
  <c r="BI51" i="5"/>
  <c r="AM51" i="5"/>
  <c r="BA50" i="5"/>
  <c r="BC55" i="5"/>
  <c r="AD55" i="5"/>
  <c r="BB55" i="5"/>
  <c r="AC55" i="5"/>
  <c r="BR54" i="5"/>
  <c r="AS54" i="5"/>
  <c r="T54" i="5"/>
  <c r="BH53" i="5"/>
  <c r="AI53" i="5"/>
  <c r="AZ55" i="5"/>
  <c r="AA55" i="5"/>
  <c r="BP54" i="5"/>
  <c r="AQ54" i="5"/>
  <c r="AY55" i="5"/>
  <c r="Z55" i="5"/>
  <c r="BO54" i="5"/>
  <c r="AP54" i="5"/>
  <c r="BE53" i="5"/>
  <c r="AF53" i="5"/>
  <c r="BR55" i="5"/>
  <c r="AN55" i="5"/>
  <c r="AR54" i="5"/>
  <c r="BM53" i="5"/>
  <c r="AG53" i="5"/>
  <c r="BJ52" i="5"/>
  <c r="AK52" i="5"/>
  <c r="BG51" i="5"/>
  <c r="AJ51" i="5"/>
  <c r="BO50" i="5"/>
  <c r="AR50" i="5"/>
  <c r="V50" i="5"/>
  <c r="BF49" i="5"/>
  <c r="AJ49" i="5"/>
  <c r="BT48" i="5"/>
  <c r="AX48" i="5"/>
  <c r="AB48" i="5"/>
  <c r="BL47" i="5"/>
  <c r="AP47" i="5"/>
  <c r="T47" i="5"/>
  <c r="BD46" i="5"/>
  <c r="AH46" i="5"/>
  <c r="BG44" i="5"/>
  <c r="AK44" i="5"/>
  <c r="BQ55" i="5"/>
  <c r="AM55" i="5"/>
  <c r="AO54" i="5"/>
  <c r="BI53" i="5"/>
  <c r="AE53" i="5"/>
  <c r="BI52" i="5"/>
  <c r="AI52" i="5"/>
  <c r="BF51" i="5"/>
  <c r="AI51" i="5"/>
  <c r="BN50" i="5"/>
  <c r="AQ50" i="5"/>
  <c r="U50" i="5"/>
  <c r="BE49" i="5"/>
  <c r="AI49" i="5"/>
  <c r="BP55" i="5"/>
  <c r="AK55" i="5"/>
  <c r="AN54" i="5"/>
  <c r="BG53" i="5"/>
  <c r="AD53" i="5"/>
  <c r="BO55" i="5"/>
  <c r="AH55" i="5"/>
  <c r="AM54" i="5"/>
  <c r="BF53" i="5"/>
  <c r="AC53" i="5"/>
  <c r="BN55" i="5"/>
  <c r="AG55" i="5"/>
  <c r="BQ54" i="5"/>
  <c r="AL54" i="5"/>
  <c r="BD53" i="5"/>
  <c r="AB53" i="5"/>
  <c r="BE52" i="5"/>
  <c r="AE52" i="5"/>
  <c r="BC51" i="5"/>
  <c r="AF51" i="5"/>
  <c r="BK50" i="5"/>
  <c r="AN50" i="5"/>
  <c r="BM55" i="5"/>
  <c r="AF55" i="5"/>
  <c r="BN54" i="5"/>
  <c r="AK54" i="5"/>
  <c r="BC53" i="5"/>
  <c r="AA53" i="5"/>
  <c r="BD52" i="5"/>
  <c r="AC52" i="5"/>
  <c r="BB51" i="5"/>
  <c r="AE51" i="5"/>
  <c r="BJ50" i="5"/>
  <c r="AM50" i="5"/>
  <c r="BA49" i="5"/>
  <c r="AE49" i="5"/>
  <c r="BO48" i="5"/>
  <c r="AS48" i="5"/>
  <c r="W48" i="5"/>
  <c r="BK55" i="5"/>
  <c r="S55" i="5"/>
  <c r="BE54" i="5"/>
  <c r="BO53" i="5"/>
  <c r="AX52" i="5"/>
  <c r="U52" i="5"/>
  <c r="BT51" i="5"/>
  <c r="AS51" i="5"/>
  <c r="AT50" i="5"/>
  <c r="BG49" i="5"/>
  <c r="AF49" i="5"/>
  <c r="BA48" i="5"/>
  <c r="AC48" i="5"/>
  <c r="BD47" i="5"/>
  <c r="AG47" i="5"/>
  <c r="BK46" i="5"/>
  <c r="AN46" i="5"/>
  <c r="AX44" i="5"/>
  <c r="AA44" i="5"/>
  <c r="BJ55" i="5"/>
  <c r="BD54" i="5"/>
  <c r="BB53" i="5"/>
  <c r="AW52" i="5"/>
  <c r="T52" i="5"/>
  <c r="BS51" i="5"/>
  <c r="AR51" i="5"/>
  <c r="BT50" i="5"/>
  <c r="AS50" i="5"/>
  <c r="BD49" i="5"/>
  <c r="AD49" i="5"/>
  <c r="AZ48" i="5"/>
  <c r="AA48" i="5"/>
  <c r="BC47" i="5"/>
  <c r="AF47" i="5"/>
  <c r="BJ46" i="5"/>
  <c r="AM46" i="5"/>
  <c r="BI55" i="5"/>
  <c r="BC54" i="5"/>
  <c r="BA53" i="5"/>
  <c r="AV52" i="5"/>
  <c r="S52" i="5"/>
  <c r="BR51" i="5"/>
  <c r="AQ51" i="5"/>
  <c r="BS50" i="5"/>
  <c r="AP50" i="5"/>
  <c r="BC49" i="5"/>
  <c r="AC49" i="5"/>
  <c r="BG55" i="5"/>
  <c r="BB54" i="5"/>
  <c r="AZ53" i="5"/>
  <c r="AU52" i="5"/>
  <c r="BQ51" i="5"/>
  <c r="AP51" i="5"/>
  <c r="BR50" i="5"/>
  <c r="AO50" i="5"/>
  <c r="BA55" i="5"/>
  <c r="BA54" i="5"/>
  <c r="AY53" i="5"/>
  <c r="AU55" i="5"/>
  <c r="AJ54" i="5"/>
  <c r="AU53" i="5"/>
  <c r="BS52" i="5"/>
  <c r="AP52" i="5"/>
  <c r="AP55" i="5"/>
  <c r="AG54" i="5"/>
  <c r="AS53" i="5"/>
  <c r="AN52" i="5"/>
  <c r="BJ51" i="5"/>
  <c r="Z51" i="5"/>
  <c r="BM50" i="5"/>
  <c r="AF50" i="5"/>
  <c r="AW49" i="5"/>
  <c r="U49" i="5"/>
  <c r="BB48" i="5"/>
  <c r="Y48" i="5"/>
  <c r="BN47" i="5"/>
  <c r="AN47" i="5"/>
  <c r="BC46" i="5"/>
  <c r="AD46" i="5"/>
  <c r="BL44" i="5"/>
  <c r="AN44" i="5"/>
  <c r="AY38" i="5"/>
  <c r="AC38" i="5"/>
  <c r="BM37" i="5"/>
  <c r="AQ37" i="5"/>
  <c r="U37" i="5"/>
  <c r="BE36" i="5"/>
  <c r="AI36" i="5"/>
  <c r="BS35" i="5"/>
  <c r="AW35" i="5"/>
  <c r="AA35" i="5"/>
  <c r="BK34" i="5"/>
  <c r="AO34" i="5"/>
  <c r="S34" i="5"/>
  <c r="AO55" i="5"/>
  <c r="AF54" i="5"/>
  <c r="AQ53" i="5"/>
  <c r="AM52" i="5"/>
  <c r="BH51" i="5"/>
  <c r="Y51" i="5"/>
  <c r="BL50" i="5"/>
  <c r="AE50" i="5"/>
  <c r="AV49" i="5"/>
  <c r="T49" i="5"/>
  <c r="AY48" i="5"/>
  <c r="X48" i="5"/>
  <c r="BM47" i="5"/>
  <c r="AM47" i="5"/>
  <c r="BB46" i="5"/>
  <c r="AC46" i="5"/>
  <c r="BK44" i="5"/>
  <c r="AM44" i="5"/>
  <c r="AB55" i="5"/>
  <c r="AE54" i="5"/>
  <c r="AN53" i="5"/>
  <c r="AL52" i="5"/>
  <c r="BE51" i="5"/>
  <c r="X51" i="5"/>
  <c r="BI50" i="5"/>
  <c r="AD50" i="5"/>
  <c r="AU49" i="5"/>
  <c r="S49" i="5"/>
  <c r="AW48" i="5"/>
  <c r="V48" i="5"/>
  <c r="BK47" i="5"/>
  <c r="AL47" i="5"/>
  <c r="BA46" i="5"/>
  <c r="AB46" i="5"/>
  <c r="Y55" i="5"/>
  <c r="AC54" i="5"/>
  <c r="AM53" i="5"/>
  <c r="BT52" i="5"/>
  <c r="AH52" i="5"/>
  <c r="BD51" i="5"/>
  <c r="W51" i="5"/>
  <c r="BH50" i="5"/>
  <c r="AC50" i="5"/>
  <c r="AT49" i="5"/>
  <c r="AV48" i="5"/>
  <c r="U48" i="5"/>
  <c r="BJ47" i="5"/>
  <c r="AK47" i="5"/>
  <c r="AZ46" i="5"/>
  <c r="AA46" i="5"/>
  <c r="BI44" i="5"/>
  <c r="AJ44" i="5"/>
  <c r="X55" i="5"/>
  <c r="Z54" i="5"/>
  <c r="AL53" i="5"/>
  <c r="BR52" i="5"/>
  <c r="AF52" i="5"/>
  <c r="BA51" i="5"/>
  <c r="V51" i="5"/>
  <c r="BG50" i="5"/>
  <c r="AB50" i="5"/>
  <c r="AS49" i="5"/>
  <c r="AU48" i="5"/>
  <c r="T48" i="5"/>
  <c r="BI47" i="5"/>
  <c r="AJ47" i="5"/>
  <c r="AY46" i="5"/>
  <c r="Z46" i="5"/>
  <c r="BH44" i="5"/>
  <c r="AI44" i="5"/>
  <c r="W55" i="5"/>
  <c r="Y54" i="5"/>
  <c r="AJ53" i="5"/>
  <c r="BQ52" i="5"/>
  <c r="AB52" i="5"/>
  <c r="AZ51" i="5"/>
  <c r="U51" i="5"/>
  <c r="BF50" i="5"/>
  <c r="AA50" i="5"/>
  <c r="BT49" i="5"/>
  <c r="AR49" i="5"/>
  <c r="T55" i="5"/>
  <c r="U54" i="5"/>
  <c r="Y53" i="5"/>
  <c r="BN52" i="5"/>
  <c r="Y52" i="5"/>
  <c r="AW51" i="5"/>
  <c r="BC50" i="5"/>
  <c r="X50" i="5"/>
  <c r="BQ49" i="5"/>
  <c r="AO49" i="5"/>
  <c r="BQ48" i="5"/>
  <c r="AP48" i="5"/>
  <c r="BE47" i="5"/>
  <c r="AD47" i="5"/>
  <c r="BT46" i="5"/>
  <c r="AU46" i="5"/>
  <c r="V46" i="5"/>
  <c r="BC44" i="5"/>
  <c r="AX55" i="5"/>
  <c r="BG54" i="5"/>
  <c r="BR53" i="5"/>
  <c r="AZ52" i="5"/>
  <c r="AK51" i="5"/>
  <c r="AU50" i="5"/>
  <c r="BJ49" i="5"/>
  <c r="AB49" i="5"/>
  <c r="BI48" i="5"/>
  <c r="AI48" i="5"/>
  <c r="AV47" i="5"/>
  <c r="W47" i="5"/>
  <c r="AW55" i="5"/>
  <c r="BF54" i="5"/>
  <c r="BQ53" i="5"/>
  <c r="AY52" i="5"/>
  <c r="BP51" i="5"/>
  <c r="AH51" i="5"/>
  <c r="AL50" i="5"/>
  <c r="BI49" i="5"/>
  <c r="AA49" i="5"/>
  <c r="BH48" i="5"/>
  <c r="AH48" i="5"/>
  <c r="BT47" i="5"/>
  <c r="AU47" i="5"/>
  <c r="V47" i="5"/>
  <c r="BL46" i="5"/>
  <c r="AK46" i="5"/>
  <c r="BR44" i="5"/>
  <c r="AT44" i="5"/>
  <c r="V44" i="5"/>
  <c r="AQ55" i="5"/>
  <c r="AQ52" i="5"/>
  <c r="AD51" i="5"/>
  <c r="AK50" i="5"/>
  <c r="BK49" i="5"/>
  <c r="BF48" i="5"/>
  <c r="BP47" i="5"/>
  <c r="Z47" i="5"/>
  <c r="AT46" i="5"/>
  <c r="BE44" i="5"/>
  <c r="Z44" i="5"/>
  <c r="BP38" i="5"/>
  <c r="AS38" i="5"/>
  <c r="V38" i="5"/>
  <c r="AZ37" i="5"/>
  <c r="AC37" i="5"/>
  <c r="BG36" i="5"/>
  <c r="AJ36" i="5"/>
  <c r="BM35" i="5"/>
  <c r="AP35" i="5"/>
  <c r="S35" i="5"/>
  <c r="BT34" i="5"/>
  <c r="AW34" i="5"/>
  <c r="Z34" i="5"/>
  <c r="BH33" i="5"/>
  <c r="AL33" i="5"/>
  <c r="AZ32" i="5"/>
  <c r="AD32" i="5"/>
  <c r="BN31" i="5"/>
  <c r="AR31" i="5"/>
  <c r="V31" i="5"/>
  <c r="V55" i="5"/>
  <c r="AO52" i="5"/>
  <c r="AC51" i="5"/>
  <c r="AJ50" i="5"/>
  <c r="BH49" i="5"/>
  <c r="BE48" i="5"/>
  <c r="BO47" i="5"/>
  <c r="Y47" i="5"/>
  <c r="AS46" i="5"/>
  <c r="BD44" i="5"/>
  <c r="Y44" i="5"/>
  <c r="BO38" i="5"/>
  <c r="AR38" i="5"/>
  <c r="U38" i="5"/>
  <c r="U55" i="5"/>
  <c r="AA52" i="5"/>
  <c r="AB51" i="5"/>
  <c r="AI50" i="5"/>
  <c r="BB49" i="5"/>
  <c r="BD48" i="5"/>
  <c r="BH47" i="5"/>
  <c r="X47" i="5"/>
  <c r="AR46" i="5"/>
  <c r="BB44" i="5"/>
  <c r="X44" i="5"/>
  <c r="Z52" i="5"/>
  <c r="AA51" i="5"/>
  <c r="AH50" i="5"/>
  <c r="AZ49" i="5"/>
  <c r="BC48" i="5"/>
  <c r="BG47" i="5"/>
  <c r="U47" i="5"/>
  <c r="AQ46" i="5"/>
  <c r="BA44" i="5"/>
  <c r="W44" i="5"/>
  <c r="BM38" i="5"/>
  <c r="AP38" i="5"/>
  <c r="S38" i="5"/>
  <c r="BT37" i="5"/>
  <c r="AW37" i="5"/>
  <c r="Z37" i="5"/>
  <c r="BM54" i="5"/>
  <c r="BS53" i="5"/>
  <c r="BO51" i="5"/>
  <c r="T50" i="5"/>
  <c r="AN49" i="5"/>
  <c r="AN48" i="5"/>
  <c r="AY47" i="5"/>
  <c r="BR46" i="5"/>
  <c r="AI46" i="5"/>
  <c r="BT55" i="5"/>
  <c r="AV54" i="5"/>
  <c r="Z53" i="5"/>
  <c r="BK52" i="5"/>
  <c r="AV51" i="5"/>
  <c r="BD50" i="5"/>
  <c r="BS49" i="5"/>
  <c r="Y49" i="5"/>
  <c r="BP48" i="5"/>
  <c r="AE48" i="5"/>
  <c r="AO47" i="5"/>
  <c r="BH46" i="5"/>
  <c r="BS55" i="5"/>
  <c r="AT54" i="5"/>
  <c r="X53" i="5"/>
  <c r="BH52" i="5"/>
  <c r="AU51" i="5"/>
  <c r="BB50" i="5"/>
  <c r="BR49" i="5"/>
  <c r="X49" i="5"/>
  <c r="BN48" i="5"/>
  <c r="AD48" i="5"/>
  <c r="AI47" i="5"/>
  <c r="BG46" i="5"/>
  <c r="T46" i="5"/>
  <c r="AV53" i="5"/>
  <c r="Z50" i="5"/>
  <c r="AY49" i="5"/>
  <c r="AL48" i="5"/>
  <c r="AH47" i="5"/>
  <c r="AP46" i="5"/>
  <c r="BM44" i="5"/>
  <c r="T44" i="5"/>
  <c r="BK38" i="5"/>
  <c r="AK38" i="5"/>
  <c r="BS37" i="5"/>
  <c r="AT37" i="5"/>
  <c r="T37" i="5"/>
  <c r="BQ36" i="5"/>
  <c r="AS36" i="5"/>
  <c r="U36" i="5"/>
  <c r="BP35" i="5"/>
  <c r="AR35" i="5"/>
  <c r="T35" i="5"/>
  <c r="BO34" i="5"/>
  <c r="AQ34" i="5"/>
  <c r="AT53" i="5"/>
  <c r="Y50" i="5"/>
  <c r="AX49" i="5"/>
  <c r="AK48" i="5"/>
  <c r="AE47" i="5"/>
  <c r="AO46" i="5"/>
  <c r="BJ44" i="5"/>
  <c r="S44" i="5"/>
  <c r="BJ38" i="5"/>
  <c r="AH53" i="5"/>
  <c r="BL55" i="5"/>
  <c r="W53" i="5"/>
  <c r="S50" i="5"/>
  <c r="AP49" i="5"/>
  <c r="AG48" i="5"/>
  <c r="AB47" i="5"/>
  <c r="AJ46" i="5"/>
  <c r="AZ44" i="5"/>
  <c r="BH38" i="5"/>
  <c r="AH38" i="5"/>
  <c r="BP37" i="5"/>
  <c r="AP37" i="5"/>
  <c r="BN36" i="5"/>
  <c r="AP36" i="5"/>
  <c r="BL35" i="5"/>
  <c r="AN35" i="5"/>
  <c r="AV55" i="5"/>
  <c r="U53" i="5"/>
  <c r="AM49" i="5"/>
  <c r="AF48" i="5"/>
  <c r="AA47" i="5"/>
  <c r="AG46" i="5"/>
  <c r="AY44" i="5"/>
  <c r="BG38" i="5"/>
  <c r="AG38" i="5"/>
  <c r="BO37" i="5"/>
  <c r="AO37" i="5"/>
  <c r="BM36" i="5"/>
  <c r="AO36" i="5"/>
  <c r="AT55" i="5"/>
  <c r="AL49" i="5"/>
  <c r="Z48" i="5"/>
  <c r="S47" i="5"/>
  <c r="AF46" i="5"/>
  <c r="AW44" i="5"/>
  <c r="BF38" i="5"/>
  <c r="AF38" i="5"/>
  <c r="BN37" i="5"/>
  <c r="AN37" i="5"/>
  <c r="BL36" i="5"/>
  <c r="AN36" i="5"/>
  <c r="BJ35" i="5"/>
  <c r="AL35" i="5"/>
  <c r="BI34" i="5"/>
  <c r="AK34" i="5"/>
  <c r="BM33" i="5"/>
  <c r="AP33" i="5"/>
  <c r="S33" i="5"/>
  <c r="BT32" i="5"/>
  <c r="AW32" i="5"/>
  <c r="Z32" i="5"/>
  <c r="BD31" i="5"/>
  <c r="AG31" i="5"/>
  <c r="BK54" i="5"/>
  <c r="BP52" i="5"/>
  <c r="BN51" i="5"/>
  <c r="BJ54" i="5"/>
  <c r="BO52" i="5"/>
  <c r="BM51" i="5"/>
  <c r="Z49" i="5"/>
  <c r="BS47" i="5"/>
  <c r="W46" i="5"/>
  <c r="AR44" i="5"/>
  <c r="BB38" i="5"/>
  <c r="AA38" i="5"/>
  <c r="BI37" i="5"/>
  <c r="AJ37" i="5"/>
  <c r="BH36" i="5"/>
  <c r="AH36" i="5"/>
  <c r="BF35" i="5"/>
  <c r="AH35" i="5"/>
  <c r="X54" i="5"/>
  <c r="AS52" i="5"/>
  <c r="AO51" i="5"/>
  <c r="BE50" i="5"/>
  <c r="BJ48" i="5"/>
  <c r="AZ47" i="5"/>
  <c r="BM46" i="5"/>
  <c r="AG44" i="5"/>
  <c r="AM21" i="5"/>
  <c r="BI21" i="5"/>
  <c r="AE22" i="5"/>
  <c r="BA22" i="5"/>
  <c r="BA39" i="5" s="1"/>
  <c r="BY22" i="5"/>
  <c r="CU22" i="5"/>
  <c r="CU39" i="5" s="1"/>
  <c r="DQ22" i="5"/>
  <c r="DQ39" i="5" s="1"/>
  <c r="BC25" i="5"/>
  <c r="W31" i="5"/>
  <c r="AU31" i="5"/>
  <c r="BS31" i="5"/>
  <c r="CR31" i="5"/>
  <c r="DP31" i="5"/>
  <c r="W32" i="5"/>
  <c r="AU32" i="5"/>
  <c r="BS32" i="5"/>
  <c r="CT32" i="5"/>
  <c r="DR32" i="5"/>
  <c r="X33" i="5"/>
  <c r="AV33" i="5"/>
  <c r="BT33" i="5"/>
  <c r="CS33" i="5"/>
  <c r="DR33" i="5"/>
  <c r="AD34" i="5"/>
  <c r="BD34" i="5"/>
  <c r="CE34" i="5"/>
  <c r="DJ34" i="5"/>
  <c r="AE35" i="5"/>
  <c r="BH35" i="5"/>
  <c r="CQ35" i="5"/>
  <c r="DT35" i="5"/>
  <c r="AT36" i="5"/>
  <c r="BX36" i="5"/>
  <c r="DC36" i="5"/>
  <c r="AB37" i="5"/>
  <c r="BG37" i="5"/>
  <c r="CS37" i="5"/>
  <c r="AD38" i="5"/>
  <c r="BQ38" i="5"/>
  <c r="CX38" i="5"/>
  <c r="AP44" i="5"/>
  <c r="CY44" i="5"/>
  <c r="CP46" i="5"/>
  <c r="BR48" i="5"/>
  <c r="CI49" i="5"/>
  <c r="DT50" i="5"/>
  <c r="BK51" i="5"/>
  <c r="BZ27" i="5"/>
  <c r="BZ43" i="5"/>
  <c r="CV45" i="5"/>
  <c r="CV27" i="5"/>
  <c r="CV28" i="5"/>
  <c r="DR27" i="5"/>
  <c r="DR43" i="5"/>
  <c r="X31" i="5"/>
  <c r="AV31" i="5"/>
  <c r="BT31" i="5"/>
  <c r="CS31" i="5"/>
  <c r="DQ31" i="5"/>
  <c r="X32" i="5"/>
  <c r="AV32" i="5"/>
  <c r="CU32" i="5"/>
  <c r="DS32" i="5"/>
  <c r="Y33" i="5"/>
  <c r="AW33" i="5"/>
  <c r="CT33" i="5"/>
  <c r="DS33" i="5"/>
  <c r="AE34" i="5"/>
  <c r="BE34" i="5"/>
  <c r="CF34" i="5"/>
  <c r="DK34" i="5"/>
  <c r="AF35" i="5"/>
  <c r="BI35" i="5"/>
  <c r="CR35" i="5"/>
  <c r="DU35" i="5"/>
  <c r="AU36" i="5"/>
  <c r="BY36" i="5"/>
  <c r="DD36" i="5"/>
  <c r="AD37" i="5"/>
  <c r="BH37" i="5"/>
  <c r="CV37" i="5"/>
  <c r="AE38" i="5"/>
  <c r="BR38" i="5"/>
  <c r="CY38" i="5"/>
  <c r="AQ44" i="5"/>
  <c r="DB44" i="5"/>
  <c r="S46" i="5"/>
  <c r="CV46" i="5"/>
  <c r="BW47" i="5"/>
  <c r="BS48" i="5"/>
  <c r="CJ49" i="5"/>
  <c r="BL51" i="5"/>
  <c r="V52" i="5"/>
  <c r="S54" i="5"/>
  <c r="AR55" i="5"/>
  <c r="BC43" i="5"/>
  <c r="BC27" i="5"/>
  <c r="CA22" i="5"/>
  <c r="CW22" i="5"/>
  <c r="DS22" i="5"/>
  <c r="DR29" i="5"/>
  <c r="Y31" i="5"/>
  <c r="AW31" i="5"/>
  <c r="CT31" i="5"/>
  <c r="DR31" i="5"/>
  <c r="Y32" i="5"/>
  <c r="AX32" i="5"/>
  <c r="BX32" i="5"/>
  <c r="CV32" i="5"/>
  <c r="DT32" i="5"/>
  <c r="Z33" i="5"/>
  <c r="AX33" i="5"/>
  <c r="BW33" i="5"/>
  <c r="CU33" i="5"/>
  <c r="DT33" i="5"/>
  <c r="AF34" i="5"/>
  <c r="BF34" i="5"/>
  <c r="CG34" i="5"/>
  <c r="DM34" i="5"/>
  <c r="AG35" i="5"/>
  <c r="BK35" i="5"/>
  <c r="CS35" i="5"/>
  <c r="DV35" i="5"/>
  <c r="AV36" i="5"/>
  <c r="BZ36" i="5"/>
  <c r="DF36" i="5"/>
  <c r="AE37" i="5"/>
  <c r="BJ37" i="5"/>
  <c r="CX37" i="5"/>
  <c r="AI38" i="5"/>
  <c r="BS38" i="5"/>
  <c r="CZ38" i="5"/>
  <c r="DU39" i="5"/>
  <c r="DT39" i="5"/>
  <c r="BZ39" i="5"/>
  <c r="DS39" i="5"/>
  <c r="CV39" i="5"/>
  <c r="BY39" i="5"/>
  <c r="BW39" i="5"/>
  <c r="CG39" i="5"/>
  <c r="DG39" i="5"/>
  <c r="CF39" i="5"/>
  <c r="DD39" i="5"/>
  <c r="CC39" i="5"/>
  <c r="DC39" i="5"/>
  <c r="CB39" i="5"/>
  <c r="CY39" i="5"/>
  <c r="CI39" i="5"/>
  <c r="AS44" i="5"/>
  <c r="DC44" i="5"/>
  <c r="U46" i="5"/>
  <c r="CX46" i="5"/>
  <c r="BZ47" i="5"/>
  <c r="CK49" i="5"/>
  <c r="W52" i="5"/>
  <c r="W54" i="5"/>
  <c r="AS55" i="5"/>
  <c r="AQ42" i="5" l="1"/>
  <c r="AQ58" i="5" s="1"/>
  <c r="AQ59" i="5" s="1"/>
  <c r="FW42" i="5"/>
  <c r="EA29" i="5"/>
  <c r="EA25" i="5"/>
  <c r="DI23" i="5"/>
  <c r="DL42" i="5"/>
  <c r="DL30" i="5"/>
  <c r="CL30" i="5"/>
  <c r="T39" i="5"/>
  <c r="BJ30" i="5"/>
  <c r="BJ56" i="5" s="1"/>
  <c r="BX42" i="5"/>
  <c r="Y28" i="5"/>
  <c r="Y29" i="5"/>
  <c r="Y25" i="5"/>
  <c r="AS42" i="5"/>
  <c r="DI45" i="5"/>
  <c r="T24" i="5"/>
  <c r="T56" i="5" s="1"/>
  <c r="AY45" i="5"/>
  <c r="AY27" i="5"/>
  <c r="AY29" i="5"/>
  <c r="CX42" i="5"/>
  <c r="DE23" i="5"/>
  <c r="AT30" i="5"/>
  <c r="AT56" i="5" s="1"/>
  <c r="AT57" i="5" s="1"/>
  <c r="AT61" i="5" s="1"/>
  <c r="EE26" i="5"/>
  <c r="DE27" i="5"/>
  <c r="AR29" i="5"/>
  <c r="FA27" i="5"/>
  <c r="CJ29" i="5"/>
  <c r="DE45" i="5"/>
  <c r="FV27" i="5"/>
  <c r="AR45" i="5"/>
  <c r="S41" i="5"/>
  <c r="FR39" i="5"/>
  <c r="FR58" i="5" s="1"/>
  <c r="FR59" i="5" s="1"/>
  <c r="DT26" i="5"/>
  <c r="DT56" i="5" s="1"/>
  <c r="CJ27" i="5"/>
  <c r="DE43" i="5"/>
  <c r="DE58" i="5" s="1"/>
  <c r="DE59" i="5" s="1"/>
  <c r="FV28" i="5"/>
  <c r="S24" i="5"/>
  <c r="FH27" i="5"/>
  <c r="AY40" i="5"/>
  <c r="S40" i="5"/>
  <c r="T29" i="5"/>
  <c r="FK41" i="5"/>
  <c r="CX27" i="5"/>
  <c r="AU42" i="5"/>
  <c r="FD26" i="5"/>
  <c r="FF29" i="5"/>
  <c r="FC45" i="5"/>
  <c r="FQ30" i="5"/>
  <c r="BE30" i="5"/>
  <c r="EE27" i="5"/>
  <c r="CJ45" i="5"/>
  <c r="DE28" i="5"/>
  <c r="DE56" i="5" s="1"/>
  <c r="CY56" i="5"/>
  <c r="CY57" i="5" s="1"/>
  <c r="FV41" i="5"/>
  <c r="DH27" i="5"/>
  <c r="DH25" i="5"/>
  <c r="BN42" i="5"/>
  <c r="AZ40" i="5"/>
  <c r="T43" i="5"/>
  <c r="T58" i="5" s="1"/>
  <c r="T59" i="5" s="1"/>
  <c r="FP27" i="5"/>
  <c r="FF43" i="5"/>
  <c r="S39" i="5"/>
  <c r="S58" i="5" s="1"/>
  <c r="S59" i="5" s="1"/>
  <c r="FC43" i="5"/>
  <c r="BE42" i="5"/>
  <c r="BC30" i="5"/>
  <c r="CJ24" i="5"/>
  <c r="AK23" i="5"/>
  <c r="AR23" i="5"/>
  <c r="FV45" i="5"/>
  <c r="AP30" i="5"/>
  <c r="CN42" i="5"/>
  <c r="CN30" i="5"/>
  <c r="FS27" i="5"/>
  <c r="DH39" i="5"/>
  <c r="T28" i="5"/>
  <c r="CX23" i="5"/>
  <c r="CX56" i="5" s="1"/>
  <c r="FC39" i="5"/>
  <c r="AR27" i="5"/>
  <c r="Y39" i="5"/>
  <c r="DH29" i="5"/>
  <c r="EF42" i="5"/>
  <c r="AG30" i="5"/>
  <c r="BC42" i="5"/>
  <c r="BC58" i="5" s="1"/>
  <c r="BC59" i="5" s="1"/>
  <c r="CJ28" i="5"/>
  <c r="BP26" i="5"/>
  <c r="FV23" i="5"/>
  <c r="DT23" i="5"/>
  <c r="DT28" i="5"/>
  <c r="AW40" i="5"/>
  <c r="AW43" i="5"/>
  <c r="AW28" i="5"/>
  <c r="AW29" i="5"/>
  <c r="AW25" i="5"/>
  <c r="AW45" i="5"/>
  <c r="T45" i="5"/>
  <c r="S28" i="5"/>
  <c r="EA41" i="5"/>
  <c r="AY25" i="5"/>
  <c r="FQ27" i="5"/>
  <c r="FQ56" i="5" s="1"/>
  <c r="FQ57" i="5" s="1"/>
  <c r="FI26" i="5"/>
  <c r="FI56" i="5" s="1"/>
  <c r="DT45" i="5"/>
  <c r="ER42" i="5"/>
  <c r="DT27" i="5"/>
  <c r="AG42" i="5"/>
  <c r="AG58" i="5" s="1"/>
  <c r="AG59" i="5" s="1"/>
  <c r="CJ23" i="5"/>
  <c r="CJ56" i="5" s="1"/>
  <c r="T26" i="5"/>
  <c r="FV25" i="5"/>
  <c r="FV56" i="5" s="1"/>
  <c r="BY42" i="5"/>
  <c r="CM39" i="5"/>
  <c r="CM28" i="5"/>
  <c r="CQ45" i="5"/>
  <c r="CQ25" i="5"/>
  <c r="CQ56" i="5" s="1"/>
  <c r="Y24" i="5"/>
  <c r="BP43" i="5"/>
  <c r="S26" i="5"/>
  <c r="FY41" i="5"/>
  <c r="CM25" i="5"/>
  <c r="EA39" i="5"/>
  <c r="EA58" i="5" s="1"/>
  <c r="EA59" i="5" s="1"/>
  <c r="AY26" i="5"/>
  <c r="FI27" i="5"/>
  <c r="U27" i="5"/>
  <c r="U56" i="5" s="1"/>
  <c r="FD27" i="5"/>
  <c r="DU26" i="5"/>
  <c r="DU56" i="5" s="1"/>
  <c r="AI30" i="5"/>
  <c r="AI56" i="5" s="1"/>
  <c r="BZ26" i="5"/>
  <c r="EH27" i="5"/>
  <c r="CD28" i="5"/>
  <c r="CJ39" i="5"/>
  <c r="CJ58" i="5" s="1"/>
  <c r="CJ59" i="5" s="1"/>
  <c r="Y23" i="5"/>
  <c r="FV24" i="5"/>
  <c r="BG25" i="5"/>
  <c r="BG40" i="5"/>
  <c r="BG24" i="5"/>
  <c r="EY42" i="5"/>
  <c r="EY30" i="5"/>
  <c r="DR25" i="5"/>
  <c r="DR23" i="5"/>
  <c r="DR39" i="5"/>
  <c r="DR45" i="5"/>
  <c r="Y27" i="5"/>
  <c r="CK42" i="5"/>
  <c r="S43" i="5"/>
  <c r="Y41" i="5"/>
  <c r="CM24" i="5"/>
  <c r="AY28" i="5"/>
  <c r="U28" i="5"/>
  <c r="AY39" i="5"/>
  <c r="AY58" i="5" s="1"/>
  <c r="AY59" i="5" s="1"/>
  <c r="DR26" i="5"/>
  <c r="DR56" i="5" s="1"/>
  <c r="CB27" i="5"/>
  <c r="CD29" i="5"/>
  <c r="CJ43" i="5"/>
  <c r="AW26" i="5"/>
  <c r="CL24" i="5"/>
  <c r="FV29" i="5"/>
  <c r="DI42" i="5"/>
  <c r="DR28" i="5"/>
  <c r="CM42" i="5"/>
  <c r="FV26" i="5"/>
  <c r="AR25" i="5"/>
  <c r="S45" i="5"/>
  <c r="EB27" i="5"/>
  <c r="Y43" i="5"/>
  <c r="CY42" i="5"/>
  <c r="CX45" i="5"/>
  <c r="EB26" i="5"/>
  <c r="EA43" i="5"/>
  <c r="AY41" i="5"/>
  <c r="BK30" i="5"/>
  <c r="BK56" i="5" s="1"/>
  <c r="ED26" i="5"/>
  <c r="CX30" i="5"/>
  <c r="BP45" i="5"/>
  <c r="AR41" i="5"/>
  <c r="CD27" i="5"/>
  <c r="CX24" i="5"/>
  <c r="FV39" i="5"/>
  <c r="AR39" i="5"/>
  <c r="EC27" i="5"/>
  <c r="AR40" i="5"/>
  <c r="CX28" i="5"/>
  <c r="EA23" i="5"/>
  <c r="EW27" i="5"/>
  <c r="S27" i="5"/>
  <c r="CE29" i="5"/>
  <c r="DI25" i="5"/>
  <c r="DI56" i="5" s="1"/>
  <c r="BI29" i="5"/>
  <c r="AH30" i="5"/>
  <c r="AH56" i="5" s="1"/>
  <c r="BP23" i="5"/>
  <c r="BP56" i="5" s="1"/>
  <c r="BB30" i="5"/>
  <c r="DH24" i="5"/>
  <c r="DH56" i="5" s="1"/>
  <c r="AQ45" i="5"/>
  <c r="AQ25" i="5"/>
  <c r="AQ56" i="5" s="1"/>
  <c r="AQ43" i="5"/>
  <c r="AQ28" i="5"/>
  <c r="AQ29" i="5"/>
  <c r="CG30" i="5"/>
  <c r="EC26" i="5"/>
  <c r="EL26" i="5"/>
  <c r="DI24" i="5"/>
  <c r="FF26" i="5"/>
  <c r="BJ42" i="5"/>
  <c r="AT42" i="5"/>
  <c r="DI43" i="5"/>
  <c r="CD39" i="5"/>
  <c r="AR28" i="5"/>
  <c r="EA24" i="5"/>
  <c r="EA56" i="5" s="1"/>
  <c r="Y45" i="5"/>
  <c r="AY23" i="5"/>
  <c r="AY56" i="5" s="1"/>
  <c r="FN26" i="5"/>
  <c r="FN56" i="5" s="1"/>
  <c r="FB27" i="5"/>
  <c r="CD24" i="5"/>
  <c r="DJ42" i="5"/>
  <c r="DJ30" i="5"/>
  <c r="AA58" i="5"/>
  <c r="AA59" i="5" s="1"/>
  <c r="FF39" i="5"/>
  <c r="FF58" i="5" s="1"/>
  <c r="FF59" i="5" s="1"/>
  <c r="AY43" i="5"/>
  <c r="EA28" i="5"/>
  <c r="FB26" i="5"/>
  <c r="EM27" i="5"/>
  <c r="BN56" i="5"/>
  <c r="CX25" i="5"/>
  <c r="CX43" i="5"/>
  <c r="S25" i="5"/>
  <c r="GB27" i="5"/>
  <c r="CD23" i="5"/>
  <c r="BF42" i="5"/>
  <c r="EF27" i="5"/>
  <c r="DK30" i="5"/>
  <c r="EA45" i="5"/>
  <c r="CD45" i="5"/>
  <c r="DI27" i="5"/>
  <c r="EA26" i="5"/>
  <c r="CD43" i="5"/>
  <c r="DI39" i="5"/>
  <c r="BI24" i="5"/>
  <c r="BL56" i="5"/>
  <c r="BL60" i="5" s="1"/>
  <c r="DG23" i="5"/>
  <c r="DG25" i="5"/>
  <c r="DG27" i="5"/>
  <c r="DG28" i="5"/>
  <c r="CK30" i="5"/>
  <c r="CX39" i="5"/>
  <c r="CQ28" i="5"/>
  <c r="DO25" i="5"/>
  <c r="BO30" i="5"/>
  <c r="DG26" i="5"/>
  <c r="CG42" i="5"/>
  <c r="DF27" i="5"/>
  <c r="CQ27" i="5"/>
  <c r="BP41" i="5"/>
  <c r="DH28" i="5"/>
  <c r="BO42" i="5"/>
  <c r="BO58" i="5" s="1"/>
  <c r="BO59" i="5" s="1"/>
  <c r="DG45" i="5"/>
  <c r="EA27" i="5"/>
  <c r="AO58" i="5"/>
  <c r="AO59" i="5" s="1"/>
  <c r="DF29" i="5"/>
  <c r="BG41" i="5"/>
  <c r="BG58" i="5" s="1"/>
  <c r="BG59" i="5" s="1"/>
  <c r="CE24" i="5"/>
  <c r="BI43" i="5"/>
  <c r="S23" i="5"/>
  <c r="S56" i="5" s="1"/>
  <c r="DO23" i="5"/>
  <c r="EI30" i="5"/>
  <c r="AV28" i="5"/>
  <c r="AV40" i="5"/>
  <c r="AV25" i="5"/>
  <c r="BW42" i="5"/>
  <c r="BW30" i="5"/>
  <c r="BP39" i="5"/>
  <c r="AA57" i="5"/>
  <c r="AA60" i="4"/>
  <c r="AA57" i="4"/>
  <c r="AA61" i="4" s="1"/>
  <c r="DT57" i="5"/>
  <c r="BM58" i="4"/>
  <c r="BM59" i="4" s="1"/>
  <c r="CP56" i="5"/>
  <c r="Y57" i="4"/>
  <c r="Y61" i="4" s="1"/>
  <c r="Y60" i="4"/>
  <c r="BW56" i="5"/>
  <c r="Z57" i="4"/>
  <c r="DR57" i="5"/>
  <c r="BP57" i="4"/>
  <c r="BP61" i="4" s="1"/>
  <c r="BP60" i="4"/>
  <c r="AI60" i="4"/>
  <c r="AI57" i="4"/>
  <c r="FG56" i="4"/>
  <c r="FB56" i="5"/>
  <c r="BJ57" i="4"/>
  <c r="BJ61" i="4" s="1"/>
  <c r="BJ60" i="4"/>
  <c r="AD60" i="4"/>
  <c r="AD57" i="4"/>
  <c r="AD61" i="4" s="1"/>
  <c r="AH58" i="4"/>
  <c r="AH59" i="4" s="1"/>
  <c r="FX42" i="4"/>
  <c r="FX30" i="4"/>
  <c r="Y58" i="4"/>
  <c r="Y59" i="4" s="1"/>
  <c r="DA41" i="4"/>
  <c r="BF56" i="4"/>
  <c r="CW45" i="4"/>
  <c r="CW43" i="4"/>
  <c r="CW25" i="4"/>
  <c r="CW29" i="4"/>
  <c r="CW24" i="4"/>
  <c r="CW26" i="4"/>
  <c r="CW27" i="4"/>
  <c r="CW28" i="4"/>
  <c r="CW23" i="4"/>
  <c r="DM42" i="4"/>
  <c r="DM30" i="4"/>
  <c r="DV45" i="4"/>
  <c r="DV43" i="4"/>
  <c r="DV23" i="4"/>
  <c r="DV25" i="4"/>
  <c r="DV29" i="4"/>
  <c r="DV26" i="4"/>
  <c r="DV27" i="4"/>
  <c r="DV28" i="4"/>
  <c r="DV24" i="4"/>
  <c r="DV41" i="4"/>
  <c r="AE56" i="4"/>
  <c r="AZ56" i="4"/>
  <c r="CO23" i="4"/>
  <c r="EK23" i="4"/>
  <c r="AW56" i="4"/>
  <c r="AT56" i="4"/>
  <c r="BH42" i="5"/>
  <c r="BH30" i="5"/>
  <c r="BH56" i="5" s="1"/>
  <c r="CM26" i="5"/>
  <c r="EV42" i="5"/>
  <c r="EV30" i="5"/>
  <c r="BJ58" i="5"/>
  <c r="BJ59" i="5" s="1"/>
  <c r="BQ56" i="5"/>
  <c r="CF26" i="5"/>
  <c r="CF56" i="5" s="1"/>
  <c r="FQ25" i="4"/>
  <c r="FQ43" i="4"/>
  <c r="FQ27" i="4"/>
  <c r="FQ29" i="4"/>
  <c r="FQ28" i="4"/>
  <c r="FQ26" i="4"/>
  <c r="FQ24" i="4"/>
  <c r="FQ23" i="4"/>
  <c r="FQ56" i="4" s="1"/>
  <c r="FQ45" i="4"/>
  <c r="BG58" i="4"/>
  <c r="BG59" i="4" s="1"/>
  <c r="FA42" i="4"/>
  <c r="FA30" i="4"/>
  <c r="FW45" i="4"/>
  <c r="FW43" i="4"/>
  <c r="FW23" i="4"/>
  <c r="FW28" i="4"/>
  <c r="FW24" i="4"/>
  <c r="FW25" i="4"/>
  <c r="FW29" i="4"/>
  <c r="FW27" i="4"/>
  <c r="FW26" i="4"/>
  <c r="ES23" i="4"/>
  <c r="DR23" i="4"/>
  <c r="EK26" i="4"/>
  <c r="FS26" i="4"/>
  <c r="FV26" i="4"/>
  <c r="FU26" i="4"/>
  <c r="EJ26" i="4"/>
  <c r="EH26" i="4"/>
  <c r="CC42" i="4"/>
  <c r="CC30" i="4"/>
  <c r="FY23" i="4"/>
  <c r="FY56" i="4" s="1"/>
  <c r="CC23" i="4"/>
  <c r="DB23" i="4"/>
  <c r="FJ23" i="4"/>
  <c r="FJ56" i="4" s="1"/>
  <c r="DS45" i="5"/>
  <c r="DS43" i="5"/>
  <c r="DS28" i="5"/>
  <c r="DS25" i="5"/>
  <c r="DS29" i="5"/>
  <c r="DS23" i="5"/>
  <c r="DS24" i="5"/>
  <c r="DS27" i="5"/>
  <c r="DS26" i="5"/>
  <c r="AL42" i="5"/>
  <c r="AL58" i="5" s="1"/>
  <c r="AL59" i="5" s="1"/>
  <c r="AL30" i="5"/>
  <c r="AL56" i="5" s="1"/>
  <c r="AK30" i="5"/>
  <c r="AK56" i="5" s="1"/>
  <c r="EG41" i="5"/>
  <c r="FD58" i="5"/>
  <c r="FD59" i="5" s="1"/>
  <c r="BZ56" i="5"/>
  <c r="CH26" i="5"/>
  <c r="CH56" i="5" s="1"/>
  <c r="EM42" i="5"/>
  <c r="EM30" i="5"/>
  <c r="FR42" i="5"/>
  <c r="FR30" i="5"/>
  <c r="AS58" i="5"/>
  <c r="AS59" i="5" s="1"/>
  <c r="AU58" i="5"/>
  <c r="AU59" i="5" s="1"/>
  <c r="DW26" i="5"/>
  <c r="DK26" i="5"/>
  <c r="GB26" i="5"/>
  <c r="GB56" i="5" s="1"/>
  <c r="FP26" i="5"/>
  <c r="EH26" i="5"/>
  <c r="EF26" i="5"/>
  <c r="EF56" i="5" s="1"/>
  <c r="BT56" i="5"/>
  <c r="AZ58" i="4"/>
  <c r="AZ59" i="4" s="1"/>
  <c r="AL39" i="4"/>
  <c r="ED42" i="4"/>
  <c r="ED30" i="4"/>
  <c r="EZ45" i="4"/>
  <c r="EZ24" i="4"/>
  <c r="EZ23" i="4"/>
  <c r="EZ28" i="4"/>
  <c r="EZ29" i="4"/>
  <c r="EZ25" i="4"/>
  <c r="EZ26" i="4"/>
  <c r="EZ27" i="4"/>
  <c r="EZ43" i="4"/>
  <c r="FW41" i="4"/>
  <c r="S56" i="4"/>
  <c r="DX43" i="4"/>
  <c r="DX25" i="4"/>
  <c r="DX23" i="4"/>
  <c r="DX27" i="4"/>
  <c r="DX26" i="4"/>
  <c r="DX45" i="4"/>
  <c r="DX28" i="4"/>
  <c r="DX24" i="4"/>
  <c r="DX29" i="4"/>
  <c r="EJ23" i="4"/>
  <c r="EJ56" i="4" s="1"/>
  <c r="CF23" i="4"/>
  <c r="CF56" i="4" s="1"/>
  <c r="DK23" i="4"/>
  <c r="DK56" i="4" s="1"/>
  <c r="T42" i="4"/>
  <c r="T30" i="4"/>
  <c r="S42" i="4"/>
  <c r="S58" i="4" s="1"/>
  <c r="S59" i="4" s="1"/>
  <c r="S30" i="4"/>
  <c r="EG42" i="4"/>
  <c r="EF42" i="4"/>
  <c r="EG30" i="4"/>
  <c r="EF30" i="4"/>
  <c r="BW45" i="4"/>
  <c r="BW43" i="4"/>
  <c r="BW28" i="4"/>
  <c r="BW27" i="4"/>
  <c r="BW24" i="4"/>
  <c r="BW26" i="4"/>
  <c r="BW25" i="4"/>
  <c r="BW29" i="4"/>
  <c r="BW23" i="4"/>
  <c r="DE45" i="4"/>
  <c r="DE25" i="4"/>
  <c r="DE28" i="4"/>
  <c r="DE23" i="4"/>
  <c r="DE24" i="4"/>
  <c r="DE29" i="4"/>
  <c r="DE26" i="4"/>
  <c r="DE27" i="4"/>
  <c r="DE43" i="4"/>
  <c r="U60" i="4"/>
  <c r="U57" i="4"/>
  <c r="U61" i="4" s="1"/>
  <c r="BC58" i="4"/>
  <c r="BC59" i="4" s="1"/>
  <c r="CF42" i="5"/>
  <c r="CF30" i="5"/>
  <c r="CE30" i="5"/>
  <c r="BJ58" i="4"/>
  <c r="BJ59" i="4" s="1"/>
  <c r="BI42" i="4"/>
  <c r="BI30" i="4"/>
  <c r="EC41" i="4"/>
  <c r="CT45" i="4"/>
  <c r="CT43" i="4"/>
  <c r="CT24" i="4"/>
  <c r="CT28" i="4"/>
  <c r="CT27" i="4"/>
  <c r="CT26" i="4"/>
  <c r="CT25" i="4"/>
  <c r="CT29" i="4"/>
  <c r="CT41" i="4"/>
  <c r="CT23" i="4"/>
  <c r="CT56" i="4" s="1"/>
  <c r="CA42" i="4"/>
  <c r="CA30" i="4"/>
  <c r="DB42" i="4"/>
  <c r="DB30" i="4"/>
  <c r="EZ45" i="5"/>
  <c r="EZ43" i="5"/>
  <c r="EZ25" i="5"/>
  <c r="EZ29" i="5"/>
  <c r="EZ26" i="5"/>
  <c r="EZ24" i="5"/>
  <c r="EZ28" i="5"/>
  <c r="EZ27" i="5"/>
  <c r="EZ23" i="5"/>
  <c r="EA42" i="5"/>
  <c r="EA30" i="5"/>
  <c r="FZ45" i="5"/>
  <c r="FZ24" i="5"/>
  <c r="FZ25" i="5"/>
  <c r="FZ26" i="5"/>
  <c r="FZ43" i="5"/>
  <c r="FZ23" i="5"/>
  <c r="FZ29" i="5"/>
  <c r="FZ27" i="5"/>
  <c r="FZ28" i="5"/>
  <c r="CK26" i="5"/>
  <c r="CK56" i="5" s="1"/>
  <c r="EV43" i="5"/>
  <c r="EV45" i="5"/>
  <c r="EV23" i="5"/>
  <c r="EV26" i="5"/>
  <c r="EV28" i="5"/>
  <c r="EV29" i="5"/>
  <c r="EV24" i="5"/>
  <c r="EV27" i="5"/>
  <c r="EV39" i="5"/>
  <c r="EV25" i="5"/>
  <c r="BF58" i="4"/>
  <c r="BF59" i="4" s="1"/>
  <c r="EI41" i="5"/>
  <c r="BG42" i="5"/>
  <c r="BL43" i="4"/>
  <c r="BL45" i="4"/>
  <c r="BL29" i="4"/>
  <c r="BL23" i="4"/>
  <c r="BL28" i="4"/>
  <c r="BL24" i="4"/>
  <c r="BL25" i="4"/>
  <c r="BL27" i="4"/>
  <c r="BL26" i="4"/>
  <c r="W58" i="5"/>
  <c r="W59" i="5" s="1"/>
  <c r="BE58" i="5"/>
  <c r="BE59" i="5" s="1"/>
  <c r="FC26" i="5"/>
  <c r="EK26" i="5"/>
  <c r="EK56" i="5" s="1"/>
  <c r="DA42" i="5"/>
  <c r="FF45" i="4"/>
  <c r="FF29" i="4"/>
  <c r="FF28" i="4"/>
  <c r="FF27" i="4"/>
  <c r="FF26" i="4"/>
  <c r="FF43" i="4"/>
  <c r="FF24" i="4"/>
  <c r="FF25" i="4"/>
  <c r="FF23" i="4"/>
  <c r="FF56" i="4" s="1"/>
  <c r="AO43" i="4"/>
  <c r="AO29" i="4"/>
  <c r="AO26" i="4"/>
  <c r="AO23" i="4"/>
  <c r="AO24" i="4"/>
  <c r="AO25" i="4"/>
  <c r="AO27" i="4"/>
  <c r="AO45" i="4"/>
  <c r="AO28" i="4"/>
  <c r="BO42" i="4"/>
  <c r="BO30" i="4"/>
  <c r="AI58" i="4"/>
  <c r="AI59" i="4" s="1"/>
  <c r="BL39" i="4"/>
  <c r="AK42" i="4"/>
  <c r="AJ30" i="4"/>
  <c r="AK30" i="4"/>
  <c r="BA56" i="4"/>
  <c r="EX26" i="4"/>
  <c r="BC56" i="4"/>
  <c r="DI29" i="4"/>
  <c r="DI26" i="4"/>
  <c r="DI43" i="4"/>
  <c r="DI27" i="4"/>
  <c r="DI45" i="4"/>
  <c r="DI25" i="4"/>
  <c r="DI24" i="4"/>
  <c r="DI23" i="4"/>
  <c r="DI56" i="4" s="1"/>
  <c r="DI40" i="4"/>
  <c r="DI28" i="4"/>
  <c r="BW41" i="4"/>
  <c r="AG56" i="4"/>
  <c r="CA26" i="4"/>
  <c r="ED43" i="4"/>
  <c r="ED26" i="4"/>
  <c r="ED27" i="4"/>
  <c r="ED45" i="4"/>
  <c r="ED28" i="4"/>
  <c r="ED29" i="4"/>
  <c r="ED24" i="4"/>
  <c r="ED23" i="4"/>
  <c r="ED25" i="4"/>
  <c r="BR60" i="4"/>
  <c r="BR57" i="4"/>
  <c r="BR61" i="4" s="1"/>
  <c r="CE45" i="4"/>
  <c r="CE43" i="4"/>
  <c r="CE28" i="4"/>
  <c r="CE24" i="4"/>
  <c r="CE29" i="4"/>
  <c r="CE25" i="4"/>
  <c r="CE23" i="4"/>
  <c r="CE56" i="4" s="1"/>
  <c r="CE27" i="4"/>
  <c r="CE26" i="4"/>
  <c r="ET23" i="4"/>
  <c r="ET56" i="4" s="1"/>
  <c r="AP58" i="5"/>
  <c r="AP59" i="5" s="1"/>
  <c r="BB56" i="5"/>
  <c r="BI45" i="4"/>
  <c r="BI25" i="4"/>
  <c r="BI43" i="4"/>
  <c r="BI39" i="4"/>
  <c r="BI27" i="4"/>
  <c r="BI28" i="4"/>
  <c r="BI29" i="4"/>
  <c r="BI24" i="4"/>
  <c r="BI26" i="4"/>
  <c r="BI23" i="4"/>
  <c r="DE39" i="4"/>
  <c r="CI39" i="4"/>
  <c r="DU39" i="4"/>
  <c r="CY39" i="4"/>
  <c r="CY58" i="4" s="1"/>
  <c r="CY59" i="4" s="1"/>
  <c r="CC39" i="4"/>
  <c r="DI39" i="4"/>
  <c r="CK39" i="4"/>
  <c r="CK58" i="4" s="1"/>
  <c r="CK59" i="4" s="1"/>
  <c r="DH39" i="4"/>
  <c r="CJ39" i="4"/>
  <c r="DD39" i="4"/>
  <c r="CF39" i="4"/>
  <c r="CZ39" i="4"/>
  <c r="BX39" i="4"/>
  <c r="DX39" i="4"/>
  <c r="CV39" i="4"/>
  <c r="DW39" i="4"/>
  <c r="CU39" i="4"/>
  <c r="CU58" i="4" s="1"/>
  <c r="CU59" i="4" s="1"/>
  <c r="DV39" i="4"/>
  <c r="CT39" i="4"/>
  <c r="DT39" i="4"/>
  <c r="CS39" i="4"/>
  <c r="DQ39" i="4"/>
  <c r="CP39" i="4"/>
  <c r="CM39" i="4"/>
  <c r="CL39" i="4"/>
  <c r="DS39" i="4"/>
  <c r="CH39" i="4"/>
  <c r="DR39" i="4"/>
  <c r="DR58" i="4" s="1"/>
  <c r="DR59" i="4" s="1"/>
  <c r="CG39" i="4"/>
  <c r="CG58" i="4" s="1"/>
  <c r="CG59" i="4" s="1"/>
  <c r="DP39" i="4"/>
  <c r="CE39" i="4"/>
  <c r="DO39" i="4"/>
  <c r="CD39" i="4"/>
  <c r="DN39" i="4"/>
  <c r="CB39" i="4"/>
  <c r="DL39" i="4"/>
  <c r="BZ39" i="4"/>
  <c r="DA39" i="4"/>
  <c r="CX39" i="4"/>
  <c r="DB39" i="4"/>
  <c r="CW39" i="4"/>
  <c r="CW58" i="4" s="1"/>
  <c r="CW59" i="4" s="1"/>
  <c r="DM39" i="4"/>
  <c r="DJ39" i="4"/>
  <c r="DC39" i="4"/>
  <c r="DC58" i="4" s="1"/>
  <c r="DC59" i="4" s="1"/>
  <c r="DK39" i="4"/>
  <c r="DG39" i="4"/>
  <c r="DF39" i="4"/>
  <c r="CR39" i="4"/>
  <c r="CQ39" i="4"/>
  <c r="CO39" i="4"/>
  <c r="CO58" i="4" s="1"/>
  <c r="CO59" i="4" s="1"/>
  <c r="CN39" i="4"/>
  <c r="CN58" i="4" s="1"/>
  <c r="CN59" i="4" s="1"/>
  <c r="CA39" i="4"/>
  <c r="BW39" i="4"/>
  <c r="BY39" i="4"/>
  <c r="DW45" i="4"/>
  <c r="DW28" i="4"/>
  <c r="DW43" i="4"/>
  <c r="DW23" i="4"/>
  <c r="DW29" i="4"/>
  <c r="DW25" i="4"/>
  <c r="DW26" i="4"/>
  <c r="DW27" i="4"/>
  <c r="DW41" i="4"/>
  <c r="DW24" i="4"/>
  <c r="BR58" i="5"/>
  <c r="BR59" i="5" s="1"/>
  <c r="DC26" i="5"/>
  <c r="DC56" i="5" s="1"/>
  <c r="EU43" i="4"/>
  <c r="EU45" i="4"/>
  <c r="EU25" i="4"/>
  <c r="EU23" i="4"/>
  <c r="EU28" i="4"/>
  <c r="EU27" i="4"/>
  <c r="EU24" i="4"/>
  <c r="EU29" i="4"/>
  <c r="EU26" i="4"/>
  <c r="CW45" i="5"/>
  <c r="CW25" i="5"/>
  <c r="CW29" i="5"/>
  <c r="CW24" i="5"/>
  <c r="CW27" i="5"/>
  <c r="CW28" i="5"/>
  <c r="CW26" i="5"/>
  <c r="CW23" i="5"/>
  <c r="CW43" i="5"/>
  <c r="CH58" i="5"/>
  <c r="CH59" i="5" s="1"/>
  <c r="FK30" i="5"/>
  <c r="FK42" i="5"/>
  <c r="BL57" i="5"/>
  <c r="V58" i="4"/>
  <c r="V59" i="4" s="1"/>
  <c r="FN23" i="4"/>
  <c r="FN56" i="4" s="1"/>
  <c r="FJ27" i="5"/>
  <c r="FJ28" i="5"/>
  <c r="FJ25" i="5"/>
  <c r="FJ43" i="5"/>
  <c r="FJ23" i="5"/>
  <c r="FJ26" i="5"/>
  <c r="FJ29" i="5"/>
  <c r="FJ39" i="5"/>
  <c r="FJ24" i="5"/>
  <c r="FJ45" i="5"/>
  <c r="DA26" i="5"/>
  <c r="DA56" i="5" s="1"/>
  <c r="BY42" i="4"/>
  <c r="BY30" i="4"/>
  <c r="DV40" i="4"/>
  <c r="DL23" i="4"/>
  <c r="FR23" i="4"/>
  <c r="FR56" i="4" s="1"/>
  <c r="AW58" i="5"/>
  <c r="AW59" i="5" s="1"/>
  <c r="AY58" i="4"/>
  <c r="AY59" i="4" s="1"/>
  <c r="BZ42" i="4"/>
  <c r="BZ30" i="4"/>
  <c r="BQ58" i="5"/>
  <c r="BQ59" i="5" s="1"/>
  <c r="CD26" i="5"/>
  <c r="FD43" i="4"/>
  <c r="FD24" i="4"/>
  <c r="FD45" i="4"/>
  <c r="FD25" i="4"/>
  <c r="FD29" i="4"/>
  <c r="FD26" i="4"/>
  <c r="FD27" i="4"/>
  <c r="FD28" i="4"/>
  <c r="FD23" i="4"/>
  <c r="AN43" i="4"/>
  <c r="AN26" i="4"/>
  <c r="AN29" i="4"/>
  <c r="AN24" i="4"/>
  <c r="AN23" i="4"/>
  <c r="AN25" i="4"/>
  <c r="AN27" i="4"/>
  <c r="AN45" i="4"/>
  <c r="AN28" i="4"/>
  <c r="EZ42" i="4"/>
  <c r="EZ30" i="4"/>
  <c r="AC56" i="4"/>
  <c r="FG39" i="5"/>
  <c r="V56" i="5"/>
  <c r="AS56" i="5"/>
  <c r="EG26" i="4"/>
  <c r="EG27" i="4"/>
  <c r="EG45" i="4"/>
  <c r="EG43" i="4"/>
  <c r="EG24" i="4"/>
  <c r="EG28" i="4"/>
  <c r="EG23" i="4"/>
  <c r="EG29" i="4"/>
  <c r="EG25" i="4"/>
  <c r="X56" i="4"/>
  <c r="BO56" i="4"/>
  <c r="EQ23" i="4"/>
  <c r="EQ56" i="4" s="1"/>
  <c r="AU58" i="4"/>
  <c r="AU59" i="4" s="1"/>
  <c r="EP26" i="4"/>
  <c r="CE40" i="4"/>
  <c r="FP26" i="4"/>
  <c r="EU42" i="5"/>
  <c r="EU30" i="5"/>
  <c r="BA43" i="5"/>
  <c r="BA28" i="5"/>
  <c r="BA45" i="5"/>
  <c r="BA27" i="5"/>
  <c r="BA24" i="5"/>
  <c r="BA26" i="5"/>
  <c r="BA25" i="5"/>
  <c r="BA23" i="5"/>
  <c r="BA29" i="5"/>
  <c r="BA41" i="5"/>
  <c r="BA58" i="5" s="1"/>
  <c r="BA59" i="5" s="1"/>
  <c r="CG26" i="5"/>
  <c r="CG56" i="5" s="1"/>
  <c r="FY45" i="5"/>
  <c r="FY24" i="5"/>
  <c r="FY28" i="5"/>
  <c r="FY25" i="5"/>
  <c r="FY29" i="5"/>
  <c r="FY27" i="5"/>
  <c r="FY43" i="5"/>
  <c r="FY23" i="5"/>
  <c r="FY26" i="5"/>
  <c r="FS26" i="5"/>
  <c r="FO26" i="5"/>
  <c r="Z58" i="5"/>
  <c r="Z59" i="5" s="1"/>
  <c r="AB58" i="5"/>
  <c r="AB59" i="5" s="1"/>
  <c r="CL26" i="5"/>
  <c r="CL56" i="5" s="1"/>
  <c r="CN26" i="5"/>
  <c r="CN56" i="5" s="1"/>
  <c r="BR56" i="5"/>
  <c r="EI45" i="4"/>
  <c r="EI43" i="4"/>
  <c r="EI28" i="4"/>
  <c r="EI24" i="4"/>
  <c r="EI23" i="4"/>
  <c r="EI29" i="4"/>
  <c r="EI25" i="4"/>
  <c r="EI27" i="4"/>
  <c r="EI26" i="4"/>
  <c r="GB42" i="4"/>
  <c r="GB30" i="4"/>
  <c r="BK30" i="4"/>
  <c r="BK42" i="4"/>
  <c r="AK43" i="4"/>
  <c r="AK45" i="4"/>
  <c r="AK28" i="4"/>
  <c r="AK25" i="4"/>
  <c r="AK27" i="4"/>
  <c r="AK29" i="4"/>
  <c r="AK39" i="4"/>
  <c r="AK58" i="4" s="1"/>
  <c r="AK59" i="4" s="1"/>
  <c r="AK24" i="4"/>
  <c r="AK26" i="4"/>
  <c r="AK23" i="4"/>
  <c r="AK56" i="4" s="1"/>
  <c r="AN39" i="4"/>
  <c r="FM26" i="4"/>
  <c r="V56" i="4"/>
  <c r="DA42" i="4"/>
  <c r="GB26" i="4"/>
  <c r="ED41" i="4"/>
  <c r="ER23" i="4"/>
  <c r="ER56" i="4" s="1"/>
  <c r="DN40" i="4"/>
  <c r="DW40" i="4"/>
  <c r="EQ26" i="4"/>
  <c r="EY42" i="4"/>
  <c r="BZ26" i="4"/>
  <c r="EJ45" i="5"/>
  <c r="EJ29" i="5"/>
  <c r="EJ43" i="5"/>
  <c r="EJ27" i="5"/>
  <c r="EJ23" i="5"/>
  <c r="EJ26" i="5"/>
  <c r="EJ28" i="5"/>
  <c r="EJ24" i="5"/>
  <c r="EJ25" i="5"/>
  <c r="CF42" i="4"/>
  <c r="CF30" i="4"/>
  <c r="EE56" i="5"/>
  <c r="DR40" i="5"/>
  <c r="CV40" i="5"/>
  <c r="BZ40" i="5"/>
  <c r="DH40" i="5"/>
  <c r="CK40" i="5"/>
  <c r="CK58" i="5" s="1"/>
  <c r="CK59" i="5" s="1"/>
  <c r="DG40" i="5"/>
  <c r="CJ40" i="5"/>
  <c r="DF40" i="5"/>
  <c r="CI40" i="5"/>
  <c r="DE40" i="5"/>
  <c r="CH40" i="5"/>
  <c r="CY40" i="5"/>
  <c r="CY58" i="5" s="1"/>
  <c r="CY59" i="5" s="1"/>
  <c r="BW40" i="5"/>
  <c r="BW58" i="5" s="1"/>
  <c r="BW59" i="5" s="1"/>
  <c r="CX40" i="5"/>
  <c r="DW40" i="5"/>
  <c r="CU40" i="5"/>
  <c r="DV40" i="5"/>
  <c r="CT40" i="5"/>
  <c r="CT58" i="5" s="1"/>
  <c r="CT59" i="5" s="1"/>
  <c r="DU40" i="5"/>
  <c r="CS40" i="5"/>
  <c r="CS58" i="5" s="1"/>
  <c r="CS59" i="5" s="1"/>
  <c r="DP40" i="5"/>
  <c r="DP58" i="5" s="1"/>
  <c r="DP59" i="5" s="1"/>
  <c r="CO40" i="5"/>
  <c r="CN40" i="5"/>
  <c r="CN58" i="5" s="1"/>
  <c r="CN59" i="5" s="1"/>
  <c r="CM40" i="5"/>
  <c r="DX40" i="5"/>
  <c r="CL40" i="5"/>
  <c r="DT40" i="5"/>
  <c r="DT58" i="5" s="1"/>
  <c r="DT59" i="5" s="1"/>
  <c r="CG40" i="5"/>
  <c r="DS40" i="5"/>
  <c r="CF40" i="5"/>
  <c r="DM40" i="5"/>
  <c r="CB40" i="5"/>
  <c r="CB58" i="5" s="1"/>
  <c r="CB59" i="5" s="1"/>
  <c r="DB40" i="5"/>
  <c r="DJ40" i="5"/>
  <c r="DI40" i="5"/>
  <c r="DD40" i="5"/>
  <c r="DC40" i="5"/>
  <c r="CZ40" i="5"/>
  <c r="CW40" i="5"/>
  <c r="CR40" i="5"/>
  <c r="CR58" i="5" s="1"/>
  <c r="CR59" i="5" s="1"/>
  <c r="CQ40" i="5"/>
  <c r="CQ58" i="5" s="1"/>
  <c r="CQ59" i="5" s="1"/>
  <c r="BX40" i="5"/>
  <c r="BX58" i="5" s="1"/>
  <c r="BX59" i="5" s="1"/>
  <c r="CD40" i="5"/>
  <c r="CC40" i="5"/>
  <c r="CC58" i="5" s="1"/>
  <c r="CC59" i="5" s="1"/>
  <c r="CA40" i="5"/>
  <c r="BY40" i="5"/>
  <c r="DO40" i="5"/>
  <c r="DO58" i="5" s="1"/>
  <c r="DO59" i="5" s="1"/>
  <c r="DN40" i="5"/>
  <c r="DQ40" i="5"/>
  <c r="DL40" i="5"/>
  <c r="DL58" i="5" s="1"/>
  <c r="DL59" i="5" s="1"/>
  <c r="DK40" i="5"/>
  <c r="DA40" i="5"/>
  <c r="CP40" i="5"/>
  <c r="CE40" i="5"/>
  <c r="BM56" i="5"/>
  <c r="FY42" i="4"/>
  <c r="FY30" i="4"/>
  <c r="EN45" i="5"/>
  <c r="EN27" i="5"/>
  <c r="EN28" i="5"/>
  <c r="EN29" i="5"/>
  <c r="EN25" i="5"/>
  <c r="EN43" i="5"/>
  <c r="EN26" i="5"/>
  <c r="EN23" i="5"/>
  <c r="EN39" i="5"/>
  <c r="EN24" i="5"/>
  <c r="EN41" i="5"/>
  <c r="BK58" i="5"/>
  <c r="BK59" i="5" s="1"/>
  <c r="FZ45" i="4"/>
  <c r="FZ43" i="4"/>
  <c r="FZ24" i="4"/>
  <c r="FZ28" i="4"/>
  <c r="FZ25" i="4"/>
  <c r="FZ23" i="4"/>
  <c r="FZ29" i="4"/>
  <c r="FZ26" i="4"/>
  <c r="FZ27" i="4"/>
  <c r="EC43" i="4"/>
  <c r="EC26" i="4"/>
  <c r="EC27" i="4"/>
  <c r="EC23" i="4"/>
  <c r="EC45" i="4"/>
  <c r="EC28" i="4"/>
  <c r="EC24" i="4"/>
  <c r="EC25" i="4"/>
  <c r="EC29" i="4"/>
  <c r="CA43" i="5"/>
  <c r="CA25" i="5"/>
  <c r="CA24" i="5"/>
  <c r="CA23" i="5"/>
  <c r="CA26" i="5"/>
  <c r="CA45" i="5"/>
  <c r="CA27" i="5"/>
  <c r="CA29" i="5"/>
  <c r="CA28" i="5"/>
  <c r="BL58" i="5"/>
  <c r="BL59" i="5" s="1"/>
  <c r="FC45" i="4"/>
  <c r="FC43" i="4"/>
  <c r="FC26" i="4"/>
  <c r="FC27" i="4"/>
  <c r="FC25" i="4"/>
  <c r="FC29" i="4"/>
  <c r="FC28" i="4"/>
  <c r="FC24" i="4"/>
  <c r="FC23" i="4"/>
  <c r="AM58" i="4"/>
  <c r="AM59" i="4" s="1"/>
  <c r="AT58" i="4"/>
  <c r="AT59" i="4" s="1"/>
  <c r="CI26" i="5"/>
  <c r="CI56" i="5" s="1"/>
  <c r="AM56" i="5"/>
  <c r="EF29" i="4"/>
  <c r="EF45" i="4"/>
  <c r="EF43" i="4"/>
  <c r="EF27" i="4"/>
  <c r="EF24" i="4"/>
  <c r="EF28" i="4"/>
  <c r="EF23" i="4"/>
  <c r="EF25" i="4"/>
  <c r="EF26" i="4"/>
  <c r="EF40" i="4"/>
  <c r="AB56" i="5"/>
  <c r="AJ45" i="4"/>
  <c r="AJ28" i="4"/>
  <c r="AJ24" i="4"/>
  <c r="AJ29" i="4"/>
  <c r="AJ25" i="4"/>
  <c r="AJ43" i="4"/>
  <c r="AJ26" i="4"/>
  <c r="AJ23" i="4"/>
  <c r="AJ27" i="4"/>
  <c r="CW39" i="5"/>
  <c r="AP56" i="5"/>
  <c r="GA43" i="4"/>
  <c r="GA45" i="4"/>
  <c r="GA29" i="4"/>
  <c r="GA23" i="4"/>
  <c r="GA24" i="4"/>
  <c r="GA25" i="4"/>
  <c r="GA26" i="4"/>
  <c r="GA27" i="4"/>
  <c r="GA28" i="4"/>
  <c r="FW42" i="4"/>
  <c r="FW30" i="4"/>
  <c r="FV30" i="4"/>
  <c r="FC41" i="4"/>
  <c r="AV56" i="4"/>
  <c r="BH41" i="4"/>
  <c r="FL27" i="5"/>
  <c r="FL43" i="5"/>
  <c r="FL45" i="5"/>
  <c r="FL28" i="5"/>
  <c r="FL25" i="5"/>
  <c r="FL29" i="5"/>
  <c r="FL23" i="5"/>
  <c r="FL26" i="5"/>
  <c r="FL24" i="5"/>
  <c r="BD58" i="5"/>
  <c r="BD59" i="5" s="1"/>
  <c r="AN41" i="4"/>
  <c r="BE56" i="4"/>
  <c r="FZ42" i="5"/>
  <c r="FZ30" i="5"/>
  <c r="FJ42" i="5"/>
  <c r="FJ30" i="5"/>
  <c r="BS58" i="5"/>
  <c r="BS59" i="5" s="1"/>
  <c r="AS42" i="4"/>
  <c r="AS58" i="4" s="1"/>
  <c r="AS59" i="4" s="1"/>
  <c r="AS30" i="4"/>
  <c r="AS56" i="4" s="1"/>
  <c r="BT56" i="4"/>
  <c r="EX23" i="4"/>
  <c r="EX56" i="4" s="1"/>
  <c r="BY28" i="5"/>
  <c r="BY25" i="5"/>
  <c r="BY27" i="5"/>
  <c r="BY24" i="5"/>
  <c r="BY26" i="5"/>
  <c r="BY23" i="5"/>
  <c r="BY43" i="5"/>
  <c r="BY45" i="5"/>
  <c r="BY29" i="5"/>
  <c r="FL41" i="5"/>
  <c r="EJ41" i="5"/>
  <c r="AE45" i="5"/>
  <c r="AE43" i="5"/>
  <c r="AE28" i="5"/>
  <c r="AE26" i="5"/>
  <c r="AE29" i="5"/>
  <c r="AE24" i="5"/>
  <c r="AE27" i="5"/>
  <c r="AE23" i="5"/>
  <c r="AE25" i="5"/>
  <c r="AE40" i="5"/>
  <c r="EE42" i="5"/>
  <c r="EE30" i="5"/>
  <c r="EH42" i="5"/>
  <c r="EH30" i="5"/>
  <c r="CB26" i="5"/>
  <c r="AX56" i="5"/>
  <c r="FH26" i="5"/>
  <c r="FH56" i="5" s="1"/>
  <c r="BH58" i="5"/>
  <c r="BH59" i="5" s="1"/>
  <c r="CP26" i="5"/>
  <c r="CE26" i="5"/>
  <c r="AF56" i="5"/>
  <c r="EM26" i="5"/>
  <c r="EM56" i="5" s="1"/>
  <c r="W56" i="5"/>
  <c r="BN45" i="4"/>
  <c r="BN43" i="4"/>
  <c r="BN27" i="4"/>
  <c r="BN29" i="4"/>
  <c r="BN28" i="4"/>
  <c r="BN41" i="4"/>
  <c r="BN24" i="4"/>
  <c r="BN25" i="4"/>
  <c r="BN26" i="4"/>
  <c r="BN23" i="4"/>
  <c r="FE42" i="4"/>
  <c r="FE30" i="4"/>
  <c r="FD30" i="4"/>
  <c r="AN42" i="4"/>
  <c r="AM30" i="4"/>
  <c r="AN30" i="4"/>
  <c r="BG43" i="4"/>
  <c r="BG45" i="4"/>
  <c r="BG26" i="4"/>
  <c r="BG23" i="4"/>
  <c r="BG24" i="4"/>
  <c r="BG27" i="4"/>
  <c r="BG28" i="4"/>
  <c r="BG40" i="4"/>
  <c r="BG29" i="4"/>
  <c r="BG25" i="4"/>
  <c r="AO39" i="4"/>
  <c r="CS45" i="4"/>
  <c r="CS28" i="4"/>
  <c r="CS27" i="4"/>
  <c r="CS26" i="4"/>
  <c r="CS25" i="4"/>
  <c r="CS24" i="4"/>
  <c r="CS29" i="4"/>
  <c r="CS43" i="4"/>
  <c r="CS23" i="4"/>
  <c r="CS56" i="4" s="1"/>
  <c r="AO41" i="4"/>
  <c r="FG26" i="4"/>
  <c r="CS41" i="4"/>
  <c r="FV23" i="4"/>
  <c r="FV56" i="4" s="1"/>
  <c r="BD56" i="4"/>
  <c r="ED40" i="4"/>
  <c r="BW30" i="4"/>
  <c r="EV26" i="4"/>
  <c r="BB56" i="4"/>
  <c r="EY30" i="4"/>
  <c r="EI43" i="5"/>
  <c r="EI45" i="5"/>
  <c r="EI24" i="5"/>
  <c r="EI27" i="5"/>
  <c r="EI26" i="5"/>
  <c r="EI28" i="5"/>
  <c r="EI25" i="5"/>
  <c r="EI23" i="5"/>
  <c r="EI29" i="5"/>
  <c r="FP56" i="5"/>
  <c r="EW23" i="4"/>
  <c r="EW56" i="4" s="1"/>
  <c r="EE23" i="4"/>
  <c r="EE56" i="4" s="1"/>
  <c r="DB42" i="5"/>
  <c r="DB30" i="5"/>
  <c r="AJ58" i="5"/>
  <c r="AJ59" i="5" s="1"/>
  <c r="BS56" i="4"/>
  <c r="U58" i="5"/>
  <c r="U59" i="5" s="1"/>
  <c r="DT41" i="5"/>
  <c r="CX41" i="5"/>
  <c r="CX58" i="5" s="1"/>
  <c r="CX59" i="5" s="1"/>
  <c r="CB41" i="5"/>
  <c r="DO41" i="5"/>
  <c r="CR41" i="5"/>
  <c r="DH41" i="5"/>
  <c r="CJ41" i="5"/>
  <c r="DD41" i="5"/>
  <c r="DD58" i="5" s="1"/>
  <c r="DD59" i="5" s="1"/>
  <c r="CE41" i="5"/>
  <c r="CE58" i="5" s="1"/>
  <c r="CE59" i="5" s="1"/>
  <c r="DC41" i="5"/>
  <c r="DC58" i="5" s="1"/>
  <c r="DC59" i="5" s="1"/>
  <c r="CD41" i="5"/>
  <c r="DB41" i="5"/>
  <c r="DB58" i="5" s="1"/>
  <c r="DB59" i="5" s="1"/>
  <c r="CC41" i="5"/>
  <c r="DA41" i="5"/>
  <c r="CA41" i="5"/>
  <c r="DE41" i="5"/>
  <c r="BW41" i="5"/>
  <c r="CZ41" i="5"/>
  <c r="CW41" i="5"/>
  <c r="CV41" i="5"/>
  <c r="CU41" i="5"/>
  <c r="DU41" i="5"/>
  <c r="CP41" i="5"/>
  <c r="DN41" i="5"/>
  <c r="BY41" i="5"/>
  <c r="DM41" i="5"/>
  <c r="DM58" i="5" s="1"/>
  <c r="DM59" i="5" s="1"/>
  <c r="BX41" i="5"/>
  <c r="DL41" i="5"/>
  <c r="DK41" i="5"/>
  <c r="DJ41" i="5"/>
  <c r="CY41" i="5"/>
  <c r="DX41" i="5"/>
  <c r="CL41" i="5"/>
  <c r="DI41" i="5"/>
  <c r="DG41" i="5"/>
  <c r="DF41" i="5"/>
  <c r="CT41" i="5"/>
  <c r="CQ41" i="5"/>
  <c r="CO41" i="5"/>
  <c r="CN41" i="5"/>
  <c r="CM41" i="5"/>
  <c r="DP41" i="5"/>
  <c r="CS41" i="5"/>
  <c r="CK41" i="5"/>
  <c r="CI41" i="5"/>
  <c r="CH41" i="5"/>
  <c r="CG41" i="5"/>
  <c r="CF41" i="5"/>
  <c r="DW41" i="5"/>
  <c r="DV41" i="5"/>
  <c r="DS41" i="5"/>
  <c r="DR41" i="5"/>
  <c r="DQ41" i="5"/>
  <c r="DQ58" i="5" s="1"/>
  <c r="DQ59" i="5" s="1"/>
  <c r="BZ41" i="5"/>
  <c r="BA58" i="4"/>
  <c r="BA59" i="4" s="1"/>
  <c r="FS23" i="4"/>
  <c r="FS56" i="4" s="1"/>
  <c r="AY56" i="4"/>
  <c r="AV58" i="5"/>
  <c r="AV59" i="5" s="1"/>
  <c r="FJ41" i="5"/>
  <c r="EW42" i="5"/>
  <c r="EW30" i="5"/>
  <c r="BM58" i="5"/>
  <c r="BM59" i="5" s="1"/>
  <c r="FL40" i="5"/>
  <c r="EP40" i="5"/>
  <c r="FM40" i="5"/>
  <c r="EO40" i="5"/>
  <c r="GB40" i="5"/>
  <c r="GB58" i="5" s="1"/>
  <c r="GB59" i="5" s="1"/>
  <c r="FD40" i="5"/>
  <c r="EF40" i="5"/>
  <c r="EF58" i="5" s="1"/>
  <c r="EF59" i="5" s="1"/>
  <c r="GA40" i="5"/>
  <c r="GA58" i="5" s="1"/>
  <c r="GA59" i="5" s="1"/>
  <c r="FC40" i="5"/>
  <c r="EE40" i="5"/>
  <c r="FZ40" i="5"/>
  <c r="FB40" i="5"/>
  <c r="FB58" i="5" s="1"/>
  <c r="FB59" i="5" s="1"/>
  <c r="ED40" i="5"/>
  <c r="ED58" i="5" s="1"/>
  <c r="ED59" i="5" s="1"/>
  <c r="FY40" i="5"/>
  <c r="FY58" i="5" s="1"/>
  <c r="FY59" i="5" s="1"/>
  <c r="FA40" i="5"/>
  <c r="FA58" i="5" s="1"/>
  <c r="FA59" i="5" s="1"/>
  <c r="EC40" i="5"/>
  <c r="EC58" i="5" s="1"/>
  <c r="EC59" i="5" s="1"/>
  <c r="FG40" i="5"/>
  <c r="EA40" i="5"/>
  <c r="FF40" i="5"/>
  <c r="EZ40" i="5"/>
  <c r="EY40" i="5"/>
  <c r="EY58" i="5" s="1"/>
  <c r="EY59" i="5" s="1"/>
  <c r="EX40" i="5"/>
  <c r="FV40" i="5"/>
  <c r="FV58" i="5" s="1"/>
  <c r="FV59" i="5" s="1"/>
  <c r="ET40" i="5"/>
  <c r="FP40" i="5"/>
  <c r="FP58" i="5" s="1"/>
  <c r="FP59" i="5" s="1"/>
  <c r="EB40" i="5"/>
  <c r="EB58" i="5" s="1"/>
  <c r="EB59" i="5" s="1"/>
  <c r="FO40" i="5"/>
  <c r="FO58" i="5" s="1"/>
  <c r="FO59" i="5" s="1"/>
  <c r="FN40" i="5"/>
  <c r="FN58" i="5" s="1"/>
  <c r="FN59" i="5" s="1"/>
  <c r="FK40" i="5"/>
  <c r="FJ40" i="5"/>
  <c r="EW40" i="5"/>
  <c r="EW58" i="5" s="1"/>
  <c r="EW59" i="5" s="1"/>
  <c r="FX40" i="5"/>
  <c r="FX58" i="5" s="1"/>
  <c r="FX59" i="5" s="1"/>
  <c r="EM40" i="5"/>
  <c r="EM58" i="5" s="1"/>
  <c r="EM59" i="5" s="1"/>
  <c r="FQ40" i="5"/>
  <c r="FQ58" i="5" s="1"/>
  <c r="FQ59" i="5" s="1"/>
  <c r="FI40" i="5"/>
  <c r="FI58" i="5" s="1"/>
  <c r="FI59" i="5" s="1"/>
  <c r="FH40" i="5"/>
  <c r="FH58" i="5" s="1"/>
  <c r="FH59" i="5" s="1"/>
  <c r="FE40" i="5"/>
  <c r="EU40" i="5"/>
  <c r="ES40" i="5"/>
  <c r="ER40" i="5"/>
  <c r="EQ40" i="5"/>
  <c r="EG40" i="5"/>
  <c r="FW40" i="5"/>
  <c r="FU40" i="5"/>
  <c r="FT40" i="5"/>
  <c r="FS40" i="5"/>
  <c r="FR40" i="5"/>
  <c r="EV40" i="5"/>
  <c r="EL40" i="5"/>
  <c r="EH40" i="5"/>
  <c r="EH58" i="5" s="1"/>
  <c r="EH59" i="5" s="1"/>
  <c r="EN40" i="5"/>
  <c r="EK40" i="5"/>
  <c r="EJ40" i="5"/>
  <c r="EI40" i="5"/>
  <c r="EV23" i="4"/>
  <c r="EV56" i="4" s="1"/>
  <c r="AJ41" i="4"/>
  <c r="FS42" i="5"/>
  <c r="FS58" i="5" s="1"/>
  <c r="FS59" i="5" s="1"/>
  <c r="FS30" i="5"/>
  <c r="FS56" i="5" s="1"/>
  <c r="EP27" i="5"/>
  <c r="EP45" i="5"/>
  <c r="EP29" i="5"/>
  <c r="EP25" i="5"/>
  <c r="EP43" i="5"/>
  <c r="EP28" i="5"/>
  <c r="EP23" i="5"/>
  <c r="EP41" i="5"/>
  <c r="EP26" i="5"/>
  <c r="EP24" i="5"/>
  <c r="X58" i="5"/>
  <c r="X59" i="5" s="1"/>
  <c r="Z56" i="5"/>
  <c r="DP23" i="4"/>
  <c r="DP56" i="4" s="1"/>
  <c r="BB58" i="4"/>
  <c r="BB59" i="4" s="1"/>
  <c r="CA39" i="5"/>
  <c r="EL42" i="5"/>
  <c r="EL30" i="5"/>
  <c r="EL56" i="5" s="1"/>
  <c r="FK43" i="5"/>
  <c r="FK27" i="5"/>
  <c r="FK28" i="5"/>
  <c r="FK25" i="5"/>
  <c r="FK23" i="5"/>
  <c r="FK45" i="5"/>
  <c r="FK29" i="5"/>
  <c r="FK26" i="5"/>
  <c r="FK24" i="5"/>
  <c r="W42" i="4"/>
  <c r="W30" i="4"/>
  <c r="BO58" i="4"/>
  <c r="BO59" i="4" s="1"/>
  <c r="GA41" i="4"/>
  <c r="CL30" i="4"/>
  <c r="CL42" i="4"/>
  <c r="Y58" i="5"/>
  <c r="Y59" i="5" s="1"/>
  <c r="AW56" i="5"/>
  <c r="AP58" i="4"/>
  <c r="AP59" i="4" s="1"/>
  <c r="BH42" i="4"/>
  <c r="BH30" i="4"/>
  <c r="CL45" i="4"/>
  <c r="CL23" i="4"/>
  <c r="CL26" i="4"/>
  <c r="CL43" i="4"/>
  <c r="CL27" i="4"/>
  <c r="CL28" i="4"/>
  <c r="CL24" i="4"/>
  <c r="CL25" i="4"/>
  <c r="CL29" i="4"/>
  <c r="AG58" i="4"/>
  <c r="AG59" i="4" s="1"/>
  <c r="EY45" i="5"/>
  <c r="EY26" i="5"/>
  <c r="EY25" i="5"/>
  <c r="EY24" i="5"/>
  <c r="EY29" i="5"/>
  <c r="EY43" i="5"/>
  <c r="EY28" i="5"/>
  <c r="EY27" i="5"/>
  <c r="EY23" i="5"/>
  <c r="EY56" i="5" s="1"/>
  <c r="EZ41" i="5"/>
  <c r="ES45" i="5"/>
  <c r="ES23" i="5"/>
  <c r="ES29" i="5"/>
  <c r="ES27" i="5"/>
  <c r="ES43" i="5"/>
  <c r="ES58" i="5" s="1"/>
  <c r="ES59" i="5" s="1"/>
  <c r="ES28" i="5"/>
  <c r="ES26" i="5"/>
  <c r="ES24" i="5"/>
  <c r="ES41" i="5"/>
  <c r="ES25" i="5"/>
  <c r="FY42" i="5"/>
  <c r="FY30" i="5"/>
  <c r="FX42" i="5"/>
  <c r="EJ39" i="5"/>
  <c r="FC42" i="5"/>
  <c r="FC30" i="5"/>
  <c r="FF42" i="5"/>
  <c r="FF30" i="5"/>
  <c r="FF56" i="5" s="1"/>
  <c r="AH58" i="5"/>
  <c r="AH59" i="5" s="1"/>
  <c r="AC58" i="5"/>
  <c r="AC59" i="5" s="1"/>
  <c r="EW26" i="5"/>
  <c r="EW56" i="5" s="1"/>
  <c r="CQ26" i="5"/>
  <c r="BS56" i="5"/>
  <c r="AQ23" i="4"/>
  <c r="AQ43" i="4"/>
  <c r="AQ45" i="4"/>
  <c r="AQ27" i="4"/>
  <c r="AQ26" i="4"/>
  <c r="AQ29" i="4"/>
  <c r="AQ24" i="4"/>
  <c r="AQ25" i="4"/>
  <c r="AQ40" i="4"/>
  <c r="AQ28" i="4"/>
  <c r="EI30" i="4"/>
  <c r="EH42" i="4"/>
  <c r="EH30" i="4"/>
  <c r="BQ58" i="4"/>
  <c r="BQ59" i="4" s="1"/>
  <c r="CX43" i="4"/>
  <c r="CX45" i="4"/>
  <c r="CX23" i="4"/>
  <c r="CX27" i="4"/>
  <c r="CX28" i="4"/>
  <c r="CX24" i="4"/>
  <c r="CX29" i="4"/>
  <c r="CX25" i="4"/>
  <c r="CX26" i="4"/>
  <c r="CP45" i="4"/>
  <c r="CP27" i="4"/>
  <c r="CP28" i="4"/>
  <c r="CP26" i="4"/>
  <c r="CP25" i="4"/>
  <c r="CP24" i="4"/>
  <c r="CP43" i="4"/>
  <c r="CP29" i="4"/>
  <c r="CP23" i="4"/>
  <c r="CP56" i="4" s="1"/>
  <c r="AR30" i="4"/>
  <c r="DF42" i="4"/>
  <c r="DF30" i="4"/>
  <c r="CG42" i="4"/>
  <c r="CG30" i="4"/>
  <c r="CX41" i="4"/>
  <c r="EZ40" i="4"/>
  <c r="FU23" i="4"/>
  <c r="FU56" i="4" s="1"/>
  <c r="BQ56" i="4"/>
  <c r="W58" i="4"/>
  <c r="W59" i="4" s="1"/>
  <c r="CV42" i="4"/>
  <c r="CV30" i="4"/>
  <c r="FH23" i="4"/>
  <c r="FH56" i="4" s="1"/>
  <c r="EM26" i="4"/>
  <c r="BZ23" i="4"/>
  <c r="BY26" i="4"/>
  <c r="AD45" i="5"/>
  <c r="AD28" i="5"/>
  <c r="AD43" i="5"/>
  <c r="AD23" i="5"/>
  <c r="AD26" i="5"/>
  <c r="AD24" i="5"/>
  <c r="AD27" i="5"/>
  <c r="AD29" i="5"/>
  <c r="AD40" i="5"/>
  <c r="AD25" i="5"/>
  <c r="EG43" i="5"/>
  <c r="EG24" i="5"/>
  <c r="EG23" i="5"/>
  <c r="EG26" i="5"/>
  <c r="EG29" i="5"/>
  <c r="EG25" i="5"/>
  <c r="EG45" i="5"/>
  <c r="EG27" i="5"/>
  <c r="EG28" i="5"/>
  <c r="BF58" i="5"/>
  <c r="BF59" i="5" s="1"/>
  <c r="CI42" i="4"/>
  <c r="CI30" i="4"/>
  <c r="DJ43" i="4"/>
  <c r="DJ45" i="4"/>
  <c r="DJ24" i="4"/>
  <c r="DJ29" i="4"/>
  <c r="DJ26" i="4"/>
  <c r="DJ25" i="4"/>
  <c r="DJ23" i="4"/>
  <c r="DJ27" i="4"/>
  <c r="DJ28" i="4"/>
  <c r="FT45" i="5"/>
  <c r="FT28" i="5"/>
  <c r="FT43" i="5"/>
  <c r="FT26" i="5"/>
  <c r="FT25" i="5"/>
  <c r="FT24" i="5"/>
  <c r="FT23" i="5"/>
  <c r="FT29" i="5"/>
  <c r="FT27" i="5"/>
  <c r="DN45" i="4"/>
  <c r="DN27" i="4"/>
  <c r="DN28" i="4"/>
  <c r="DN26" i="4"/>
  <c r="DN25" i="4"/>
  <c r="DN24" i="4"/>
  <c r="DN29" i="4"/>
  <c r="DN23" i="4"/>
  <c r="DN56" i="4" s="1"/>
  <c r="DN43" i="4"/>
  <c r="AL45" i="4"/>
  <c r="AL28" i="4"/>
  <c r="AL43" i="4"/>
  <c r="AL29" i="4"/>
  <c r="AL25" i="4"/>
  <c r="AL26" i="4"/>
  <c r="AL24" i="4"/>
  <c r="AL23" i="4"/>
  <c r="AL56" i="4" s="1"/>
  <c r="AL27" i="4"/>
  <c r="CD45" i="4"/>
  <c r="CD43" i="4"/>
  <c r="CD23" i="4"/>
  <c r="CD24" i="4"/>
  <c r="CD29" i="4"/>
  <c r="CD26" i="4"/>
  <c r="CD25" i="4"/>
  <c r="CD27" i="4"/>
  <c r="CD28" i="4"/>
  <c r="BN57" i="5"/>
  <c r="FT39" i="4"/>
  <c r="FT58" i="4" s="1"/>
  <c r="FT59" i="4" s="1"/>
  <c r="EX39" i="4"/>
  <c r="EX58" i="4" s="1"/>
  <c r="EX59" i="4" s="1"/>
  <c r="EB39" i="4"/>
  <c r="EB58" i="4" s="1"/>
  <c r="EB59" i="4" s="1"/>
  <c r="FN39" i="4"/>
  <c r="FN58" i="4" s="1"/>
  <c r="FN59" i="4" s="1"/>
  <c r="ER39" i="4"/>
  <c r="ER58" i="4" s="1"/>
  <c r="ER59" i="4" s="1"/>
  <c r="FF39" i="4"/>
  <c r="FF58" i="4" s="1"/>
  <c r="FF59" i="4" s="1"/>
  <c r="EH39" i="4"/>
  <c r="EH58" i="4" s="1"/>
  <c r="EH59" i="4" s="1"/>
  <c r="FE39" i="4"/>
  <c r="FE58" i="4" s="1"/>
  <c r="FE59" i="4" s="1"/>
  <c r="EG39" i="4"/>
  <c r="EG58" i="4" s="1"/>
  <c r="EG59" i="4" s="1"/>
  <c r="FZ39" i="4"/>
  <c r="FZ58" i="4" s="1"/>
  <c r="FZ59" i="4" s="1"/>
  <c r="FB39" i="4"/>
  <c r="ED39" i="4"/>
  <c r="FG39" i="4"/>
  <c r="EC39" i="4"/>
  <c r="FA39" i="4"/>
  <c r="GB39" i="4"/>
  <c r="EZ39" i="4"/>
  <c r="GA39" i="4"/>
  <c r="EY39" i="4"/>
  <c r="EY58" i="4" s="1"/>
  <c r="EY59" i="4" s="1"/>
  <c r="FY39" i="4"/>
  <c r="EW39" i="4"/>
  <c r="EW58" i="4" s="1"/>
  <c r="EW59" i="4" s="1"/>
  <c r="FV39" i="4"/>
  <c r="FV58" i="4" s="1"/>
  <c r="FV59" i="4" s="1"/>
  <c r="ET39" i="4"/>
  <c r="ET58" i="4" s="1"/>
  <c r="ET59" i="4" s="1"/>
  <c r="FM39" i="4"/>
  <c r="FM58" i="4" s="1"/>
  <c r="FM59" i="4" s="1"/>
  <c r="EA39" i="4"/>
  <c r="EA58" i="4" s="1"/>
  <c r="EA59" i="4" s="1"/>
  <c r="FL39" i="4"/>
  <c r="FL58" i="4" s="1"/>
  <c r="FL59" i="4" s="1"/>
  <c r="FK39" i="4"/>
  <c r="FK58" i="4" s="1"/>
  <c r="FK59" i="4" s="1"/>
  <c r="FJ39" i="4"/>
  <c r="FJ58" i="4" s="1"/>
  <c r="FJ59" i="4" s="1"/>
  <c r="FI39" i="4"/>
  <c r="FI58" i="4" s="1"/>
  <c r="FI59" i="4" s="1"/>
  <c r="FH39" i="4"/>
  <c r="FH58" i="4" s="1"/>
  <c r="FH59" i="4" s="1"/>
  <c r="FD39" i="4"/>
  <c r="FD58" i="4" s="1"/>
  <c r="FD59" i="4" s="1"/>
  <c r="EV39" i="4"/>
  <c r="EV58" i="4" s="1"/>
  <c r="EV59" i="4" s="1"/>
  <c r="FW39" i="4"/>
  <c r="EM39" i="4"/>
  <c r="EM58" i="4" s="1"/>
  <c r="EM59" i="4" s="1"/>
  <c r="FU39" i="4"/>
  <c r="FU58" i="4" s="1"/>
  <c r="FU59" i="4" s="1"/>
  <c r="EL39" i="4"/>
  <c r="EL58" i="4" s="1"/>
  <c r="EL59" i="4" s="1"/>
  <c r="EJ39" i="4"/>
  <c r="FQ39" i="4"/>
  <c r="FP39" i="4"/>
  <c r="FP58" i="4" s="1"/>
  <c r="FP59" i="4" s="1"/>
  <c r="EI39" i="4"/>
  <c r="EF39" i="4"/>
  <c r="EE39" i="4"/>
  <c r="EE58" i="4" s="1"/>
  <c r="EE59" i="4" s="1"/>
  <c r="FR39" i="4"/>
  <c r="FR58" i="4" s="1"/>
  <c r="FR59" i="4" s="1"/>
  <c r="FX39" i="4"/>
  <c r="FS39" i="4"/>
  <c r="FS58" i="4" s="1"/>
  <c r="FS59" i="4" s="1"/>
  <c r="FO39" i="4"/>
  <c r="FO58" i="4" s="1"/>
  <c r="FO59" i="4" s="1"/>
  <c r="FC39" i="4"/>
  <c r="EU39" i="4"/>
  <c r="EQ39" i="4"/>
  <c r="EQ58" i="4" s="1"/>
  <c r="EQ59" i="4" s="1"/>
  <c r="ES39" i="4"/>
  <c r="ES58" i="4" s="1"/>
  <c r="ES59" i="4" s="1"/>
  <c r="EO39" i="4"/>
  <c r="EO58" i="4" s="1"/>
  <c r="EO59" i="4" s="1"/>
  <c r="EP39" i="4"/>
  <c r="EP58" i="4" s="1"/>
  <c r="EP59" i="4" s="1"/>
  <c r="EN39" i="4"/>
  <c r="EN58" i="4" s="1"/>
  <c r="EN59" i="4" s="1"/>
  <c r="EK39" i="4"/>
  <c r="EK58" i="4" s="1"/>
  <c r="EK59" i="4" s="1"/>
  <c r="EQ28" i="5"/>
  <c r="EQ43" i="5"/>
  <c r="EQ29" i="5"/>
  <c r="EQ25" i="5"/>
  <c r="EQ45" i="5"/>
  <c r="EQ27" i="5"/>
  <c r="EQ24" i="5"/>
  <c r="EQ23" i="5"/>
  <c r="EQ26" i="5"/>
  <c r="BD56" i="5"/>
  <c r="DQ29" i="5"/>
  <c r="DQ45" i="5"/>
  <c r="DQ43" i="5"/>
  <c r="DQ25" i="5"/>
  <c r="DQ28" i="5"/>
  <c r="DQ27" i="5"/>
  <c r="DQ23" i="5"/>
  <c r="DQ26" i="5"/>
  <c r="DQ24" i="5"/>
  <c r="CL58" i="5"/>
  <c r="CL59" i="5" s="1"/>
  <c r="AD41" i="5"/>
  <c r="BF56" i="5"/>
  <c r="ET30" i="5"/>
  <c r="ET42" i="5"/>
  <c r="ES42" i="5"/>
  <c r="FL39" i="5"/>
  <c r="AJ56" i="5"/>
  <c r="GA42" i="5"/>
  <c r="GA30" i="5"/>
  <c r="EU45" i="5"/>
  <c r="EU43" i="5"/>
  <c r="EU23" i="5"/>
  <c r="EU28" i="5"/>
  <c r="EU25" i="5"/>
  <c r="EU41" i="5"/>
  <c r="EU27" i="5"/>
  <c r="EU29" i="5"/>
  <c r="EU24" i="5"/>
  <c r="EU26" i="5"/>
  <c r="EN30" i="5"/>
  <c r="FX30" i="5"/>
  <c r="CR26" i="5"/>
  <c r="CR56" i="5" s="1"/>
  <c r="ED42" i="5"/>
  <c r="T45" i="4"/>
  <c r="T27" i="4"/>
  <c r="T26" i="4"/>
  <c r="T28" i="4"/>
  <c r="T23" i="4"/>
  <c r="T29" i="4"/>
  <c r="T43" i="4"/>
  <c r="T58" i="4" s="1"/>
  <c r="T59" i="4" s="1"/>
  <c r="T25" i="4"/>
  <c r="T24" i="4"/>
  <c r="BL30" i="4"/>
  <c r="BL42" i="4"/>
  <c r="AQ39" i="4"/>
  <c r="AQ58" i="4" s="1"/>
  <c r="AQ59" i="4" s="1"/>
  <c r="BX42" i="4"/>
  <c r="BX30" i="4"/>
  <c r="AR42" i="4"/>
  <c r="AR58" i="4" s="1"/>
  <c r="AR59" i="4" s="1"/>
  <c r="FF41" i="4"/>
  <c r="T40" i="4"/>
  <c r="DM23" i="4"/>
  <c r="DC42" i="4"/>
  <c r="DC30" i="4"/>
  <c r="T41" i="4"/>
  <c r="EB26" i="4"/>
  <c r="AH56" i="4"/>
  <c r="DD42" i="4"/>
  <c r="DD30" i="4"/>
  <c r="CJ30" i="4"/>
  <c r="CJ42" i="4"/>
  <c r="CK30" i="4"/>
  <c r="CK42" i="4"/>
  <c r="DJ42" i="4"/>
  <c r="DJ30" i="4"/>
  <c r="DL42" i="4"/>
  <c r="DL30" i="4"/>
  <c r="AR56" i="4"/>
  <c r="AM56" i="4"/>
  <c r="Z58" i="4"/>
  <c r="Z59" i="4" s="1"/>
  <c r="ES26" i="4"/>
  <c r="ER26" i="4"/>
  <c r="DC26" i="4"/>
  <c r="EP23" i="4"/>
  <c r="FI23" i="4"/>
  <c r="FI56" i="4" s="1"/>
  <c r="EM23" i="4"/>
  <c r="EM56" i="4" s="1"/>
  <c r="CA23" i="4"/>
  <c r="CA56" i="4" s="1"/>
  <c r="ET45" i="5"/>
  <c r="ET23" i="5"/>
  <c r="ET28" i="5"/>
  <c r="ET25" i="5"/>
  <c r="ET29" i="5"/>
  <c r="ET27" i="5"/>
  <c r="ET43" i="5"/>
  <c r="ET24" i="5"/>
  <c r="ET26" i="5"/>
  <c r="ET39" i="5"/>
  <c r="DJ41" i="4"/>
  <c r="DX42" i="5"/>
  <c r="DX30" i="5"/>
  <c r="DX56" i="5" s="1"/>
  <c r="FG43" i="5"/>
  <c r="FG45" i="5"/>
  <c r="FG24" i="5"/>
  <c r="FG27" i="5"/>
  <c r="FG23" i="5"/>
  <c r="FG26" i="5"/>
  <c r="FG25" i="5"/>
  <c r="FG29" i="5"/>
  <c r="FG28" i="5"/>
  <c r="DJ56" i="5"/>
  <c r="FC42" i="4"/>
  <c r="FC30" i="4"/>
  <c r="DA45" i="4"/>
  <c r="DA28" i="4"/>
  <c r="DA43" i="4"/>
  <c r="DA23" i="4"/>
  <c r="DA29" i="4"/>
  <c r="DA24" i="4"/>
  <c r="DA25" i="4"/>
  <c r="DA26" i="4"/>
  <c r="DA27" i="4"/>
  <c r="BC56" i="5"/>
  <c r="AV58" i="4"/>
  <c r="AV59" i="4" s="1"/>
  <c r="DO23" i="4"/>
  <c r="DV26" i="5"/>
  <c r="DV56" i="5" s="1"/>
  <c r="CX26" i="5"/>
  <c r="CO26" i="5"/>
  <c r="CZ26" i="5"/>
  <c r="CZ56" i="5" s="1"/>
  <c r="FD56" i="5"/>
  <c r="AL42" i="4"/>
  <c r="AL30" i="4"/>
  <c r="BH45" i="4"/>
  <c r="BH43" i="4"/>
  <c r="BH28" i="4"/>
  <c r="BH39" i="4"/>
  <c r="BH27" i="4"/>
  <c r="BH29" i="4"/>
  <c r="BH24" i="4"/>
  <c r="BH23" i="4"/>
  <c r="BH26" i="4"/>
  <c r="BH25" i="4"/>
  <c r="DF23" i="4"/>
  <c r="DF26" i="5"/>
  <c r="DF56" i="5" s="1"/>
  <c r="BE56" i="5"/>
  <c r="F72" i="4"/>
  <c r="CY45" i="4"/>
  <c r="CY43" i="4"/>
  <c r="CY23" i="4"/>
  <c r="CY27" i="4"/>
  <c r="CY24" i="4"/>
  <c r="CY28" i="4"/>
  <c r="CY29" i="4"/>
  <c r="CY25" i="4"/>
  <c r="CY26" i="4"/>
  <c r="CO56" i="5"/>
  <c r="CE42" i="5"/>
  <c r="BK43" i="4"/>
  <c r="BK45" i="4"/>
  <c r="BK29" i="4"/>
  <c r="BK27" i="4"/>
  <c r="BK28" i="4"/>
  <c r="BK24" i="4"/>
  <c r="BK25" i="4"/>
  <c r="BK23" i="4"/>
  <c r="BK26" i="4"/>
  <c r="AJ39" i="4"/>
  <c r="FB23" i="4"/>
  <c r="FM45" i="5"/>
  <c r="FM43" i="5"/>
  <c r="FM28" i="5"/>
  <c r="FM27" i="5"/>
  <c r="FM25" i="5"/>
  <c r="FM29" i="5"/>
  <c r="FM26" i="5"/>
  <c r="FM24" i="5"/>
  <c r="FM23" i="5"/>
  <c r="AN56" i="5"/>
  <c r="BG30" i="5"/>
  <c r="BG56" i="5" s="1"/>
  <c r="CD42" i="4"/>
  <c r="CD30" i="4"/>
  <c r="AL41" i="4"/>
  <c r="CB42" i="4"/>
  <c r="CB30" i="4"/>
  <c r="CD41" i="4"/>
  <c r="FB26" i="4"/>
  <c r="FO56" i="5"/>
  <c r="DN26" i="5"/>
  <c r="DN56" i="5" s="1"/>
  <c r="EC42" i="4"/>
  <c r="EC30" i="4"/>
  <c r="DR42" i="4"/>
  <c r="DR30" i="4"/>
  <c r="EA26" i="4"/>
  <c r="CU45" i="4"/>
  <c r="CU28" i="4"/>
  <c r="CU27" i="4"/>
  <c r="CU26" i="4"/>
  <c r="CU25" i="4"/>
  <c r="CU29" i="4"/>
  <c r="CU24" i="4"/>
  <c r="CU23" i="4"/>
  <c r="CU43" i="4"/>
  <c r="CU45" i="5"/>
  <c r="CU25" i="5"/>
  <c r="CU29" i="5"/>
  <c r="CU24" i="5"/>
  <c r="CU27" i="5"/>
  <c r="CU28" i="5"/>
  <c r="CU26" i="5"/>
  <c r="CU23" i="5"/>
  <c r="CU43" i="5"/>
  <c r="DB26" i="5"/>
  <c r="DB56" i="5" s="1"/>
  <c r="CO42" i="4"/>
  <c r="CO30" i="4"/>
  <c r="AB56" i="4"/>
  <c r="BI42" i="5"/>
  <c r="BI30" i="5"/>
  <c r="BI56" i="5" s="1"/>
  <c r="CD58" i="5"/>
  <c r="CD59" i="5" s="1"/>
  <c r="AM42" i="5"/>
  <c r="AM58" i="5" s="1"/>
  <c r="AM59" i="5" s="1"/>
  <c r="AM30" i="5"/>
  <c r="DP43" i="5"/>
  <c r="DP28" i="5"/>
  <c r="DP29" i="5"/>
  <c r="DP45" i="5"/>
  <c r="DP25" i="5"/>
  <c r="DP26" i="5"/>
  <c r="DP23" i="5"/>
  <c r="DP27" i="5"/>
  <c r="DP24" i="5"/>
  <c r="DM26" i="5"/>
  <c r="DM56" i="5" s="1"/>
  <c r="DL26" i="5"/>
  <c r="DL56" i="5" s="1"/>
  <c r="EK58" i="5"/>
  <c r="EK59" i="5" s="1"/>
  <c r="EP39" i="5"/>
  <c r="ER45" i="5"/>
  <c r="ER25" i="5"/>
  <c r="ER29" i="5"/>
  <c r="ER27" i="5"/>
  <c r="ER43" i="5"/>
  <c r="ER58" i="5" s="1"/>
  <c r="ER59" i="5" s="1"/>
  <c r="ER28" i="5"/>
  <c r="ER24" i="5"/>
  <c r="ER26" i="5"/>
  <c r="ER23" i="5"/>
  <c r="FU45" i="5"/>
  <c r="FU27" i="5"/>
  <c r="FU26" i="5"/>
  <c r="FU25" i="5"/>
  <c r="FU24" i="5"/>
  <c r="FU23" i="5"/>
  <c r="FU29" i="5"/>
  <c r="FU43" i="5"/>
  <c r="FU28" i="5"/>
  <c r="AI58" i="5"/>
  <c r="AI59" i="5" s="1"/>
  <c r="AD39" i="5"/>
  <c r="EK30" i="5"/>
  <c r="CS26" i="5"/>
  <c r="CS56" i="5" s="1"/>
  <c r="DD26" i="5"/>
  <c r="DD56" i="5" s="1"/>
  <c r="ED30" i="5"/>
  <c r="AG56" i="5"/>
  <c r="FG42" i="4"/>
  <c r="FF30" i="4"/>
  <c r="FG30" i="4"/>
  <c r="AO42" i="4"/>
  <c r="AO30" i="4"/>
  <c r="BR58" i="4"/>
  <c r="BR59" i="4" s="1"/>
  <c r="DP42" i="4"/>
  <c r="DP30" i="4"/>
  <c r="EI41" i="4"/>
  <c r="BE58" i="4"/>
  <c r="BE59" i="4" s="1"/>
  <c r="CI23" i="4"/>
  <c r="CI56" i="4" s="1"/>
  <c r="DO42" i="4"/>
  <c r="DO30" i="4"/>
  <c r="DS45" i="4"/>
  <c r="DS25" i="4"/>
  <c r="DS27" i="4"/>
  <c r="DS28" i="4"/>
  <c r="DS26" i="4"/>
  <c r="DS29" i="4"/>
  <c r="DS24" i="4"/>
  <c r="DS23" i="4"/>
  <c r="DS56" i="4" s="1"/>
  <c r="DS43" i="4"/>
  <c r="CG43" i="4"/>
  <c r="CG45" i="4"/>
  <c r="CG29" i="4"/>
  <c r="CG25" i="4"/>
  <c r="CG23" i="4"/>
  <c r="CG27" i="4"/>
  <c r="CG26" i="4"/>
  <c r="CG28" i="4"/>
  <c r="CG24" i="4"/>
  <c r="DG42" i="4"/>
  <c r="DG30" i="4"/>
  <c r="DH42" i="4"/>
  <c r="DH30" i="4"/>
  <c r="DE41" i="4"/>
  <c r="BN40" i="4"/>
  <c r="BN58" i="4" s="1"/>
  <c r="BN59" i="4" s="1"/>
  <c r="EO23" i="4"/>
  <c r="EO56" i="4" s="1"/>
  <c r="EH23" i="4"/>
  <c r="AU56" i="4"/>
  <c r="CB26" i="4"/>
  <c r="EN23" i="4"/>
  <c r="EN56" i="4" s="1"/>
  <c r="BX23" i="4"/>
  <c r="BX56" i="4" s="1"/>
  <c r="EY23" i="4"/>
  <c r="EY56" i="4" s="1"/>
  <c r="V58" i="5"/>
  <c r="V59" i="5" s="1"/>
  <c r="CJ26" i="5"/>
  <c r="FR26" i="4"/>
  <c r="CT45" i="5"/>
  <c r="CT29" i="5"/>
  <c r="CT25" i="5"/>
  <c r="CT43" i="5"/>
  <c r="CT26" i="5"/>
  <c r="CT27" i="5"/>
  <c r="CT28" i="5"/>
  <c r="CT23" i="5"/>
  <c r="CT24" i="5"/>
  <c r="AK42" i="5"/>
  <c r="AK58" i="5" s="1"/>
  <c r="AK59" i="5" s="1"/>
  <c r="FM39" i="5"/>
  <c r="FU42" i="5"/>
  <c r="FU30" i="5"/>
  <c r="FR45" i="5"/>
  <c r="FR43" i="5"/>
  <c r="FR23" i="5"/>
  <c r="FR26" i="5"/>
  <c r="FR28" i="5"/>
  <c r="FR25" i="5"/>
  <c r="FR24" i="5"/>
  <c r="FR29" i="5"/>
  <c r="FR27" i="5"/>
  <c r="EX28" i="5"/>
  <c r="EX43" i="5"/>
  <c r="EX27" i="5"/>
  <c r="EX26" i="5"/>
  <c r="EX25" i="5"/>
  <c r="EX24" i="5"/>
  <c r="EX29" i="5"/>
  <c r="EX45" i="5"/>
  <c r="EX58" i="5" s="1"/>
  <c r="EX59" i="5" s="1"/>
  <c r="EX23" i="5"/>
  <c r="EX56" i="5" s="1"/>
  <c r="FE26" i="5"/>
  <c r="FE56" i="5" s="1"/>
  <c r="CO58" i="5"/>
  <c r="CO59" i="5" s="1"/>
  <c r="AR58" i="5"/>
  <c r="AR59" i="5" s="1"/>
  <c r="BT58" i="5"/>
  <c r="BT59" i="5" s="1"/>
  <c r="BB58" i="5"/>
  <c r="BB59" i="5" s="1"/>
  <c r="EK42" i="5"/>
  <c r="FA26" i="5"/>
  <c r="FA56" i="5" s="1"/>
  <c r="CV26" i="5"/>
  <c r="CV56" i="5" s="1"/>
  <c r="DW30" i="5"/>
  <c r="DW56" i="5" s="1"/>
  <c r="AR56" i="5"/>
  <c r="EJ42" i="4"/>
  <c r="EJ30" i="4"/>
  <c r="AW58" i="4"/>
  <c r="AW59" i="4" s="1"/>
  <c r="FB30" i="4"/>
  <c r="CY41" i="4"/>
  <c r="AX56" i="4"/>
  <c r="CE30" i="4"/>
  <c r="CE42" i="4"/>
  <c r="BI41" i="4"/>
  <c r="DD43" i="4"/>
  <c r="DD45" i="4"/>
  <c r="DD29" i="4"/>
  <c r="DD26" i="4"/>
  <c r="DD28" i="4"/>
  <c r="DD24" i="4"/>
  <c r="DD25" i="4"/>
  <c r="DD23" i="4"/>
  <c r="DD27" i="4"/>
  <c r="CH42" i="4"/>
  <c r="CH30" i="4"/>
  <c r="CJ45" i="4"/>
  <c r="CJ23" i="4"/>
  <c r="CJ25" i="4"/>
  <c r="CJ26" i="4"/>
  <c r="CJ43" i="4"/>
  <c r="CJ27" i="4"/>
  <c r="CJ28" i="4"/>
  <c r="CJ24" i="4"/>
  <c r="CJ29" i="4"/>
  <c r="CK45" i="4"/>
  <c r="CK23" i="4"/>
  <c r="CK25" i="4"/>
  <c r="CK26" i="4"/>
  <c r="CK28" i="4"/>
  <c r="CK43" i="4"/>
  <c r="CK27" i="4"/>
  <c r="CK24" i="4"/>
  <c r="CK29" i="4"/>
  <c r="CN42" i="4"/>
  <c r="CN30" i="4"/>
  <c r="CE41" i="4"/>
  <c r="BK40" i="4"/>
  <c r="BK58" i="4" s="1"/>
  <c r="BK59" i="4" s="1"/>
  <c r="CT40" i="4"/>
  <c r="CP40" i="4"/>
  <c r="FT23" i="4"/>
  <c r="FT56" i="4" s="1"/>
  <c r="FK23" i="4"/>
  <c r="FK56" i="4" s="1"/>
  <c r="BY23" i="4"/>
  <c r="BY56" i="4" s="1"/>
  <c r="FO23" i="4"/>
  <c r="FO56" i="4" s="1"/>
  <c r="FP23" i="4"/>
  <c r="AO56" i="5"/>
  <c r="FO26" i="4"/>
  <c r="BX45" i="5"/>
  <c r="BX43" i="5"/>
  <c r="BX24" i="5"/>
  <c r="BX27" i="5"/>
  <c r="BX23" i="5"/>
  <c r="BX26" i="5"/>
  <c r="BX29" i="5"/>
  <c r="BX25" i="5"/>
  <c r="BX28" i="5"/>
  <c r="FT41" i="5"/>
  <c r="FZ41" i="5"/>
  <c r="EQ39" i="5"/>
  <c r="EQ58" i="5" s="1"/>
  <c r="EQ59" i="5" s="1"/>
  <c r="EP30" i="5"/>
  <c r="EP42" i="5"/>
  <c r="FT42" i="5"/>
  <c r="FT30" i="5"/>
  <c r="EG42" i="5"/>
  <c r="EG30" i="5"/>
  <c r="FX45" i="5"/>
  <c r="FX43" i="5"/>
  <c r="FX24" i="5"/>
  <c r="FX28" i="5"/>
  <c r="FX25" i="5"/>
  <c r="FX29" i="5"/>
  <c r="FX23" i="5"/>
  <c r="FX41" i="5"/>
  <c r="FX27" i="5"/>
  <c r="FX26" i="5"/>
  <c r="EB56" i="5"/>
  <c r="AV56" i="5"/>
  <c r="AT58" i="5"/>
  <c r="AT59" i="5" s="1"/>
  <c r="AF58" i="5"/>
  <c r="AF59" i="5" s="1"/>
  <c r="BW26" i="5"/>
  <c r="DW42" i="5"/>
  <c r="AC56" i="5"/>
  <c r="AU56" i="5"/>
  <c r="BN42" i="4"/>
  <c r="BM30" i="4"/>
  <c r="BM56" i="4" s="1"/>
  <c r="BN30" i="4"/>
  <c r="BS58" i="4"/>
  <c r="BS59" i="4" s="1"/>
  <c r="FX45" i="4"/>
  <c r="FX29" i="4"/>
  <c r="FX43" i="4"/>
  <c r="FX25" i="4"/>
  <c r="FX28" i="4"/>
  <c r="FX23" i="4"/>
  <c r="FX24" i="4"/>
  <c r="FX26" i="4"/>
  <c r="FX27" i="4"/>
  <c r="CV45" i="4"/>
  <c r="CV28" i="4"/>
  <c r="CV26" i="4"/>
  <c r="CV25" i="4"/>
  <c r="CV29" i="4"/>
  <c r="CV24" i="4"/>
  <c r="CV23" i="4"/>
  <c r="CV43" i="4"/>
  <c r="CV27" i="4"/>
  <c r="FC40" i="4"/>
  <c r="EB30" i="4"/>
  <c r="FB42" i="4"/>
  <c r="EU41" i="4"/>
  <c r="CY40" i="4"/>
  <c r="DA30" i="4"/>
  <c r="AF56" i="4"/>
  <c r="DE42" i="4"/>
  <c r="DE30" i="4"/>
  <c r="DG23" i="4"/>
  <c r="DG43" i="4"/>
  <c r="DG45" i="4"/>
  <c r="DG29" i="4"/>
  <c r="DG24" i="4"/>
  <c r="DG25" i="4"/>
  <c r="DG26" i="4"/>
  <c r="DG27" i="4"/>
  <c r="DG41" i="4"/>
  <c r="DG28" i="4"/>
  <c r="DH45" i="4"/>
  <c r="DH43" i="4"/>
  <c r="DH24" i="4"/>
  <c r="DH26" i="4"/>
  <c r="DH29" i="4"/>
  <c r="DH25" i="4"/>
  <c r="DH23" i="4"/>
  <c r="DH27" i="4"/>
  <c r="DH28" i="4"/>
  <c r="DK42" i="4"/>
  <c r="DK30" i="4"/>
  <c r="CM42" i="4"/>
  <c r="CM30" i="4"/>
  <c r="DI41" i="4"/>
  <c r="CW41" i="4"/>
  <c r="AJ40" i="4"/>
  <c r="DU45" i="4"/>
  <c r="DU43" i="4"/>
  <c r="DU29" i="4"/>
  <c r="DU25" i="4"/>
  <c r="DU24" i="4"/>
  <c r="DU23" i="4"/>
  <c r="DU27" i="4"/>
  <c r="DU26" i="4"/>
  <c r="DU28" i="4"/>
  <c r="FW40" i="4"/>
  <c r="DT45" i="4"/>
  <c r="DT43" i="4"/>
  <c r="DT28" i="4"/>
  <c r="DT26" i="4"/>
  <c r="DT24" i="4"/>
  <c r="DT29" i="4"/>
  <c r="DT25" i="4"/>
  <c r="DT27" i="4"/>
  <c r="DT23" i="4"/>
  <c r="FD41" i="4"/>
  <c r="FY26" i="4"/>
  <c r="CU40" i="4"/>
  <c r="FT26" i="4"/>
  <c r="CU42" i="4"/>
  <c r="DC23" i="4"/>
  <c r="EO26" i="4"/>
  <c r="CB23" i="4"/>
  <c r="EN26" i="4"/>
  <c r="EA23" i="4"/>
  <c r="EB23" i="4"/>
  <c r="FE23" i="4"/>
  <c r="FL23" i="4"/>
  <c r="FL56" i="4" s="1"/>
  <c r="GB23" i="4"/>
  <c r="GB56" i="4" s="1"/>
  <c r="EL23" i="4"/>
  <c r="EL56" i="4" s="1"/>
  <c r="BN58" i="5"/>
  <c r="BN59" i="5" s="1"/>
  <c r="EO43" i="5"/>
  <c r="EO45" i="5"/>
  <c r="EO28" i="5"/>
  <c r="EO29" i="5"/>
  <c r="EO25" i="5"/>
  <c r="EO26" i="5"/>
  <c r="EO24" i="5"/>
  <c r="EO27" i="5"/>
  <c r="EO23" i="5"/>
  <c r="EO39" i="5"/>
  <c r="EO41" i="5"/>
  <c r="AZ43" i="5"/>
  <c r="AZ45" i="5"/>
  <c r="AZ27" i="5"/>
  <c r="AZ24" i="5"/>
  <c r="AZ29" i="5"/>
  <c r="AZ25" i="5"/>
  <c r="AZ41" i="5"/>
  <c r="AZ58" i="5" s="1"/>
  <c r="AZ59" i="5" s="1"/>
  <c r="AZ26" i="5"/>
  <c r="AZ23" i="5"/>
  <c r="AZ28" i="5"/>
  <c r="GA43" i="5"/>
  <c r="GA45" i="5"/>
  <c r="GA24" i="5"/>
  <c r="GA27" i="5"/>
  <c r="GA23" i="5"/>
  <c r="GA29" i="5"/>
  <c r="GA25" i="5"/>
  <c r="GA26" i="5"/>
  <c r="GA28" i="5"/>
  <c r="FW45" i="5"/>
  <c r="FW28" i="5"/>
  <c r="FW23" i="5"/>
  <c r="FW25" i="5"/>
  <c r="FW41" i="5"/>
  <c r="FW24" i="5"/>
  <c r="FW43" i="5"/>
  <c r="FW29" i="5"/>
  <c r="FW27" i="5"/>
  <c r="FW26" i="5"/>
  <c r="EO42" i="5"/>
  <c r="EO30" i="5"/>
  <c r="FE42" i="5"/>
  <c r="FE58" i="5" s="1"/>
  <c r="FE59" i="5" s="1"/>
  <c r="FE30" i="5"/>
  <c r="X56" i="5"/>
  <c r="AX58" i="5"/>
  <c r="AX59" i="5" s="1"/>
  <c r="AN58" i="5"/>
  <c r="AN59" i="5" s="1"/>
  <c r="DJ26" i="5"/>
  <c r="DO26" i="5"/>
  <c r="DO56" i="5" s="1"/>
  <c r="BO56" i="5"/>
  <c r="AQ42" i="4"/>
  <c r="AQ30" i="4"/>
  <c r="AP30" i="4"/>
  <c r="AP56" i="4" s="1"/>
  <c r="FA45" i="4"/>
  <c r="FA23" i="4"/>
  <c r="FA25" i="4"/>
  <c r="FA29" i="4"/>
  <c r="FA27" i="4"/>
  <c r="FA26" i="4"/>
  <c r="FA43" i="4"/>
  <c r="FA28" i="4"/>
  <c r="FA24" i="4"/>
  <c r="EC56" i="5"/>
  <c r="CC26" i="5"/>
  <c r="CC56" i="5" s="1"/>
  <c r="CZ43" i="4"/>
  <c r="CZ45" i="4"/>
  <c r="CZ23" i="4"/>
  <c r="CZ27" i="4"/>
  <c r="CZ24" i="4"/>
  <c r="CZ41" i="4"/>
  <c r="CZ28" i="4"/>
  <c r="CZ29" i="4"/>
  <c r="CZ25" i="4"/>
  <c r="CZ26" i="4"/>
  <c r="W56" i="4"/>
  <c r="DQ30" i="4"/>
  <c r="DQ56" i="4" s="1"/>
  <c r="DQ42" i="4"/>
  <c r="DN42" i="4"/>
  <c r="DN30" i="4"/>
  <c r="BD58" i="4"/>
  <c r="BD59" i="4" s="1"/>
  <c r="CH43" i="4"/>
  <c r="CH45" i="4"/>
  <c r="CH29" i="4"/>
  <c r="CH26" i="4"/>
  <c r="CH25" i="4"/>
  <c r="CH23" i="4"/>
  <c r="CH27" i="4"/>
  <c r="CH28" i="4"/>
  <c r="CH24" i="4"/>
  <c r="CM45" i="4"/>
  <c r="CM29" i="4"/>
  <c r="CM26" i="4"/>
  <c r="CM27" i="4"/>
  <c r="CM23" i="4"/>
  <c r="CM43" i="4"/>
  <c r="CM28" i="4"/>
  <c r="CM24" i="4"/>
  <c r="CM25" i="4"/>
  <c r="DI42" i="4"/>
  <c r="DI30" i="4"/>
  <c r="CG41" i="4"/>
  <c r="DU41" i="4"/>
  <c r="FE26" i="4"/>
  <c r="BL40" i="4"/>
  <c r="CR45" i="4"/>
  <c r="CR27" i="4"/>
  <c r="CR28" i="4"/>
  <c r="CR26" i="4"/>
  <c r="CR25" i="4"/>
  <c r="CR24" i="4"/>
  <c r="CR29" i="4"/>
  <c r="CR43" i="4"/>
  <c r="CR23" i="4"/>
  <c r="EU40" i="4"/>
  <c r="CG40" i="4"/>
  <c r="CQ45" i="4"/>
  <c r="CQ43" i="4"/>
  <c r="CQ27" i="4"/>
  <c r="CQ28" i="4"/>
  <c r="CQ26" i="4"/>
  <c r="CQ25" i="4"/>
  <c r="CQ24" i="4"/>
  <c r="CQ29" i="4"/>
  <c r="CQ23" i="4"/>
  <c r="DH40" i="4"/>
  <c r="CQ40" i="4"/>
  <c r="CN23" i="4"/>
  <c r="CN56" i="4" s="1"/>
  <c r="FM23" i="4"/>
  <c r="FM56" i="4" s="1"/>
  <c r="BJ60" i="5" l="1"/>
  <c r="BJ57" i="5"/>
  <c r="BJ61" i="5" s="1"/>
  <c r="DS58" i="5"/>
  <c r="DS59" i="5" s="1"/>
  <c r="DK58" i="5"/>
  <c r="DK59" i="5" s="1"/>
  <c r="CB56" i="5"/>
  <c r="EI58" i="5"/>
  <c r="EI59" i="5" s="1"/>
  <c r="EE58" i="5"/>
  <c r="EE59" i="5" s="1"/>
  <c r="DN58" i="5"/>
  <c r="DN59" i="5" s="1"/>
  <c r="DH58" i="5"/>
  <c r="DH59" i="5" s="1"/>
  <c r="ED56" i="5"/>
  <c r="FC58" i="5"/>
  <c r="FC59" i="5" s="1"/>
  <c r="DW58" i="5"/>
  <c r="DW59" i="5" s="1"/>
  <c r="DX58" i="5"/>
  <c r="DX59" i="5" s="1"/>
  <c r="BZ58" i="5"/>
  <c r="BZ59" i="5" s="1"/>
  <c r="CW56" i="5"/>
  <c r="CY60" i="5"/>
  <c r="CF58" i="5"/>
  <c r="CF59" i="5" s="1"/>
  <c r="BY58" i="5"/>
  <c r="BY59" i="5" s="1"/>
  <c r="CM58" i="5"/>
  <c r="CM59" i="5" s="1"/>
  <c r="CV58" i="5"/>
  <c r="CV59" i="5" s="1"/>
  <c r="BI58" i="5"/>
  <c r="BI59" i="5" s="1"/>
  <c r="FK58" i="5"/>
  <c r="FK59" i="5" s="1"/>
  <c r="DR58" i="5"/>
  <c r="AE56" i="5"/>
  <c r="EH56" i="5"/>
  <c r="AA61" i="5"/>
  <c r="CZ58" i="5"/>
  <c r="CZ59" i="5" s="1"/>
  <c r="CU58" i="5"/>
  <c r="CU59" i="5" s="1"/>
  <c r="DG56" i="5"/>
  <c r="DG57" i="5" s="1"/>
  <c r="FW58" i="5"/>
  <c r="FW59" i="5" s="1"/>
  <c r="CG58" i="5"/>
  <c r="CG59" i="5" s="1"/>
  <c r="FU58" i="5"/>
  <c r="FU59" i="5" s="1"/>
  <c r="AA60" i="5"/>
  <c r="EZ58" i="5"/>
  <c r="EZ59" i="5" s="1"/>
  <c r="AE58" i="5"/>
  <c r="AE59" i="5" s="1"/>
  <c r="DI58" i="5"/>
  <c r="DI59" i="5" s="1"/>
  <c r="CD56" i="5"/>
  <c r="CD60" i="5" s="1"/>
  <c r="CM56" i="5"/>
  <c r="FM58" i="5"/>
  <c r="FM59" i="5" s="1"/>
  <c r="BP58" i="5"/>
  <c r="BP59" i="5" s="1"/>
  <c r="DU58" i="5"/>
  <c r="DU59" i="5" s="1"/>
  <c r="CE56" i="5"/>
  <c r="CE60" i="5" s="1"/>
  <c r="FC56" i="5"/>
  <c r="FC57" i="5" s="1"/>
  <c r="FC61" i="5" s="1"/>
  <c r="DK56" i="5"/>
  <c r="DK57" i="5" s="1"/>
  <c r="DK61" i="5" s="1"/>
  <c r="FZ58" i="5"/>
  <c r="FZ59" i="5" s="1"/>
  <c r="DF58" i="5"/>
  <c r="DF59" i="5" s="1"/>
  <c r="DJ58" i="5"/>
  <c r="DJ59" i="5" s="1"/>
  <c r="EG58" i="5"/>
  <c r="EG59" i="5" s="1"/>
  <c r="DG58" i="5"/>
  <c r="DG59" i="5" s="1"/>
  <c r="DG61" i="5" s="1"/>
  <c r="FT58" i="5"/>
  <c r="FT59" i="5" s="1"/>
  <c r="EU58" i="5"/>
  <c r="EU59" i="5" s="1"/>
  <c r="Y56" i="5"/>
  <c r="CP58" i="5"/>
  <c r="CP59" i="5" s="1"/>
  <c r="CI58" i="5"/>
  <c r="CI59" i="5" s="1"/>
  <c r="EM57" i="5"/>
  <c r="EM61" i="5" s="1"/>
  <c r="EM60" i="5"/>
  <c r="CK60" i="5"/>
  <c r="CK57" i="5"/>
  <c r="CK61" i="5" s="1"/>
  <c r="CM57" i="5"/>
  <c r="BH60" i="5"/>
  <c r="BH57" i="5"/>
  <c r="BH61" i="5" s="1"/>
  <c r="BM60" i="4"/>
  <c r="BM57" i="4"/>
  <c r="BM61" i="4" s="1"/>
  <c r="BG60" i="5"/>
  <c r="BG57" i="5"/>
  <c r="BG61" i="5" s="1"/>
  <c r="DC57" i="5"/>
  <c r="DC61" i="5" s="1"/>
  <c r="DC60" i="5"/>
  <c r="EL57" i="5"/>
  <c r="CB57" i="5"/>
  <c r="CB61" i="5" s="1"/>
  <c r="CB60" i="5"/>
  <c r="ED57" i="5"/>
  <c r="ED61" i="5" s="1"/>
  <c r="ED60" i="5"/>
  <c r="DX60" i="5"/>
  <c r="DX57" i="5"/>
  <c r="DX61" i="5" s="1"/>
  <c r="AL60" i="5"/>
  <c r="AL57" i="5"/>
  <c r="AL61" i="5" s="1"/>
  <c r="CI60" i="5"/>
  <c r="CI57" i="5"/>
  <c r="CI61" i="5" s="1"/>
  <c r="DR59" i="5"/>
  <c r="DR61" i="5" s="1"/>
  <c r="DR60" i="5"/>
  <c r="CH60" i="5"/>
  <c r="CH57" i="5"/>
  <c r="CH61" i="5" s="1"/>
  <c r="AP60" i="4"/>
  <c r="AP57" i="4"/>
  <c r="AP61" i="4" s="1"/>
  <c r="FE60" i="5"/>
  <c r="FE57" i="5"/>
  <c r="FE61" i="5" s="1"/>
  <c r="DL57" i="5"/>
  <c r="DL61" i="5" s="1"/>
  <c r="DL60" i="5"/>
  <c r="EW57" i="5"/>
  <c r="EW61" i="5" s="1"/>
  <c r="EW60" i="5"/>
  <c r="CF57" i="5"/>
  <c r="FS57" i="5"/>
  <c r="FS61" i="5" s="1"/>
  <c r="FS60" i="5"/>
  <c r="DQ57" i="4"/>
  <c r="DD60" i="5"/>
  <c r="DD57" i="5"/>
  <c r="DD61" i="5" s="1"/>
  <c r="AK60" i="5"/>
  <c r="AK57" i="5"/>
  <c r="AK61" i="5" s="1"/>
  <c r="CG57" i="5"/>
  <c r="CG61" i="5" s="1"/>
  <c r="CG60" i="5"/>
  <c r="DB60" i="5"/>
  <c r="DB57" i="5"/>
  <c r="DB61" i="5" s="1"/>
  <c r="DN60" i="5"/>
  <c r="DN57" i="5"/>
  <c r="EF60" i="5"/>
  <c r="EF57" i="5"/>
  <c r="EF61" i="5" s="1"/>
  <c r="BI57" i="5"/>
  <c r="CS60" i="5"/>
  <c r="CS57" i="5"/>
  <c r="CS61" i="5" s="1"/>
  <c r="CR60" i="5"/>
  <c r="CR57" i="5"/>
  <c r="CR61" i="5" s="1"/>
  <c r="DM60" i="5"/>
  <c r="DM57" i="5"/>
  <c r="DM61" i="5" s="1"/>
  <c r="EH60" i="5"/>
  <c r="EH57" i="5"/>
  <c r="EH61" i="5" s="1"/>
  <c r="FF60" i="5"/>
  <c r="FF57" i="5"/>
  <c r="FF61" i="5" s="1"/>
  <c r="AS60" i="4"/>
  <c r="AS57" i="4"/>
  <c r="AS61" i="4" s="1"/>
  <c r="GB60" i="5"/>
  <c r="GB57" i="5"/>
  <c r="GB61" i="5" s="1"/>
  <c r="FC60" i="5"/>
  <c r="CN60" i="5"/>
  <c r="CN57" i="5"/>
  <c r="CN61" i="5" s="1"/>
  <c r="BX60" i="4"/>
  <c r="BX57" i="4"/>
  <c r="DE60" i="5"/>
  <c r="DE57" i="5"/>
  <c r="DE61" i="5" s="1"/>
  <c r="DK57" i="4"/>
  <c r="BW56" i="4"/>
  <c r="AY57" i="5"/>
  <c r="AY61" i="5" s="1"/>
  <c r="AY60" i="5"/>
  <c r="EG56" i="5"/>
  <c r="EK60" i="5"/>
  <c r="EK57" i="5"/>
  <c r="EK61" i="5" s="1"/>
  <c r="FV57" i="4"/>
  <c r="FV61" i="4" s="1"/>
  <c r="FV60" i="4"/>
  <c r="EN56" i="5"/>
  <c r="CR58" i="4"/>
  <c r="CR59" i="4" s="1"/>
  <c r="EV56" i="5"/>
  <c r="EH56" i="4"/>
  <c r="FM56" i="5"/>
  <c r="FC56" i="4"/>
  <c r="DF58" i="4"/>
  <c r="DF59" i="4" s="1"/>
  <c r="CL58" i="4"/>
  <c r="CL59" i="4" s="1"/>
  <c r="CW56" i="4"/>
  <c r="FB60" i="5"/>
  <c r="FB57" i="5"/>
  <c r="FB61" i="5" s="1"/>
  <c r="CY61" i="5"/>
  <c r="DH56" i="4"/>
  <c r="AO57" i="5"/>
  <c r="AO61" i="5" s="1"/>
  <c r="AO60" i="5"/>
  <c r="AX57" i="4"/>
  <c r="AX61" i="4" s="1"/>
  <c r="AX60" i="4"/>
  <c r="CT56" i="5"/>
  <c r="EO57" i="4"/>
  <c r="EO61" i="4" s="1"/>
  <c r="EO60" i="4"/>
  <c r="AD58" i="5"/>
  <c r="AD59" i="5" s="1"/>
  <c r="AB57" i="4"/>
  <c r="AB61" i="4" s="1"/>
  <c r="AB60" i="4"/>
  <c r="CO57" i="5"/>
  <c r="CO61" i="5" s="1"/>
  <c r="CO60" i="5"/>
  <c r="BH58" i="4"/>
  <c r="BH59" i="4" s="1"/>
  <c r="EU58" i="4"/>
  <c r="EU59" i="4" s="1"/>
  <c r="CX56" i="4"/>
  <c r="EV60" i="4"/>
  <c r="EV57" i="4"/>
  <c r="EV61" i="4" s="1"/>
  <c r="AV57" i="4"/>
  <c r="AV61" i="4" s="1"/>
  <c r="AV60" i="4"/>
  <c r="EI56" i="4"/>
  <c r="BL61" i="5"/>
  <c r="DG58" i="4"/>
  <c r="DG59" i="4" s="1"/>
  <c r="CM58" i="4"/>
  <c r="CM59" i="4" s="1"/>
  <c r="CI58" i="4"/>
  <c r="CI59" i="4" s="1"/>
  <c r="DQ56" i="5"/>
  <c r="FU60" i="4"/>
  <c r="FU57" i="4"/>
  <c r="FU61" i="4" s="1"/>
  <c r="DS58" i="4"/>
  <c r="DS59" i="4" s="1"/>
  <c r="AO56" i="4"/>
  <c r="DV57" i="5"/>
  <c r="AL58" i="4"/>
  <c r="AL59" i="4" s="1"/>
  <c r="CQ56" i="4"/>
  <c r="CL57" i="5"/>
  <c r="CL61" i="5" s="1"/>
  <c r="CL60" i="5"/>
  <c r="AF60" i="5"/>
  <c r="AF57" i="5"/>
  <c r="AF61" i="5" s="1"/>
  <c r="DU58" i="4"/>
  <c r="DU59" i="4" s="1"/>
  <c r="EL57" i="4"/>
  <c r="EL61" i="4" s="1"/>
  <c r="EL60" i="4"/>
  <c r="FP56" i="4"/>
  <c r="EP58" i="5"/>
  <c r="EP59" i="5" s="1"/>
  <c r="DA56" i="4"/>
  <c r="ET58" i="5"/>
  <c r="ET59" i="5" s="1"/>
  <c r="FC58" i="4"/>
  <c r="FC59" i="4" s="1"/>
  <c r="CA58" i="5"/>
  <c r="CA59" i="5" s="1"/>
  <c r="EE60" i="5"/>
  <c r="EE57" i="5"/>
  <c r="EE61" i="5" s="1"/>
  <c r="V60" i="4"/>
  <c r="V57" i="4"/>
  <c r="V61" i="4" s="1"/>
  <c r="DK58" i="4"/>
  <c r="DK59" i="4" s="1"/>
  <c r="CP58" i="4"/>
  <c r="CP59" i="4" s="1"/>
  <c r="DE58" i="4"/>
  <c r="DE59" i="4" s="1"/>
  <c r="BT57" i="5"/>
  <c r="BT61" i="5" s="1"/>
  <c r="BT60" i="5"/>
  <c r="EN57" i="4"/>
  <c r="EN61" i="4" s="1"/>
  <c r="EN60" i="4"/>
  <c r="T57" i="5"/>
  <c r="T61" i="5" s="1"/>
  <c r="T60" i="5"/>
  <c r="AJ56" i="4"/>
  <c r="DQ58" i="4"/>
  <c r="DQ59" i="4" s="1"/>
  <c r="AW57" i="5"/>
  <c r="AW61" i="5" s="1"/>
  <c r="AW60" i="5"/>
  <c r="FP60" i="5"/>
  <c r="FP57" i="5"/>
  <c r="FP61" i="5" s="1"/>
  <c r="AT57" i="4"/>
  <c r="AT61" i="4" s="1"/>
  <c r="AT60" i="4"/>
  <c r="CX57" i="5"/>
  <c r="CX61" i="5" s="1"/>
  <c r="CX60" i="5"/>
  <c r="FX58" i="4"/>
  <c r="FX59" i="4" s="1"/>
  <c r="AB60" i="5"/>
  <c r="AB57" i="5"/>
  <c r="AB61" i="5" s="1"/>
  <c r="DR56" i="4"/>
  <c r="EI56" i="5"/>
  <c r="FH60" i="5"/>
  <c r="FH57" i="5"/>
  <c r="FH61" i="5" s="1"/>
  <c r="BR57" i="5"/>
  <c r="BR61" i="5" s="1"/>
  <c r="BR60" i="5"/>
  <c r="CW57" i="5"/>
  <c r="CT58" i="4"/>
  <c r="CT59" i="4" s="1"/>
  <c r="ED56" i="4"/>
  <c r="BL56" i="4"/>
  <c r="ES56" i="4"/>
  <c r="EK56" i="4"/>
  <c r="DT61" i="5"/>
  <c r="EA56" i="4"/>
  <c r="CV56" i="4"/>
  <c r="CJ56" i="4"/>
  <c r="CU56" i="5"/>
  <c r="FD60" i="5"/>
  <c r="FD57" i="5"/>
  <c r="FD61" i="5" s="1"/>
  <c r="FY58" i="4"/>
  <c r="FY59" i="4" s="1"/>
  <c r="DH60" i="5"/>
  <c r="DH57" i="5"/>
  <c r="DH61" i="5" s="1"/>
  <c r="EL58" i="5"/>
  <c r="EL59" i="5" s="1"/>
  <c r="AX57" i="5"/>
  <c r="AX61" i="5" s="1"/>
  <c r="AX60" i="5"/>
  <c r="BA56" i="5"/>
  <c r="DB58" i="4"/>
  <c r="DB59" i="4" s="1"/>
  <c r="DV58" i="4"/>
  <c r="DV59" i="4" s="1"/>
  <c r="BA57" i="4"/>
  <c r="BA61" i="4" s="1"/>
  <c r="BA60" i="4"/>
  <c r="FZ56" i="5"/>
  <c r="BQ57" i="5"/>
  <c r="BQ61" i="5" s="1"/>
  <c r="BQ60" i="5"/>
  <c r="CO56" i="4"/>
  <c r="AI61" i="4"/>
  <c r="DT60" i="5"/>
  <c r="FY57" i="4"/>
  <c r="AH60" i="5"/>
  <c r="AH57" i="5"/>
  <c r="AH61" i="5" s="1"/>
  <c r="FS60" i="4"/>
  <c r="FS57" i="4"/>
  <c r="FS61" i="4" s="1"/>
  <c r="BZ57" i="5"/>
  <c r="BZ61" i="5" s="1"/>
  <c r="EX60" i="5"/>
  <c r="EX57" i="5"/>
  <c r="EX61" i="5" s="1"/>
  <c r="CC60" i="5"/>
  <c r="CC57" i="5"/>
  <c r="CC61" i="5" s="1"/>
  <c r="BG56" i="4"/>
  <c r="DA57" i="5"/>
  <c r="ER57" i="4"/>
  <c r="ER61" i="4" s="1"/>
  <c r="ER60" i="4"/>
  <c r="CC58" i="4"/>
  <c r="CC59" i="4" s="1"/>
  <c r="FQ57" i="4"/>
  <c r="AU60" i="4"/>
  <c r="AU57" i="4"/>
  <c r="AU61" i="4" s="1"/>
  <c r="FL57" i="4"/>
  <c r="FL61" i="4" s="1"/>
  <c r="FL60" i="4"/>
  <c r="BY57" i="4"/>
  <c r="BY61" i="4" s="1"/>
  <c r="AN56" i="4"/>
  <c r="FK60" i="4"/>
  <c r="FK57" i="4"/>
  <c r="FK61" i="4" s="1"/>
  <c r="EU56" i="5"/>
  <c r="DV58" i="5"/>
  <c r="DV59" i="5" s="1"/>
  <c r="BE57" i="4"/>
  <c r="BE61" i="4" s="1"/>
  <c r="BE60" i="4"/>
  <c r="EF58" i="4"/>
  <c r="EF59" i="4" s="1"/>
  <c r="BN56" i="4"/>
  <c r="EG56" i="4"/>
  <c r="AZ57" i="4"/>
  <c r="AZ61" i="4" s="1"/>
  <c r="AZ60" i="4"/>
  <c r="AR57" i="5"/>
  <c r="AR61" i="5" s="1"/>
  <c r="AR60" i="5"/>
  <c r="EI58" i="4"/>
  <c r="EI59" i="4" s="1"/>
  <c r="EF56" i="4"/>
  <c r="DI57" i="5"/>
  <c r="EJ56" i="5"/>
  <c r="DW56" i="4"/>
  <c r="BZ58" i="4"/>
  <c r="BZ59" i="4" s="1"/>
  <c r="CV58" i="4"/>
  <c r="CV59" i="4" s="1"/>
  <c r="CR56" i="4"/>
  <c r="DC56" i="4"/>
  <c r="CV57" i="5"/>
  <c r="AJ58" i="4"/>
  <c r="AJ59" i="4" s="1"/>
  <c r="AI57" i="5"/>
  <c r="AI61" i="5" s="1"/>
  <c r="AI60" i="5"/>
  <c r="FL58" i="5"/>
  <c r="FL59" i="5" s="1"/>
  <c r="FQ58" i="4"/>
  <c r="FQ59" i="4" s="1"/>
  <c r="GB58" i="4"/>
  <c r="GB59" i="4" s="1"/>
  <c r="EP56" i="5"/>
  <c r="BS60" i="4"/>
  <c r="BS57" i="4"/>
  <c r="BS61" i="4" s="1"/>
  <c r="BY56" i="5"/>
  <c r="GA56" i="4"/>
  <c r="DU57" i="5"/>
  <c r="FZ56" i="4"/>
  <c r="BM60" i="5"/>
  <c r="BM57" i="5"/>
  <c r="BM61" i="5" s="1"/>
  <c r="DL58" i="4"/>
  <c r="DL59" i="4" s="1"/>
  <c r="DX58" i="4"/>
  <c r="DX59" i="4" s="1"/>
  <c r="AY60" i="4"/>
  <c r="AY57" i="4"/>
  <c r="AY61" i="4" s="1"/>
  <c r="AE57" i="5"/>
  <c r="FG58" i="5"/>
  <c r="FG59" i="5" s="1"/>
  <c r="BK57" i="5"/>
  <c r="BK61" i="5" s="1"/>
  <c r="BK60" i="5"/>
  <c r="W60" i="5"/>
  <c r="W57" i="5"/>
  <c r="W61" i="5" s="1"/>
  <c r="AF60" i="4"/>
  <c r="AF57" i="4"/>
  <c r="AF61" i="4" s="1"/>
  <c r="CJ57" i="5"/>
  <c r="CJ61" i="5" s="1"/>
  <c r="CJ60" i="5"/>
  <c r="EN58" i="5"/>
  <c r="EN59" i="5" s="1"/>
  <c r="CQ58" i="4"/>
  <c r="CQ59" i="4" s="1"/>
  <c r="ES56" i="5"/>
  <c r="FA56" i="4"/>
  <c r="FO57" i="4"/>
  <c r="FO61" i="4" s="1"/>
  <c r="FO60" i="4"/>
  <c r="Z60" i="5"/>
  <c r="Z57" i="5"/>
  <c r="Z61" i="5" s="1"/>
  <c r="AK60" i="4"/>
  <c r="AK57" i="4"/>
  <c r="AK61" i="4" s="1"/>
  <c r="DM58" i="4"/>
  <c r="DM59" i="4" s="1"/>
  <c r="FW56" i="5"/>
  <c r="FT57" i="4"/>
  <c r="FT61" i="4" s="1"/>
  <c r="FT60" i="4"/>
  <c r="FU56" i="5"/>
  <c r="CX58" i="4"/>
  <c r="CX59" i="4" s="1"/>
  <c r="AD56" i="5"/>
  <c r="DW58" i="4"/>
  <c r="DW59" i="4" s="1"/>
  <c r="AE57" i="4"/>
  <c r="AE61" i="4" s="1"/>
  <c r="AE60" i="4"/>
  <c r="DO57" i="5"/>
  <c r="DO61" i="5" s="1"/>
  <c r="DO60" i="5"/>
  <c r="EO58" i="5"/>
  <c r="EO59" i="5" s="1"/>
  <c r="EO56" i="5"/>
  <c r="AV57" i="5"/>
  <c r="AV61" i="5" s="1"/>
  <c r="AV60" i="5"/>
  <c r="DD56" i="4"/>
  <c r="CG56" i="4"/>
  <c r="CA57" i="4"/>
  <c r="CA61" i="4" s="1"/>
  <c r="EJ58" i="4"/>
  <c r="EJ59" i="4" s="1"/>
  <c r="FA58" i="4"/>
  <c r="FA59" i="4" s="1"/>
  <c r="FV57" i="5"/>
  <c r="FV61" i="5" s="1"/>
  <c r="FV60" i="5"/>
  <c r="FL56" i="5"/>
  <c r="FJ58" i="5"/>
  <c r="FJ59" i="5" s="1"/>
  <c r="CB58" i="4"/>
  <c r="CB59" i="4" s="1"/>
  <c r="BX58" i="4"/>
  <c r="BX59" i="4" s="1"/>
  <c r="BL58" i="4"/>
  <c r="BL59" i="4" s="1"/>
  <c r="U60" i="5"/>
  <c r="U57" i="5"/>
  <c r="U61" i="5" s="1"/>
  <c r="EW57" i="4"/>
  <c r="EW61" i="4" s="1"/>
  <c r="EW60" i="4"/>
  <c r="CF60" i="4"/>
  <c r="CF57" i="4"/>
  <c r="CF61" i="4" s="1"/>
  <c r="FM60" i="4"/>
  <c r="FM57" i="4"/>
  <c r="FM61" i="4" s="1"/>
  <c r="AQ57" i="5"/>
  <c r="AQ61" i="5" s="1"/>
  <c r="AQ60" i="5"/>
  <c r="AL57" i="4"/>
  <c r="CE57" i="4"/>
  <c r="BW57" i="5"/>
  <c r="BW61" i="5" s="1"/>
  <c r="BW60" i="5"/>
  <c r="CN57" i="4"/>
  <c r="CN61" i="4" s="1"/>
  <c r="CN60" i="4"/>
  <c r="BT57" i="4"/>
  <c r="BT61" i="4" s="1"/>
  <c r="BT60" i="4"/>
  <c r="AC57" i="4"/>
  <c r="AC61" i="4" s="1"/>
  <c r="AC60" i="4"/>
  <c r="EU56" i="4"/>
  <c r="DI58" i="4"/>
  <c r="DI59" i="4" s="1"/>
  <c r="BQ60" i="4"/>
  <c r="BQ57" i="4"/>
  <c r="BQ61" i="4" s="1"/>
  <c r="FN60" i="4"/>
  <c r="FN57" i="4"/>
  <c r="FN61" i="4" s="1"/>
  <c r="EY57" i="5"/>
  <c r="EY61" i="5" s="1"/>
  <c r="EY60" i="5"/>
  <c r="EQ57" i="4"/>
  <c r="EQ61" i="4" s="1"/>
  <c r="EQ60" i="4"/>
  <c r="FR60" i="4"/>
  <c r="FR57" i="4"/>
  <c r="FR61" i="4" s="1"/>
  <c r="CS58" i="4"/>
  <c r="CS59" i="4" s="1"/>
  <c r="W57" i="4"/>
  <c r="W61" i="4" s="1"/>
  <c r="W60" i="4"/>
  <c r="DW57" i="5"/>
  <c r="DL56" i="4"/>
  <c r="DT58" i="4"/>
  <c r="DT59" i="4" s="1"/>
  <c r="BC57" i="4"/>
  <c r="BC61" i="4" s="1"/>
  <c r="BC60" i="4"/>
  <c r="DX56" i="4"/>
  <c r="AW57" i="4"/>
  <c r="AW61" i="4" s="1"/>
  <c r="AW60" i="4"/>
  <c r="T56" i="4"/>
  <c r="BN60" i="5"/>
  <c r="CM56" i="4"/>
  <c r="EA57" i="5"/>
  <c r="EA61" i="5" s="1"/>
  <c r="EA60" i="5"/>
  <c r="BO60" i="5"/>
  <c r="BO57" i="5"/>
  <c r="BO61" i="5" s="1"/>
  <c r="CZ56" i="4"/>
  <c r="DN58" i="4"/>
  <c r="DN59" i="4" s="1"/>
  <c r="BB60" i="5"/>
  <c r="BB57" i="5"/>
  <c r="BB61" i="5" s="1"/>
  <c r="ER56" i="5"/>
  <c r="BE60" i="5"/>
  <c r="BE57" i="5"/>
  <c r="BE61" i="5" s="1"/>
  <c r="FG56" i="5"/>
  <c r="FI57" i="4"/>
  <c r="FI61" i="4" s="1"/>
  <c r="FI60" i="4"/>
  <c r="FG58" i="4"/>
  <c r="FG59" i="4" s="1"/>
  <c r="CD56" i="4"/>
  <c r="AT60" i="5"/>
  <c r="BZ56" i="4"/>
  <c r="DA58" i="5"/>
  <c r="DA59" i="5" s="1"/>
  <c r="CD58" i="4"/>
  <c r="CD59" i="4" s="1"/>
  <c r="CF58" i="4"/>
  <c r="CF59" i="4" s="1"/>
  <c r="BC60" i="5"/>
  <c r="BC57" i="5"/>
  <c r="BC61" i="5" s="1"/>
  <c r="BS57" i="5"/>
  <c r="BS61" i="5" s="1"/>
  <c r="BS60" i="5"/>
  <c r="BD57" i="4"/>
  <c r="BD61" i="4" s="1"/>
  <c r="BD60" i="4"/>
  <c r="EJ57" i="4"/>
  <c r="AN60" i="5"/>
  <c r="AN57" i="5"/>
  <c r="AN61" i="5" s="1"/>
  <c r="AR60" i="4"/>
  <c r="AR57" i="4"/>
  <c r="AR61" i="4" s="1"/>
  <c r="CS57" i="4"/>
  <c r="CS61" i="4" s="1"/>
  <c r="CS60" i="4"/>
  <c r="FF57" i="4"/>
  <c r="FF61" i="4" s="1"/>
  <c r="FF60" i="4"/>
  <c r="EC56" i="4"/>
  <c r="FE56" i="4"/>
  <c r="AU60" i="5"/>
  <c r="AU57" i="5"/>
  <c r="AU61" i="5" s="1"/>
  <c r="BN61" i="5"/>
  <c r="AC60" i="5"/>
  <c r="AC57" i="5"/>
  <c r="AC61" i="5" s="1"/>
  <c r="EJ58" i="5"/>
  <c r="EJ59" i="5" s="1"/>
  <c r="EQ56" i="5"/>
  <c r="BP60" i="5"/>
  <c r="BP57" i="5"/>
  <c r="BP61" i="5" s="1"/>
  <c r="FD56" i="4"/>
  <c r="BI58" i="4"/>
  <c r="BI59" i="4" s="1"/>
  <c r="CT57" i="4"/>
  <c r="DP56" i="5"/>
  <c r="AH60" i="4"/>
  <c r="AH57" i="4"/>
  <c r="AH61" i="4" s="1"/>
  <c r="AJ57" i="5"/>
  <c r="AJ61" i="5" s="1"/>
  <c r="AJ60" i="5"/>
  <c r="EZ58" i="4"/>
  <c r="EZ59" i="4" s="1"/>
  <c r="FR56" i="5"/>
  <c r="BK56" i="4"/>
  <c r="EM57" i="4"/>
  <c r="EM61" i="4" s="1"/>
  <c r="EM60" i="4"/>
  <c r="EC58" i="4"/>
  <c r="EC59" i="4" s="1"/>
  <c r="FI60" i="5"/>
  <c r="FI57" i="5"/>
  <c r="FI61" i="5" s="1"/>
  <c r="EP56" i="4"/>
  <c r="DM56" i="4"/>
  <c r="ED58" i="4"/>
  <c r="ED59" i="4" s="1"/>
  <c r="AS60" i="5"/>
  <c r="AS57" i="5"/>
  <c r="AS61" i="5" s="1"/>
  <c r="FJ56" i="5"/>
  <c r="BY58" i="4"/>
  <c r="BY59" i="4" s="1"/>
  <c r="DO58" i="4"/>
  <c r="DO59" i="4" s="1"/>
  <c r="DD58" i="4"/>
  <c r="DD59" i="4" s="1"/>
  <c r="ET60" i="4"/>
  <c r="ET57" i="4"/>
  <c r="ET61" i="4" s="1"/>
  <c r="AG60" i="4"/>
  <c r="AG57" i="4"/>
  <c r="AG61" i="4" s="1"/>
  <c r="EV58" i="5"/>
  <c r="EV59" i="5" s="1"/>
  <c r="DE56" i="4"/>
  <c r="FJ57" i="4"/>
  <c r="FJ61" i="4" s="1"/>
  <c r="FJ60" i="4"/>
  <c r="CH58" i="4"/>
  <c r="CH59" i="4" s="1"/>
  <c r="CZ57" i="5"/>
  <c r="CZ61" i="5" s="1"/>
  <c r="CZ60" i="5"/>
  <c r="AZ56" i="5"/>
  <c r="CL56" i="4"/>
  <c r="GB60" i="4"/>
  <c r="GB57" i="4"/>
  <c r="GB61" i="4" s="1"/>
  <c r="BI56" i="4"/>
  <c r="DN60" i="4"/>
  <c r="DN57" i="4"/>
  <c r="DN61" i="4" s="1"/>
  <c r="CY56" i="4"/>
  <c r="DJ57" i="5"/>
  <c r="S60" i="4"/>
  <c r="S57" i="4"/>
  <c r="S61" i="4" s="1"/>
  <c r="DA58" i="4"/>
  <c r="DA59" i="4" s="1"/>
  <c r="BF57" i="4"/>
  <c r="BF61" i="4" s="1"/>
  <c r="BF60" i="4"/>
  <c r="EB60" i="5"/>
  <c r="EB57" i="5"/>
  <c r="EB61" i="5" s="1"/>
  <c r="FA60" i="5"/>
  <c r="FA57" i="5"/>
  <c r="FA61" i="5" s="1"/>
  <c r="AO58" i="4"/>
  <c r="AO59" i="4" s="1"/>
  <c r="CZ58" i="4"/>
  <c r="CZ59" i="4" s="1"/>
  <c r="FN60" i="5"/>
  <c r="FN57" i="5"/>
  <c r="FN61" i="5" s="1"/>
  <c r="FW56" i="4"/>
  <c r="EY60" i="4"/>
  <c r="EY57" i="4"/>
  <c r="EY61" i="4" s="1"/>
  <c r="DF56" i="4"/>
  <c r="DO56" i="4"/>
  <c r="BF60" i="5"/>
  <c r="BF57" i="5"/>
  <c r="BF61" i="5" s="1"/>
  <c r="FW58" i="4"/>
  <c r="FW59" i="4" s="1"/>
  <c r="FB58" i="4"/>
  <c r="FB59" i="4" s="1"/>
  <c r="FH57" i="4"/>
  <c r="FH61" i="4" s="1"/>
  <c r="FH60" i="4"/>
  <c r="BB57" i="4"/>
  <c r="BB61" i="4" s="1"/>
  <c r="BB60" i="4"/>
  <c r="AP57" i="5"/>
  <c r="AP61" i="5" s="1"/>
  <c r="AP60" i="5"/>
  <c r="S57" i="5"/>
  <c r="S61" i="5" s="1"/>
  <c r="S60" i="5"/>
  <c r="FY56" i="5"/>
  <c r="BW58" i="4"/>
  <c r="BW59" i="4" s="1"/>
  <c r="CE58" i="4"/>
  <c r="CE59" i="4" s="1"/>
  <c r="CJ58" i="4"/>
  <c r="CJ59" i="4" s="1"/>
  <c r="FQ61" i="5"/>
  <c r="EZ56" i="4"/>
  <c r="DB56" i="4"/>
  <c r="Z60" i="4"/>
  <c r="DS57" i="4"/>
  <c r="EX57" i="4"/>
  <c r="EX61" i="4" s="1"/>
  <c r="EX60" i="4"/>
  <c r="AM57" i="5"/>
  <c r="AM61" i="5" s="1"/>
  <c r="AM60" i="5"/>
  <c r="BH56" i="4"/>
  <c r="DI57" i="4"/>
  <c r="CQ60" i="5"/>
  <c r="CQ57" i="5"/>
  <c r="CQ61" i="5" s="1"/>
  <c r="CK56" i="4"/>
  <c r="AM60" i="4"/>
  <c r="AM57" i="4"/>
  <c r="AM61" i="4" s="1"/>
  <c r="CP60" i="5"/>
  <c r="CP57" i="5"/>
  <c r="CP61" i="5" s="1"/>
  <c r="DP60" i="4"/>
  <c r="DP57" i="4"/>
  <c r="DP61" i="4" s="1"/>
  <c r="AN58" i="4"/>
  <c r="AN59" i="4" s="1"/>
  <c r="BO57" i="4"/>
  <c r="BO61" i="4" s="1"/>
  <c r="BO60" i="4"/>
  <c r="DJ58" i="4"/>
  <c r="DJ59" i="4" s="1"/>
  <c r="DJ56" i="4"/>
  <c r="X57" i="4"/>
  <c r="X61" i="4" s="1"/>
  <c r="X60" i="4"/>
  <c r="FG57" i="4"/>
  <c r="EB56" i="4"/>
  <c r="CI57" i="4"/>
  <c r="CI61" i="4" s="1"/>
  <c r="CI60" i="4"/>
  <c r="BD60" i="5"/>
  <c r="BD57" i="5"/>
  <c r="BD61" i="5" s="1"/>
  <c r="DU56" i="4"/>
  <c r="CP60" i="4"/>
  <c r="CP57" i="4"/>
  <c r="DS56" i="5"/>
  <c r="CB56" i="4"/>
  <c r="FO60" i="5"/>
  <c r="FO57" i="5"/>
  <c r="FO61" i="5" s="1"/>
  <c r="GA58" i="4"/>
  <c r="GA59" i="4" s="1"/>
  <c r="DF57" i="5"/>
  <c r="DF61" i="5" s="1"/>
  <c r="DF60" i="5"/>
  <c r="FB56" i="4"/>
  <c r="ET56" i="5"/>
  <c r="GA56" i="5"/>
  <c r="CH56" i="4"/>
  <c r="X60" i="5"/>
  <c r="X57" i="5"/>
  <c r="X61" i="5" s="1"/>
  <c r="EC60" i="5"/>
  <c r="EC57" i="5"/>
  <c r="EC61" i="5" s="1"/>
  <c r="DT56" i="4"/>
  <c r="DG56" i="4"/>
  <c r="FX56" i="4"/>
  <c r="FX56" i="5"/>
  <c r="BX56" i="5"/>
  <c r="AG60" i="5"/>
  <c r="AG57" i="5"/>
  <c r="AG61" i="5" s="1"/>
  <c r="CU56" i="4"/>
  <c r="FT56" i="5"/>
  <c r="AQ56" i="4"/>
  <c r="FK56" i="5"/>
  <c r="EE57" i="4"/>
  <c r="EE61" i="4" s="1"/>
  <c r="EE60" i="4"/>
  <c r="CW58" i="5"/>
  <c r="CW59" i="5" s="1"/>
  <c r="CA56" i="5"/>
  <c r="V60" i="5"/>
  <c r="V57" i="5"/>
  <c r="V61" i="5" s="1"/>
  <c r="CA58" i="4"/>
  <c r="CA59" i="4" s="1"/>
  <c r="DP58" i="4"/>
  <c r="DP59" i="4" s="1"/>
  <c r="DH58" i="4"/>
  <c r="DH59" i="4" s="1"/>
  <c r="EZ56" i="5"/>
  <c r="FQ60" i="5"/>
  <c r="CC56" i="4"/>
  <c r="DV56" i="4"/>
  <c r="Z61" i="4"/>
  <c r="FQ61" i="4" l="1"/>
  <c r="FQ60" i="4"/>
  <c r="DS61" i="4"/>
  <c r="BX61" i="4"/>
  <c r="CE57" i="5"/>
  <c r="CE61" i="5" s="1"/>
  <c r="CM60" i="5"/>
  <c r="CM61" i="5"/>
  <c r="CD57" i="5"/>
  <c r="CD61" i="5" s="1"/>
  <c r="BZ60" i="5"/>
  <c r="AE61" i="5"/>
  <c r="CV61" i="5"/>
  <c r="AE60" i="5"/>
  <c r="CV60" i="5"/>
  <c r="CF61" i="5"/>
  <c r="CF60" i="5"/>
  <c r="DW61" i="5"/>
  <c r="EL60" i="5"/>
  <c r="Y57" i="5"/>
  <c r="Y61" i="5" s="1"/>
  <c r="AT62" i="5" s="1"/>
  <c r="Y60" i="5"/>
  <c r="DW60" i="5"/>
  <c r="EL61" i="5"/>
  <c r="EM62" i="5" s="1"/>
  <c r="DK60" i="5"/>
  <c r="BI60" i="5"/>
  <c r="DI61" i="5"/>
  <c r="BI61" i="5"/>
  <c r="DG60" i="5"/>
  <c r="DU61" i="5"/>
  <c r="DI60" i="5"/>
  <c r="DJ61" i="5"/>
  <c r="DU60" i="5"/>
  <c r="DJ60" i="5"/>
  <c r="DN61" i="5"/>
  <c r="DF57" i="4"/>
  <c r="DF61" i="4" s="1"/>
  <c r="DF60" i="4"/>
  <c r="ET57" i="5"/>
  <c r="ET61" i="5" s="1"/>
  <c r="ET60" i="5"/>
  <c r="DM60" i="4"/>
  <c r="DM57" i="4"/>
  <c r="DM61" i="4" s="1"/>
  <c r="EP60" i="4"/>
  <c r="EP57" i="4"/>
  <c r="EP61" i="4" s="1"/>
  <c r="BY60" i="5"/>
  <c r="BY57" i="5"/>
  <c r="BY61" i="5" s="1"/>
  <c r="FP57" i="4"/>
  <c r="FP61" i="4" s="1"/>
  <c r="FP60" i="4"/>
  <c r="FZ60" i="5"/>
  <c r="FZ57" i="5"/>
  <c r="FZ61" i="5" s="1"/>
  <c r="ED57" i="4"/>
  <c r="ED61" i="4" s="1"/>
  <c r="ED60" i="4"/>
  <c r="AJ60" i="4"/>
  <c r="AJ57" i="4"/>
  <c r="AJ61" i="4" s="1"/>
  <c r="T60" i="4"/>
  <c r="T57" i="4"/>
  <c r="T61" i="4" s="1"/>
  <c r="BA62" i="4" s="1"/>
  <c r="EP57" i="5"/>
  <c r="EP61" i="5" s="1"/>
  <c r="EP60" i="5"/>
  <c r="DA61" i="5"/>
  <c r="EG57" i="4"/>
  <c r="EG61" i="4" s="1"/>
  <c r="EG60" i="4"/>
  <c r="DA60" i="5"/>
  <c r="CW60" i="5"/>
  <c r="CX60" i="4"/>
  <c r="CX57" i="4"/>
  <c r="CX61" i="4" s="1"/>
  <c r="FC60" i="4"/>
  <c r="FC57" i="4"/>
  <c r="FC61" i="4" s="1"/>
  <c r="FR60" i="5"/>
  <c r="FR57" i="5"/>
  <c r="FR61" i="5" s="1"/>
  <c r="BA60" i="5"/>
  <c r="BA57" i="5"/>
  <c r="BA61" i="5" s="1"/>
  <c r="EV60" i="5"/>
  <c r="EV57" i="5"/>
  <c r="EV61" i="5" s="1"/>
  <c r="CP61" i="4"/>
  <c r="X62" i="5"/>
  <c r="V62" i="5"/>
  <c r="U62" i="5"/>
  <c r="T62" i="5"/>
  <c r="S62" i="5"/>
  <c r="AX62" i="5"/>
  <c r="AC62" i="5"/>
  <c r="AU62" i="5"/>
  <c r="AF62" i="5"/>
  <c r="AB62" i="5"/>
  <c r="AE62" i="5"/>
  <c r="AD62" i="5"/>
  <c r="AA62" i="5"/>
  <c r="Z62" i="5"/>
  <c r="W62" i="5"/>
  <c r="DE57" i="4"/>
  <c r="DE61" i="4" s="1"/>
  <c r="DE60" i="4"/>
  <c r="FU57" i="5"/>
  <c r="FU61" i="5" s="1"/>
  <c r="FU60" i="5"/>
  <c r="CQ57" i="4"/>
  <c r="CQ61" i="4" s="1"/>
  <c r="CQ60" i="4"/>
  <c r="FK57" i="5"/>
  <c r="FK61" i="5" s="1"/>
  <c r="FK60" i="5"/>
  <c r="CD57" i="4"/>
  <c r="CD61" i="4" s="1"/>
  <c r="CD60" i="4"/>
  <c r="FW57" i="5"/>
  <c r="FW61" i="5" s="1"/>
  <c r="FW60" i="5"/>
  <c r="DR57" i="4"/>
  <c r="DR61" i="4" s="1"/>
  <c r="DR60" i="4"/>
  <c r="DV60" i="5"/>
  <c r="BI60" i="4"/>
  <c r="BI57" i="4"/>
  <c r="BI61" i="4" s="1"/>
  <c r="EQ57" i="5"/>
  <c r="EQ61" i="5" s="1"/>
  <c r="FM62" i="5" s="1"/>
  <c r="EQ60" i="5"/>
  <c r="ES57" i="5"/>
  <c r="ES61" i="5" s="1"/>
  <c r="ES60" i="5"/>
  <c r="CO57" i="4"/>
  <c r="CO61" i="4" s="1"/>
  <c r="CO60" i="4"/>
  <c r="AQ60" i="4"/>
  <c r="AQ57" i="4"/>
  <c r="AQ61" i="4" s="1"/>
  <c r="EU60" i="4"/>
  <c r="EU57" i="4"/>
  <c r="EU61" i="4" s="1"/>
  <c r="FM60" i="5"/>
  <c r="FM57" i="5"/>
  <c r="FM61" i="5" s="1"/>
  <c r="EN57" i="5"/>
  <c r="EN61" i="5" s="1"/>
  <c r="EN60" i="5"/>
  <c r="EU60" i="5"/>
  <c r="EU57" i="5"/>
  <c r="EU61" i="5" s="1"/>
  <c r="EI60" i="5"/>
  <c r="EI57" i="5"/>
  <c r="EI61" i="5" s="1"/>
  <c r="FX60" i="4"/>
  <c r="FX57" i="4"/>
  <c r="FX61" i="4" s="1"/>
  <c r="BW62" i="5"/>
  <c r="CR60" i="4"/>
  <c r="CR57" i="4"/>
  <c r="CR61" i="4" s="1"/>
  <c r="AN57" i="4"/>
  <c r="AN61" i="4" s="1"/>
  <c r="AN60" i="4"/>
  <c r="DB60" i="4"/>
  <c r="DB57" i="4"/>
  <c r="DB61" i="4" s="1"/>
  <c r="FT60" i="5"/>
  <c r="FT57" i="5"/>
  <c r="FT61" i="5" s="1"/>
  <c r="BK57" i="4"/>
  <c r="BK61" i="4" s="1"/>
  <c r="BK60" i="4"/>
  <c r="DX60" i="4"/>
  <c r="DX57" i="4"/>
  <c r="DX61" i="4" s="1"/>
  <c r="EH57" i="4"/>
  <c r="EH61" i="4" s="1"/>
  <c r="EH60" i="4"/>
  <c r="EO57" i="5"/>
  <c r="EO61" i="5" s="1"/>
  <c r="EO60" i="5"/>
  <c r="EI57" i="4"/>
  <c r="EI61" i="4" s="1"/>
  <c r="EI60" i="4"/>
  <c r="FB60" i="4"/>
  <c r="FB57" i="4"/>
  <c r="FB61" i="4" s="1"/>
  <c r="BL60" i="4"/>
  <c r="BL57" i="4"/>
  <c r="BL61" i="4" s="1"/>
  <c r="CB57" i="4"/>
  <c r="CB61" i="4" s="1"/>
  <c r="CB60" i="4"/>
  <c r="EC57" i="4"/>
  <c r="EC61" i="4" s="1"/>
  <c r="EC60" i="4"/>
  <c r="CU60" i="4"/>
  <c r="CU57" i="4"/>
  <c r="CU61" i="4" s="1"/>
  <c r="DS60" i="5"/>
  <c r="DS57" i="5"/>
  <c r="DS61" i="5" s="1"/>
  <c r="DU60" i="4"/>
  <c r="DU57" i="4"/>
  <c r="DU61" i="4" s="1"/>
  <c r="FG60" i="5"/>
  <c r="FG57" i="5"/>
  <c r="FG61" i="5" s="1"/>
  <c r="FL57" i="5"/>
  <c r="FL61" i="5" s="1"/>
  <c r="FL60" i="5"/>
  <c r="AO57" i="4"/>
  <c r="AO61" i="4" s="1"/>
  <c r="BE62" i="4" s="1"/>
  <c r="AO60" i="4"/>
  <c r="CT60" i="5"/>
  <c r="CT57" i="5"/>
  <c r="CT61" i="5" s="1"/>
  <c r="EB57" i="4"/>
  <c r="EB61" i="4" s="1"/>
  <c r="EB60" i="4"/>
  <c r="CT61" i="4"/>
  <c r="EJ61" i="4"/>
  <c r="CE61" i="4"/>
  <c r="CA60" i="4"/>
  <c r="BY60" i="4"/>
  <c r="DJ57" i="4"/>
  <c r="DJ61" i="4" s="1"/>
  <c r="DJ60" i="4"/>
  <c r="DA57" i="4"/>
  <c r="DA61" i="4" s="1"/>
  <c r="DA60" i="4"/>
  <c r="EK57" i="4"/>
  <c r="EK61" i="4" s="1"/>
  <c r="EK60" i="4"/>
  <c r="CA57" i="5"/>
  <c r="CA61" i="5" s="1"/>
  <c r="CA60" i="5"/>
  <c r="CW60" i="4"/>
  <c r="CW57" i="4"/>
  <c r="CW61" i="4" s="1"/>
  <c r="FX60" i="5"/>
  <c r="FX57" i="5"/>
  <c r="FX61" i="5" s="1"/>
  <c r="DG57" i="4"/>
  <c r="DG61" i="4" s="1"/>
  <c r="DG60" i="4"/>
  <c r="EG60" i="5"/>
  <c r="EG57" i="5"/>
  <c r="EG61" i="5" s="1"/>
  <c r="EJ62" i="5" s="1"/>
  <c r="EZ57" i="5"/>
  <c r="EZ61" i="5" s="1"/>
  <c r="EZ60" i="5"/>
  <c r="EJ60" i="4"/>
  <c r="AL61" i="4"/>
  <c r="DW57" i="4"/>
  <c r="DW61" i="4" s="1"/>
  <c r="DW60" i="4"/>
  <c r="CU60" i="5"/>
  <c r="CU57" i="5"/>
  <c r="CU61" i="5" s="1"/>
  <c r="DQ60" i="5"/>
  <c r="DQ57" i="5"/>
  <c r="DQ61" i="5" s="1"/>
  <c r="DQ61" i="4"/>
  <c r="FW60" i="4"/>
  <c r="FW57" i="4"/>
  <c r="FW61" i="4" s="1"/>
  <c r="AZ60" i="5"/>
  <c r="AZ57" i="5"/>
  <c r="AZ61" i="5" s="1"/>
  <c r="BX57" i="5"/>
  <c r="BX61" i="5" s="1"/>
  <c r="BX60" i="5"/>
  <c r="DV60" i="4"/>
  <c r="DV57" i="4"/>
  <c r="DV61" i="4" s="1"/>
  <c r="DI60" i="4"/>
  <c r="Z62" i="4"/>
  <c r="V62" i="4"/>
  <c r="S62" i="4"/>
  <c r="CY57" i="4"/>
  <c r="CY61" i="4" s="1"/>
  <c r="CY60" i="4"/>
  <c r="FJ60" i="5"/>
  <c r="FJ57" i="5"/>
  <c r="FJ61" i="5" s="1"/>
  <c r="FD57" i="4"/>
  <c r="FD61" i="4" s="1"/>
  <c r="FD60" i="4"/>
  <c r="AL60" i="4"/>
  <c r="CG60" i="4"/>
  <c r="CG57" i="4"/>
  <c r="CG61" i="4" s="1"/>
  <c r="EJ60" i="5"/>
  <c r="EJ57" i="5"/>
  <c r="EJ61" i="5" s="1"/>
  <c r="FY61" i="4"/>
  <c r="CJ57" i="4"/>
  <c r="CJ61" i="4" s="1"/>
  <c r="CJ60" i="4"/>
  <c r="BW60" i="4"/>
  <c r="BW57" i="4"/>
  <c r="BW61" i="4" s="1"/>
  <c r="DQ60" i="4"/>
  <c r="GA60" i="5"/>
  <c r="GA57" i="5"/>
  <c r="GA61" i="5" s="1"/>
  <c r="GA60" i="4"/>
  <c r="GA57" i="4"/>
  <c r="GA61" i="4" s="1"/>
  <c r="ES60" i="4"/>
  <c r="ES57" i="4"/>
  <c r="ES61" i="4" s="1"/>
  <c r="EZ60" i="4"/>
  <c r="EZ57" i="4"/>
  <c r="EZ61" i="4" s="1"/>
  <c r="CL60" i="4"/>
  <c r="CL57" i="4"/>
  <c r="CL61" i="4" s="1"/>
  <c r="CM57" i="4"/>
  <c r="CM61" i="4" s="1"/>
  <c r="CM60" i="4"/>
  <c r="BZ57" i="4"/>
  <c r="BZ61" i="4" s="1"/>
  <c r="BZ60" i="4"/>
  <c r="BN60" i="4"/>
  <c r="BN57" i="4"/>
  <c r="BN61" i="4" s="1"/>
  <c r="DL60" i="4"/>
  <c r="DL57" i="4"/>
  <c r="DL61" i="4" s="1"/>
  <c r="DV61" i="5"/>
  <c r="ER57" i="5"/>
  <c r="ER61" i="5" s="1"/>
  <c r="ER60" i="5"/>
  <c r="CC57" i="4"/>
  <c r="CC61" i="4" s="1"/>
  <c r="CC60" i="4"/>
  <c r="DT60" i="4"/>
  <c r="DT57" i="4"/>
  <c r="DT61" i="4" s="1"/>
  <c r="BH60" i="4"/>
  <c r="BH57" i="4"/>
  <c r="BH61" i="4" s="1"/>
  <c r="CT60" i="4"/>
  <c r="FG60" i="4"/>
  <c r="CZ60" i="4"/>
  <c r="CZ57" i="4"/>
  <c r="CZ61" i="4" s="1"/>
  <c r="DD57" i="4"/>
  <c r="DD61" i="4" s="1"/>
  <c r="DD60" i="4"/>
  <c r="FZ57" i="4"/>
  <c r="FZ61" i="4" s="1"/>
  <c r="FZ60" i="4"/>
  <c r="FY60" i="4"/>
  <c r="CV60" i="4"/>
  <c r="CV57" i="4"/>
  <c r="CV61" i="4" s="1"/>
  <c r="DK60" i="4"/>
  <c r="EF60" i="4"/>
  <c r="EF57" i="4"/>
  <c r="EF61" i="4" s="1"/>
  <c r="EF62" i="5"/>
  <c r="EE62" i="5"/>
  <c r="EA62" i="5"/>
  <c r="EK62" i="5"/>
  <c r="EC62" i="5"/>
  <c r="ED62" i="5"/>
  <c r="EB62" i="5"/>
  <c r="EG62" i="5"/>
  <c r="FE57" i="4"/>
  <c r="FE61" i="4" s="1"/>
  <c r="FE60" i="4"/>
  <c r="BG60" i="4"/>
  <c r="BG57" i="4"/>
  <c r="BG61" i="4" s="1"/>
  <c r="CW61" i="5"/>
  <c r="FY60" i="5"/>
  <c r="FY57" i="5"/>
  <c r="FY61" i="5" s="1"/>
  <c r="AD60" i="5"/>
  <c r="AD57" i="5"/>
  <c r="AD61" i="5" s="1"/>
  <c r="CK57" i="4"/>
  <c r="CK61" i="4" s="1"/>
  <c r="CK60" i="4"/>
  <c r="DI61" i="4"/>
  <c r="DC57" i="4"/>
  <c r="DC61" i="4" s="1"/>
  <c r="DC60" i="4"/>
  <c r="DP60" i="5"/>
  <c r="DP57" i="5"/>
  <c r="DP61" i="5" s="1"/>
  <c r="CE60" i="4"/>
  <c r="FG61" i="4"/>
  <c r="CH57" i="4"/>
  <c r="CH61" i="4" s="1"/>
  <c r="CH60" i="4"/>
  <c r="DS60" i="4"/>
  <c r="DO60" i="4"/>
  <c r="DO57" i="4"/>
  <c r="DO61" i="4" s="1"/>
  <c r="FA60" i="4"/>
  <c r="FA57" i="4"/>
  <c r="FA61" i="4" s="1"/>
  <c r="EA60" i="4"/>
  <c r="EA57" i="4"/>
  <c r="EA61" i="4" s="1"/>
  <c r="DH60" i="4"/>
  <c r="DH57" i="4"/>
  <c r="DH61" i="4" s="1"/>
  <c r="DK61" i="4"/>
  <c r="EN62" i="5" l="1"/>
  <c r="AY62" i="5"/>
  <c r="FS62" i="5"/>
  <c r="AZ62" i="5"/>
  <c r="EO62" i="5"/>
  <c r="BM62" i="5"/>
  <c r="EH62" i="5"/>
  <c r="CN62" i="5"/>
  <c r="AJ62" i="5"/>
  <c r="BA62" i="5"/>
  <c r="AK62" i="5"/>
  <c r="EL62" i="5"/>
  <c r="ES62" i="5"/>
  <c r="AM62" i="5"/>
  <c r="DJ62" i="5"/>
  <c r="AR62" i="5"/>
  <c r="BN62" i="5"/>
  <c r="Y62" i="5"/>
  <c r="DD62" i="5"/>
  <c r="CJ62" i="5"/>
  <c r="BG62" i="5"/>
  <c r="BP62" i="5"/>
  <c r="EV62" i="5"/>
  <c r="FA62" i="5"/>
  <c r="AM62" i="4"/>
  <c r="AR62" i="4"/>
  <c r="DE62" i="5"/>
  <c r="DN62" i="5"/>
  <c r="BF62" i="5"/>
  <c r="BB62" i="5"/>
  <c r="AO62" i="4"/>
  <c r="AV62" i="4"/>
  <c r="CO62" i="5"/>
  <c r="BD62" i="4"/>
  <c r="CZ62" i="5"/>
  <c r="AQ62" i="4"/>
  <c r="FW62" i="5"/>
  <c r="BT62" i="4"/>
  <c r="G86" i="4" s="1"/>
  <c r="BT62" i="5"/>
  <c r="G86" i="5" s="1"/>
  <c r="BF62" i="4"/>
  <c r="CP62" i="5"/>
  <c r="EY62" i="5"/>
  <c r="FH62" i="5"/>
  <c r="FX62" i="5"/>
  <c r="AF62" i="4"/>
  <c r="BK62" i="4"/>
  <c r="AD62" i="4"/>
  <c r="BY62" i="5"/>
  <c r="DP62" i="5"/>
  <c r="BJ62" i="5"/>
  <c r="FV62" i="5"/>
  <c r="FI62" i="5"/>
  <c r="FY62" i="5"/>
  <c r="AP62" i="4"/>
  <c r="AA62" i="4"/>
  <c r="BB62" i="4"/>
  <c r="CC62" i="5"/>
  <c r="CQ62" i="5"/>
  <c r="AV62" i="5"/>
  <c r="AL62" i="5"/>
  <c r="GA62" i="4"/>
  <c r="FE62" i="4"/>
  <c r="EI62" i="4"/>
  <c r="FZ62" i="4"/>
  <c r="FD62" i="4"/>
  <c r="EH62" i="4"/>
  <c r="FF62" i="4"/>
  <c r="EF62" i="4"/>
  <c r="FV62" i="4"/>
  <c r="EX62" i="4"/>
  <c r="FG62" i="4"/>
  <c r="ED62" i="4"/>
  <c r="FC62" i="4"/>
  <c r="FY62" i="4"/>
  <c r="EY62" i="4"/>
  <c r="FX62" i="4"/>
  <c r="EW62" i="4"/>
  <c r="EU62" i="4"/>
  <c r="ET62" i="4"/>
  <c r="GB62" i="4"/>
  <c r="H86" i="4" s="1"/>
  <c r="H108" i="4" s="1"/>
  <c r="ES62" i="4"/>
  <c r="FW62" i="4"/>
  <c r="ER62" i="4"/>
  <c r="FU62" i="4"/>
  <c r="EQ62" i="4"/>
  <c r="FT62" i="4"/>
  <c r="EP62" i="4"/>
  <c r="FR62" i="4"/>
  <c r="FQ62" i="4"/>
  <c r="EM62" i="4"/>
  <c r="FH62" i="4"/>
  <c r="FB62" i="4"/>
  <c r="FA62" i="4"/>
  <c r="EV62" i="4"/>
  <c r="EO62" i="4"/>
  <c r="EN62" i="4"/>
  <c r="EK62" i="4"/>
  <c r="FS62" i="4"/>
  <c r="EB62" i="4"/>
  <c r="FN62" i="4"/>
  <c r="EC62" i="4"/>
  <c r="EA62" i="4"/>
  <c r="FI62" i="4"/>
  <c r="EZ62" i="4"/>
  <c r="EL62" i="4"/>
  <c r="EG62" i="4"/>
  <c r="EE62" i="4"/>
  <c r="FO62" i="4"/>
  <c r="FM62" i="4"/>
  <c r="FL62" i="4"/>
  <c r="FK62" i="4"/>
  <c r="FJ62" i="4"/>
  <c r="EJ62" i="4"/>
  <c r="FP62" i="4"/>
  <c r="BC62" i="4"/>
  <c r="DW62" i="5"/>
  <c r="BI62" i="4"/>
  <c r="FB62" i="5"/>
  <c r="FJ62" i="5"/>
  <c r="FN62" i="5"/>
  <c r="FK62" i="5"/>
  <c r="FZ62" i="5"/>
  <c r="BR62" i="4"/>
  <c r="BM62" i="4"/>
  <c r="X62" i="4"/>
  <c r="CV62" i="5"/>
  <c r="DR62" i="5"/>
  <c r="BE62" i="5"/>
  <c r="BL62" i="5"/>
  <c r="CG62" i="5"/>
  <c r="ET62" i="5"/>
  <c r="FT62" i="5"/>
  <c r="CI62" i="5"/>
  <c r="AW62" i="4"/>
  <c r="BG62" i="4"/>
  <c r="BC62" i="5"/>
  <c r="EI62" i="5"/>
  <c r="CY62" i="5"/>
  <c r="CW62" i="5"/>
  <c r="CS62" i="5"/>
  <c r="AN62" i="5"/>
  <c r="CB62" i="5"/>
  <c r="BK62" i="5"/>
  <c r="CR62" i="5"/>
  <c r="DS62" i="5"/>
  <c r="AG62" i="5"/>
  <c r="BO62" i="5"/>
  <c r="DC62" i="5"/>
  <c r="AI62" i="4"/>
  <c r="DF62" i="5"/>
  <c r="CT62" i="5"/>
  <c r="DQ62" i="5"/>
  <c r="FD62" i="5"/>
  <c r="AS62" i="4"/>
  <c r="FP62" i="5"/>
  <c r="FE62" i="5"/>
  <c r="DK62" i="4"/>
  <c r="CO62" i="4"/>
  <c r="DJ62" i="4"/>
  <c r="CN62" i="4"/>
  <c r="DF62" i="4"/>
  <c r="CH62" i="4"/>
  <c r="DX62" i="4"/>
  <c r="F86" i="4" s="1"/>
  <c r="CZ62" i="4"/>
  <c r="CB62" i="4"/>
  <c r="DB62" i="4"/>
  <c r="CA62" i="4"/>
  <c r="DV62" i="4"/>
  <c r="CV62" i="4"/>
  <c r="DU62" i="4"/>
  <c r="CU62" i="4"/>
  <c r="DP62" i="4"/>
  <c r="DO62" i="4"/>
  <c r="CJ62" i="4"/>
  <c r="DN62" i="4"/>
  <c r="CI62" i="4"/>
  <c r="DM62" i="4"/>
  <c r="CG62" i="4"/>
  <c r="DL62" i="4"/>
  <c r="CF62" i="4"/>
  <c r="DI62" i="4"/>
  <c r="CE62" i="4"/>
  <c r="DE62" i="4"/>
  <c r="BZ62" i="4"/>
  <c r="DD62" i="4"/>
  <c r="DC62" i="4"/>
  <c r="DA62" i="4"/>
  <c r="CW62" i="4"/>
  <c r="CT62" i="4"/>
  <c r="CR62" i="4"/>
  <c r="CK62" i="4"/>
  <c r="DT62" i="4"/>
  <c r="BY62" i="4"/>
  <c r="DW62" i="4"/>
  <c r="DS62" i="4"/>
  <c r="DR62" i="4"/>
  <c r="DQ62" i="4"/>
  <c r="DH62" i="4"/>
  <c r="DG62" i="4"/>
  <c r="CY62" i="4"/>
  <c r="CX62" i="4"/>
  <c r="CS62" i="4"/>
  <c r="CP62" i="4"/>
  <c r="CM62" i="4"/>
  <c r="CC62" i="4"/>
  <c r="CQ62" i="4"/>
  <c r="CD62" i="4"/>
  <c r="BX62" i="4"/>
  <c r="CL62" i="4"/>
  <c r="BW62" i="4"/>
  <c r="AH62" i="4"/>
  <c r="BP62" i="4"/>
  <c r="CD62" i="5"/>
  <c r="FO62" i="5"/>
  <c r="EQ62" i="5"/>
  <c r="GA62" i="5"/>
  <c r="AC62" i="4"/>
  <c r="AX62" i="4"/>
  <c r="Y62" i="4"/>
  <c r="DM62" i="5"/>
  <c r="DT62" i="5"/>
  <c r="CK62" i="5"/>
  <c r="AH62" i="5"/>
  <c r="AO62" i="5"/>
  <c r="CA62" i="5"/>
  <c r="DK62" i="5"/>
  <c r="EU62" i="5"/>
  <c r="DX62" i="5"/>
  <c r="F86" i="5" s="1"/>
  <c r="FU62" i="5"/>
  <c r="BJ62" i="4"/>
  <c r="FF62" i="5"/>
  <c r="BI62" i="5"/>
  <c r="BH62" i="4"/>
  <c r="CU62" i="5"/>
  <c r="BD62" i="5"/>
  <c r="AG62" i="4"/>
  <c r="DA62" i="5"/>
  <c r="EW62" i="5"/>
  <c r="FQ62" i="5"/>
  <c r="AE62" i="4"/>
  <c r="T62" i="4"/>
  <c r="AU62" i="4"/>
  <c r="CX62" i="5"/>
  <c r="CE62" i="5"/>
  <c r="DG62" i="5"/>
  <c r="BH62" i="5"/>
  <c r="AI62" i="5"/>
  <c r="BQ62" i="5"/>
  <c r="CH62" i="5"/>
  <c r="BS62" i="4"/>
  <c r="AY62" i="4"/>
  <c r="EZ62" i="5"/>
  <c r="AJ62" i="4"/>
  <c r="EX62" i="5"/>
  <c r="DU62" i="5"/>
  <c r="CL62" i="5"/>
  <c r="BS62" i="5"/>
  <c r="AP62" i="5"/>
  <c r="DL62" i="5"/>
  <c r="BL62" i="4"/>
  <c r="BO62" i="4"/>
  <c r="GB62" i="5"/>
  <c r="H86" i="5" s="1"/>
  <c r="FR62" i="5"/>
  <c r="AL62" i="4"/>
  <c r="U62" i="4"/>
  <c r="BX62" i="5"/>
  <c r="CF62" i="5"/>
  <c r="DH62" i="5"/>
  <c r="BR62" i="5"/>
  <c r="AS62" i="5"/>
  <c r="AQ62" i="5"/>
  <c r="CM62" i="5"/>
  <c r="W62" i="4"/>
  <c r="DI62" i="5"/>
  <c r="DO62" i="5"/>
  <c r="FG62" i="5"/>
  <c r="BN62" i="4"/>
  <c r="FC62" i="5"/>
  <c r="AB62" i="4"/>
  <c r="EP62" i="5"/>
  <c r="AT62" i="4"/>
  <c r="ER62" i="5"/>
  <c r="AK62" i="4"/>
  <c r="AZ62" i="4"/>
  <c r="BQ62" i="4"/>
  <c r="DB62" i="5"/>
  <c r="FL62" i="5"/>
  <c r="AN62" i="4"/>
  <c r="BZ62" i="5"/>
  <c r="DV62" i="5"/>
  <c r="AW62" i="5"/>
  <c r="G6" i="2"/>
  <c r="H6" i="2"/>
  <c r="H85" i="5" a="1"/>
  <c r="G85" i="5" a="1"/>
  <c r="F6" i="2"/>
  <c r="G85" i="5" l="1"/>
  <c r="H85" i="5"/>
  <c r="F22" i="2"/>
  <c r="G22" i="2"/>
  <c r="L6" i="2"/>
  <c r="H22" i="2"/>
  <c r="C100" i="4"/>
  <c r="C109" i="5"/>
  <c r="C108" i="5"/>
  <c r="C108" i="4"/>
  <c r="C109" i="4"/>
  <c r="C100" i="5"/>
  <c r="H108" i="5"/>
  <c r="K6" i="2"/>
  <c r="J6" i="2"/>
  <c r="G85" i="4" a="1"/>
  <c r="F85" i="4" a="1"/>
  <c r="F85" i="5" a="1"/>
  <c r="H85" i="4" a="1"/>
  <c r="G85" i="4" l="1"/>
  <c r="F85" i="4"/>
  <c r="F85" i="5"/>
  <c r="H85" i="4"/>
  <c r="I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L21" authorId="0" shapeId="0" xr:uid="{00000000-0006-0000-0300-000001000000}">
      <text>
        <r>
          <rPr>
            <sz val="10"/>
            <rFont val="Arial"/>
            <family val="2"/>
          </rPr>
          <t xml:space="preserve">philipp:
Standardg. Preisänderung = Preisänderung relevanter Güter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L21" authorId="0" shapeId="0" xr:uid="{00000000-0006-0000-0400-000001000000}">
      <text>
        <r>
          <rPr>
            <sz val="10"/>
            <rFont val="Arial"/>
            <family val="2"/>
          </rPr>
          <t xml:space="preserve">philipp:
Standardg. Preisänderung = Preisänderung relevanter Güter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<sst xmlns="http://schemas.openxmlformats.org/spreadsheetml/2006/main" count="557" uniqueCount="274">
  <si>
    <t>VALERI – Wirtschaftlichkeitsbewertung von Effizienzmaßnahmen</t>
  </si>
  <si>
    <t>Aufbau der Datei</t>
  </si>
  <si>
    <t>00_Anleitung</t>
  </si>
  <si>
    <t>Dieses Blatt.</t>
  </si>
  <si>
    <t>01_Übersicht</t>
  </si>
  <si>
    <t>Vergleich aller Maßnahmen. Blattnamen in Spalte B eintragen, die Kennzahlen zieht das Blatt selbst.</t>
  </si>
  <si>
    <t>Allgemeine Unternehmensdaten</t>
  </si>
  <si>
    <t>Preise, Zinssätze, Einspeisevergütung. Gilt für alle Maßnahmen. Einmal je Projekt setzen.</t>
  </si>
  <si>
    <t>Vorlage Maßnahme</t>
  </si>
  <si>
    <t>Leeres Maßnahmenblatt. Für jede neue Maßnahme kopieren und umbenennen.</t>
  </si>
  <si>
    <t>Beispiel Nr. 78 …</t>
  </si>
  <si>
    <t>Bestätigung</t>
  </si>
  <si>
    <t>So gehen Sie vor</t>
  </si>
  <si>
    <t>→</t>
  </si>
  <si>
    <t>Blatt „Allgemeine Unternehmensdaten“ ausfüllen – Preise und Zinssätze gelten projektweit.</t>
  </si>
  <si>
    <t>Blatt „Vorlage Maßnahme“ mit Rechtsklick kopieren und nach der Maßnahme benennen.</t>
  </si>
  <si>
    <t>Im neuen Blatt die gelben Felder ausfüllen: Kopf, Verbräuche, Betriebszeit, Investition.</t>
  </si>
  <si>
    <t>Plausibilitätskontrolle ab Zeile 65 prüfen – dort darf kein FEHLER stehen.</t>
  </si>
  <si>
    <t>Ergebnis in Zeile 85/86 ablesen und den Blattnamen in „01_Übersicht“ eintragen.</t>
  </si>
  <si>
    <t>Die drei Szenarien</t>
  </si>
  <si>
    <t>Spaltenlogik</t>
  </si>
  <si>
    <t>Überall gilt: Spalte D = Worst Case, E = Erwarteter Fall, F = Best Case. Beim Ist-Verbrauch zusätzlich G/H/I für den Soll-Verbrauch in derselben Reihenfolge.</t>
  </si>
  <si>
    <t>Ausnahme Zinssatz</t>
  </si>
  <si>
    <t>Im Blatt „Allgemeine Unternehmensdaten“ ist der Zinssatz-Block bewusst gespiegelt (E = Best Case), weil ein niedriger Zinssatz für die Maßnahme günstig ist. Die Prüfzelle E26 meldet, wenn der wahrscheinliche Wert ausserhalb von Best und Worst liegt.</t>
  </si>
  <si>
    <t>Zwei Stolperfallen</t>
  </si>
  <si>
    <t>Erstes Betriebsjahr</t>
  </si>
  <si>
    <t>Zeile 18 erwartet einen **Index**, keine Jahreszahl. 0 = die Maßnahme wirkt ab dem ersten Betrachtungsjahr, 1 = ab dem zweiten. Eine Kalenderjahreszahl wie 2026 blockiert die gesamte Rechnung – es entstehen keine Cashflows und der Kapitalwert bleibt bei minus Investition.</t>
  </si>
  <si>
    <t>Einsparung nur aus einer Quelle</t>
  </si>
  <si>
    <t>Die Einsparung kommt entweder aus dem Soll-Verbrauch (Zeile 11/12/13, Spalten G/H/I) oder aus dem Prozentwert (Zeile 23/26/27) – nie aus beidem. Die jeweils andere Darstellung muss eine Formel bleiben, sonst stehen widersprüchliche Werte im Blatt.</t>
  </si>
  <si>
    <t>Rechenweg</t>
  </si>
  <si>
    <t>Zeitachse</t>
  </si>
  <si>
    <t>Ab Spalte S läuft der Index 0, 1, 2 … Drei Blöcke nebeneinander: S–BT erwarteter Fall, BW–DX Worst Case, EA–GB Best Case.</t>
  </si>
  <si>
    <t>Cashflow je Jahr</t>
  </si>
  <si>
    <t>Nutzen (Zeilen 23–38) minus Lasten (Zeilen 39–55), jeweils mit Preisänderung hochgerechnet und mit dem WACC diskontiert.</t>
  </si>
  <si>
    <t>Kapitalwert</t>
  </si>
  <si>
    <t>Zeile 62 summiert die diskontierten Jahreswerte auf; der Endwert steht in Zeile 86.</t>
  </si>
  <si>
    <t>Amortisation</t>
  </si>
  <si>
    <t>Zeile 85 sucht den Vorzeichenwechsel in Zeile 62. „–“ bedeutet: kein Vorzeichenwechsel innerhalb der Nutzungszeit, oder die Maßnahme trägt sich schon im ersten Jahr.</t>
  </si>
  <si>
    <t>Was gegenüber V6 geändert wurde</t>
  </si>
  <si>
    <t>•</t>
  </si>
  <si>
    <t>Betriebszeit korrigiert: „letztes Betriebsjahr“ ist jetzt erstes + Nutzungszeit − 1. Bisher lief die Maßnahme ein Jahr zu lang.</t>
  </si>
  <si>
    <t>Zeile 45 (Abzahlung) auf 0 gesetzt und als Alternative zu Zeile 44 gekennzeichnet. In V6 waren beide aktiv – die Investition wurde doppelt gezählt.</t>
  </si>
  <si>
    <t>Blattname „Allgemeine Unternehemensdaten“ (Schreibfehler) berichtigt; alle 3.121 Verweise mitgezogen.</t>
  </si>
  <si>
    <t>Selbstbezüge der Art 'Maßnahme 1 '!T20 entfernt. Kopierte Blätter rechneten sonst weiter mit der Zeitachse der Vorlage.</t>
  </si>
  <si>
    <t>Gaspreis-Einheit von €/m³ auf €/kWh berichtigt – das Maßnahmenblatt erfasst kWh.</t>
  </si>
  <si>
    <t>Einzelne verirrte Werte bereinigt (K33, K41, L41).</t>
  </si>
  <si>
    <t>Neu: Statusauswahl, Plausibilitätskontrolle, Übersichtsblatt, dieses Anleitungsblatt, Beispielmaßnahme.</t>
  </si>
  <si>
    <t>Offener Punkt aus der Prüfung</t>
  </si>
  <si>
    <t>Zinssatz in MVO-2026-V3</t>
  </si>
  <si>
    <t>In der Auswertung MVO-2026-V3 steht der Eigenkapitalzins des erwarteten Falls auf 9,5 %, während Best 1 % und Worst 5 % beträgt. Der wahrscheinliche Wert liegt damit ausserhalb der Spanne und der erwartete Fall wird härter diskontiert als der Worst Case. Bei der Photovoltaik ist der Kapitalwert im Worst Case dadurch höher als im erwarteten Fall. Diese Vorlage nutzt die Werte aus V6 (1 % / 3,5 % / 5 %); die Prüfzelle E26 der Unternehmensdaten meldet solche Fälle künftig.</t>
  </si>
  <si>
    <t>Übersicht aller bewerteten Maßnahmen</t>
  </si>
  <si>
    <t>Blattnamen in Spalte B eintragen – die Kennzahlen werden automatisch gezogen.</t>
  </si>
  <si>
    <t>Blattname (eintragen)</t>
  </si>
  <si>
    <t>Bezeichnung</t>
  </si>
  <si>
    <t>Status</t>
  </si>
  <si>
    <t>Investition
[€]</t>
  </si>
  <si>
    <t>Kapitalwert
Worst [€]</t>
  </si>
  <si>
    <t>Kapitalwert
Erw. [€]</t>
  </si>
  <si>
    <t>Kapitalwert
Best [€]</t>
  </si>
  <si>
    <t>Amort.
Worst [a]</t>
  </si>
  <si>
    <t>Amort.
Erw. [a]</t>
  </si>
  <si>
    <t>Amort.
Best [a]</t>
  </si>
  <si>
    <t>Rang</t>
  </si>
  <si>
    <t>Beispiel Nr. 78 Druckluft</t>
  </si>
  <si>
    <t>Summe Investition</t>
  </si>
  <si>
    <t>Rang 1 = höchster Kapitalwert im erwarteten Fall. „–“ bei der Amortisation bedeutet: innerhalb der Nutzungszeit wird der Kapitalwert nie positiv, oder die Maßnahme amortisiert sich bereits innerhalb des ersten Jahres.</t>
  </si>
  <si>
    <t>Strompreis</t>
  </si>
  <si>
    <t>Einheit</t>
  </si>
  <si>
    <t>Worst Case</t>
  </si>
  <si>
    <t>Best Case</t>
  </si>
  <si>
    <t>Preis</t>
  </si>
  <si>
    <t>€/kWh</t>
  </si>
  <si>
    <t>Hoher Strompreis ist für die Investition der best Case</t>
  </si>
  <si>
    <t>%</t>
  </si>
  <si>
    <t>Gaspreis</t>
  </si>
  <si>
    <t>Preissteigerung</t>
  </si>
  <si>
    <t>Zinssatz</t>
  </si>
  <si>
    <t>Wahrscheinl.</t>
  </si>
  <si>
    <t>niedriger Zinssatz für die Investition der Best Case</t>
  </si>
  <si>
    <t>ACHTUNG: In diesem Block ist die Reihenfolge gespiegelt (E = Best Case), weil ein niedriger Zinssatz für die Maßnahme günstig ist. In allen anderen Blöcken gilt E = Worst Case.</t>
  </si>
  <si>
    <t>Eigenkapitalanteil Seq (= Ceq / Cinvest)</t>
  </si>
  <si>
    <t>Fremdkapitalanteil Sdebt (= Cdebt / Cinvest)</t>
  </si>
  <si>
    <t>req = Zinssatz für Eigenkapital</t>
  </si>
  <si>
    <t>rdebt = Zinssatz des Fremdkapitals</t>
  </si>
  <si>
    <t>r = gewichtete durchschnittliche Kapitalkosten
WACC (= Seq ⋅ req + Sdebt ⋅ rdebt)</t>
  </si>
  <si>
    <t>Prüfung: liegt der wahrscheinliche WACC zwischen Best und Worst?</t>
  </si>
  <si>
    <t>Prüfung: Eigen- + Fremdkapitalanteil = 100 %?</t>
  </si>
  <si>
    <t>Flexibler Kostenfaktor (z.B. Druckluft)</t>
  </si>
  <si>
    <t>Faktor</t>
  </si>
  <si>
    <t>€/m³</t>
  </si>
  <si>
    <t>Strom Einspeisung</t>
  </si>
  <si>
    <t>Erw. Fall</t>
  </si>
  <si>
    <t>Hohe Einspeisevergütung für die Investition der Best Case</t>
  </si>
  <si>
    <t>Schwankung in %</t>
  </si>
  <si>
    <t>Strom kalk. Eigennutzung</t>
  </si>
  <si>
    <t>Bezeichnung des Projekts:</t>
  </si>
  <si>
    <t>Titel</t>
  </si>
  <si>
    <t>Zu prüfen</t>
  </si>
  <si>
    <t>BITTE WÄHLEN</t>
  </si>
  <si>
    <t>ja (standard)</t>
  </si>
  <si>
    <t>Beschreibung:</t>
  </si>
  <si>
    <t>Beschreibung</t>
  </si>
  <si>
    <t>Geplant</t>
  </si>
  <si>
    <t>nein</t>
  </si>
  <si>
    <t>In Umsetzung</t>
  </si>
  <si>
    <t>Preisschw. für rel. Güter und Dienstleistungen %</t>
  </si>
  <si>
    <t>Abgelehnt</t>
  </si>
  <si>
    <t>Zu Prüfen</t>
  </si>
  <si>
    <t>Realisiert</t>
  </si>
  <si>
    <t>Ist</t>
  </si>
  <si>
    <t>Stromverbrauch kWh/Jahr</t>
  </si>
  <si>
    <t>Gasverbrauch kWh/Jahr</t>
  </si>
  <si>
    <t>Index, KEINE Jahreszahl:  0 = ab dem ersten Betrachtungsjahr</t>
  </si>
  <si>
    <t>Nutzungszeit</t>
  </si>
  <si>
    <t xml:space="preserve">Erw. Fall                             Erw. Fall                              Erw. Fall                                           Erw. Fall                                  Erw. Fall                             Erw. Fall                              Erw. Fall                                           Erw. Fall                                  Erw. Fall                             Erw. Fall                              Erw. Fall                                           Erw. Fall                                  Erw. Fall                             Erw. Fall                              Erw. Fall                                           Erw. Fall                                  Erw. Fall                             Erw. Fall                              Erw. Fall                                           Erw. Fall                                  Erw. Fall                             Erw. Fall                              Erw. Fall                                           Erw. Fall                                  Erw. Fall                             Erw. Fall                              Erw. Fall                                           Erw. Fall                                  </t>
  </si>
  <si>
    <t xml:space="preserve">Worst Case                       Worst  Case                          Worst  Case                         Worst Case                       Worst  Case                          Worst  Case                         Worst Case                       Worst  Case                          Worst  Case                         Worst Case                       Worst  Case                          Worst  Case                         Worst Case                       Worst  Case                          Worst  Case                         Worst Case                       Worst  Case                          Worst  Case                         Worst Case                       Worst  Case                          Worst  Case                         Worst Case                       Worst  Case                          Worst  Case                         Worst Case                       Worst  Case                          Worst  Case                         Worst Case                       Worst  Case                          Worst  Case                         </t>
  </si>
  <si>
    <t xml:space="preserve">Best Case                    Best  Case                   Best Case                             Best Case                    Best  Case                   Best Case                             Best Case                    Best  Case                   Best Case                             Best Case                    Best  Case                   Best Case                             Best Case                    Best  Case                   Best Case                             Best Case                    Best  Case                   Best Case                             Best Case                    Best  Case                   Best Case                             Best Case                    Best  Case                   Best Case                             Best Case                    Best  Case                   Best Case                             Best Case                    Best  Case                   Best Case                             Best Case                    Best  Case                   Best Case                             Best Case                    Best  Case                   Best Case                             Best Case                    Best  Case                   Best Case                             </t>
  </si>
  <si>
    <t>letztes Betriebsjahr</t>
  </si>
  <si>
    <t>Gekoppelte Preisänder.?</t>
  </si>
  <si>
    <t>Periode</t>
  </si>
  <si>
    <t>99=&gt;Anfang/Ende Betriebszeit</t>
  </si>
  <si>
    <t>Degradation</t>
  </si>
  <si>
    <t>Preisänderung</t>
  </si>
  <si>
    <t>Berücksichtigung</t>
  </si>
  <si>
    <t>Start - Jahr</t>
  </si>
  <si>
    <t xml:space="preserve">End - Jahr </t>
  </si>
  <si>
    <t>Betrieb</t>
  </si>
  <si>
    <t>Nutzen</t>
  </si>
  <si>
    <t>Einspaarung Strom EUR</t>
  </si>
  <si>
    <t>Eigennutzung Strom in kWh/Jahr</t>
  </si>
  <si>
    <t>Einspeisung Strom in kWh/Jahr</t>
  </si>
  <si>
    <t>Einspaarung Gas in Euro</t>
  </si>
  <si>
    <t>Einspaarung Druckluft in Euro</t>
  </si>
  <si>
    <t>Mehrproduktion in €/Jahr</t>
  </si>
  <si>
    <t>XX in €/Jahr</t>
  </si>
  <si>
    <t xml:space="preserve">XX in €/Jahr </t>
  </si>
  <si>
    <t>Lasten</t>
  </si>
  <si>
    <t>Mehrverbrauch Gas in %</t>
  </si>
  <si>
    <t>Entsorgungskosten in €</t>
  </si>
  <si>
    <t>Jahresbetriebskosten in €/Jahr</t>
  </si>
  <si>
    <t>Investitionskosten Zeitpunkt t in €</t>
  </si>
  <si>
    <t>Abzahlung in €/Jahr  (ALTERNATIVE zu Zeile 44 – nicht zusätzlich!)</t>
  </si>
  <si>
    <t>Nur befüllen, wenn Zeile 44 leer bleibt. Sonst wird die Investition doppelt gezählt.</t>
  </si>
  <si>
    <t>Zusätzliche Arbeitskraft in €/Jahr</t>
  </si>
  <si>
    <t>Minderproduktion in €/Jahr</t>
  </si>
  <si>
    <t xml:space="preserve">Summe Nutzen </t>
  </si>
  <si>
    <t>Summe Nutzen diskontiert</t>
  </si>
  <si>
    <t>Summe Kosten</t>
  </si>
  <si>
    <t>Summe Kosten Diskontiert</t>
  </si>
  <si>
    <t>Summe Nutzen Kosten</t>
  </si>
  <si>
    <t>Summe Nutzen Kosten diskontiert</t>
  </si>
  <si>
    <t>Jahre Aufsummiert und diskontiert</t>
  </si>
  <si>
    <t>Plausibilitätskontrolle</t>
  </si>
  <si>
    <t>Erstes Betriebsjahr ist ein Index (&lt; 100), keine Jahreszahl</t>
  </si>
  <si>
    <t>Investitionskosten sind erfasst</t>
  </si>
  <si>
    <t>Investition nicht doppelt (Zeile 44 und 45 gleichzeitig)</t>
  </si>
  <si>
    <t>-</t>
  </si>
  <si>
    <t>Strom: %-Wert und Soll-Verbrauch widersprechen sich nicht</t>
  </si>
  <si>
    <t>Nutzungszeit ist gesetzt</t>
  </si>
  <si>
    <t>Szenarien monoton: Investition Worst &gt;= Erw &gt;= Best</t>
  </si>
  <si>
    <t>Betriebszeit: letztes = erstes + Nutzungszeit - 1</t>
  </si>
  <si>
    <t>WACC-Reihenfolge in den Unternehmensdaten</t>
  </si>
  <si>
    <t>Grün/Text „in Ordnung“ = Prüfung bestanden. Meldungen mit FEHLER blockieren eine belastbare Bewertung.</t>
  </si>
  <si>
    <t>Legende</t>
  </si>
  <si>
    <t>Eingabefeld – hier eintragen</t>
  </si>
  <si>
    <t>Ergebnis / Formel – nicht überschreiben</t>
  </si>
  <si>
    <t>Worst / Erw. / Best = Spalten D / E / F (Ist-Verbrauch) bzw. G / H / I (Soll-Verbrauch)</t>
  </si>
  <si>
    <t xml:space="preserve"> </t>
  </si>
  <si>
    <t>Bewertungsbericht</t>
  </si>
  <si>
    <t>Projekt:</t>
  </si>
  <si>
    <t>Vorschlag zur Entscheidung</t>
  </si>
  <si>
    <t>individueller Text</t>
  </si>
  <si>
    <t>Qualitative Beschreibung nicht monetisierbarer Wirkungen</t>
  </si>
  <si>
    <t>Szenarioanalyse</t>
  </si>
  <si>
    <t>Erläuterung von Parametern</t>
  </si>
  <si>
    <t xml:space="preserve">    </t>
  </si>
  <si>
    <t>Preisschwankungsraten:</t>
  </si>
  <si>
    <t>Degradation:</t>
  </si>
  <si>
    <t>Unterschrift</t>
  </si>
  <si>
    <t>Name: Dr. Dirk Engelmann</t>
  </si>
  <si>
    <t>Datum: 30.03.2024</t>
  </si>
  <si>
    <t>Nr. 78: Optimierung Druckluftverbrauch – intelligente Druckluftsteuerung</t>
  </si>
  <si>
    <t>Übergeordnete Steuerung der vier Kompressoren mit bedarfsgeführter Grundlastwechselschaltung und Absenkung des Netzdrucks von 7,5 auf 7,0 bar.</t>
  </si>
  <si>
    <t>Beispiel – reale Maßnahme aus der Auswertung MVO 2026.</t>
  </si>
  <si>
    <t>Einsparung kommt aus dem Soll-Verbrauch (Zeile 11 G/H/I); die %-Zeile 23 rechnet sie daraus. Nur EINE Quelle belegen.</t>
  </si>
  <si>
    <t>Bestätigung gemäß § 4 EnSimiMaV über umgesetzte bzw. aufgrund ihrer fehlenden Wirtschaftlichkeit nicht Umgesetzte Maßnahmen</t>
  </si>
  <si>
    <t>Unternehmen</t>
  </si>
  <si>
    <t>Prüfgegenstand und Nachweisdokumente</t>
  </si>
  <si>
    <t>Name der Organisation:</t>
  </si>
  <si>
    <t>Ausgangspunkt der Prüfung war die aktuelle Managementbewertung mit den dazugehörigen Aktionsplänen. Weiterhin wurde überprüft, ob nicht realisierte Projekte der letzten 3 Jahre aufgrund aktueller Rahmenbedingungen (insbesondere der Energiesituation) einer Neubewertung zugeführt wurden.</t>
  </si>
  <si>
    <t>Name der übergeordneten Gruppe:</t>
  </si>
  <si>
    <t>(nur relevant bei Multi-Standort-Organisationen)</t>
  </si>
  <si>
    <t>Straße:</t>
  </si>
  <si>
    <t>Die Bestätigung erfolgt auf der Grundlage folgender eingesehener Nachweisdokumente:</t>
  </si>
  <si>
    <t>PLZ/Ort/Land:</t>
  </si>
  <si>
    <t>Nachweisdokument</t>
  </si>
  <si>
    <t>Ansprechpartner:</t>
  </si>
  <si>
    <t>Gültiges DIN EN ISO 50001-Zertifikat</t>
  </si>
  <si>
    <t>Datum:</t>
  </si>
  <si>
    <t>Aktuelle Managementbewertung</t>
  </si>
  <si>
    <t xml:space="preserve">Datum: </t>
  </si>
  <si>
    <t>Ansprechpartner</t>
  </si>
  <si>
    <t>Aktionsplan_xxxxx_.xlsx</t>
  </si>
  <si>
    <t>Name:</t>
  </si>
  <si>
    <t>VALERI_ANALYSE_xxxxx_.xlsx</t>
  </si>
  <si>
    <t>BAFA-Nummer:</t>
  </si>
  <si>
    <t>Die Ergebnisse der Prüfung sind in der Checkliste A94F208 „Prüfung der Normkonformität gem. DIN EN 17463 (ValERI)“ dokumentiert, insb.</t>
  </si>
  <si>
    <t>Adresse:</t>
  </si>
  <si>
    <t>Liste der umgesetzten Maßnahmen, bzw.</t>
  </si>
  <si>
    <t>Liste der NICHT umgesetzten Maßnahmen inkl. Angaben zur Erfüllung der allgemeinen und maßnahmenspezifischen Kriterien</t>
  </si>
  <si>
    <t>Ich bestätige hiermit als zugelassener Energieauditor, dass das o.g. Unternehmen:</t>
  </si>
  <si>
    <t>über ein gültiges DIN EN ISO 50001-Zertifikat verfügt und</t>
  </si>
  <si>
    <t>alle konkret identifizierten und als wirtschaftlich durchführbar bewerteten Maßnahmen umgesetzt hat, indem es</t>
  </si>
  <si>
    <t>Unterschrift BAFA Energieauditor</t>
  </si>
  <si>
    <t>alle Maßnahmen aus dem Aktionsplan bzw. den Aktionsplänen umgesetzt hat (Überprüfung der praktischen Umsetzung der Maßnahmen durch die Zertifizierungsstelle; eine Wirtschaftlichkeitsbetrachtung ist nicht erforderlich),</t>
  </si>
  <si>
    <t>oder</t>
  </si>
  <si>
    <t>eine Teilmenge der Maßnahmen aus dem Aktionsplan bzw. den Aktionsplänen umgesetzt hat und für die nicht umgesetzten Maßnahmen nachgewiesen hat, dass diese nicht wirtschaftlich durchführbar waren, weil sich bei der Wirtschaftlichkeitsbetrachtung nach DIN EN 17463 (ValERI) ein positiver Kapitalwert erst nach &gt; 20 Prozent der Nutzungsdauer ergab (Stichprobe zulässig; mindestens Quadratwurzel √ der nicht umgesetzten Maßnahmen),</t>
  </si>
  <si>
    <t>Unterschrift:</t>
  </si>
  <si>
    <t xml:space="preserve">keine Maßnahmen konkret identifiziert hat. Stellungnahme des Auditors / der Auditorin unter Bezugnahme auf Kap. 6.2.3 („Aktionspläne“) und 10.2 („Fortlaufende Verbesserung“) der DIN EN ISO 50001: </t>
  </si>
  <si>
    <t>Seite 1/2</t>
  </si>
  <si>
    <t>Seite 2/2</t>
  </si>
  <si>
    <t>Gas/Flex: %-Wert und Soll-Verbrauch widersprechen sich nicht</t>
  </si>
  <si>
    <t>Erwarteter Fall</t>
  </si>
  <si>
    <t>Flexibler Kostenfaktor</t>
  </si>
  <si>
    <t>Einspeisevergütung €/kWh</t>
  </si>
  <si>
    <t>kalk. Vergütung €/kWh</t>
  </si>
  <si>
    <t>Einsparung Strom in %</t>
  </si>
  <si>
    <t>Einsparung Gas in %</t>
  </si>
  <si>
    <t>Einsparung Arbeitskraft Betrieb in €/Jahr</t>
  </si>
  <si>
    <t>Entsorgung - Gewinn in € (Gewinn heute)</t>
  </si>
  <si>
    <t>Einsparung Arbeitskraft in €/Jahr</t>
  </si>
  <si>
    <t>Mehrverbrauch Strom in %</t>
  </si>
  <si>
    <t>Soll (oder Einsparung in % angeben)</t>
  </si>
  <si>
    <t>Amortisationszeit</t>
  </si>
  <si>
    <t>Kapitalwert über Lebensdauer</t>
  </si>
  <si>
    <t>Die bedarfsgeführte Grundlastwechselschaltung erhöht die Versorgungssicherheit der Druckluftversorgung und reduziert Schaltspiele und damit den Verschleiß der vier Kompressoren. Der abgesenkte Netzdruck verringert zusätzlich Leckageverluste sowie den Geräuschpegel im Kompressorenraum.</t>
  </si>
  <si>
    <t>Diagrammdaten Worst (=BW62ff)</t>
  </si>
  <si>
    <t>Diagrammdaten Best (=EA62ff)</t>
  </si>
  <si>
    <t>Vollständig ausgefülltes Beispiel einer realen Maßnahme – inklusive Cashflow-Diagramm und Plausibilitätskontrolle.</t>
  </si>
  <si>
    <t>Diagramm</t>
  </si>
  <si>
    <t>Unter dem Ergebnis (Zeilen 87–89): kumulierter diskontierter Cashflow je Szenario. Schnittpunkt einer Linie mit der Nulllinie = Amortisationszeit; endet die Linie unter null, trägt sich die Maßnahme in diesem Szenario nicht. Datenquelle sind die Zeilen 62–64 ab Spalte S.</t>
  </si>
  <si>
    <t>Neu in V7.1 (06.08.2026)</t>
  </si>
  <si>
    <t>Diagramm: kumulierter diskontierter Cashflow je Szenario mit Titel, Legende und Achsenbeschriftung – jetzt unterhalb des Ergebnisses (Zeilen 87–89), damit die Plausibilitätskontrolle sichtbar bleibt. Im Beispiel ergänzt (fehlte dort komplett).</t>
  </si>
  <si>
    <t>Plausibilitätskontrolle im Beispiel repariert: Die Prüfformeln waren um 81 Zeilen verschoben und meldeten falsche FEHLER. Neue Prüfung in beiden Blättern: Gas-/Flex-Einsparung nur aus einer Quelle (Zeile 73).</t>
  </si>
  <si>
    <t>Tippfehler in Beschriftungen, Unternehmensdaten und Berichtstexten bereinigt (Einsparung, Entsorgung, Mehrverbrauch, Amortisationszeit, Lebensdauer, Eigenkapital u. a.); Einheit des flexiblen Kostenfaktors: Verbrauch in m³/Jahr.</t>
  </si>
  <si>
    <t>Vorlage: Investitions-Streuung wieder als Formel (Worst = 1,3 × Erw., Best = 0,75 × Erw.); 01_Übersicht zeigt negative Kapitalwerte rot; Beispielbericht um nicht monetisierbare Wirkungen ergänzt.</t>
  </si>
  <si>
    <t>Formular .</t>
  </si>
  <si>
    <t>Impressum und Versionen</t>
  </si>
  <si>
    <t>VALERI – Wirtschaftlichkeitsbewertung (Vorlage)</t>
  </si>
  <si>
    <t>EPOS-Plan Tools</t>
  </si>
  <si>
    <t>Version</t>
  </si>
  <si>
    <t>7.1</t>
  </si>
  <si>
    <t>Stand</t>
  </si>
  <si>
    <t>09.08.2026</t>
  </si>
  <si>
    <t>Herausgeber</t>
  </si>
  <si>
    <t>INEKON, Dr. Dirk Engelmann</t>
  </si>
  <si>
    <t>Breitwiesenstr. 13</t>
  </si>
  <si>
    <t>70565 Stuttgart</t>
  </si>
  <si>
    <t>E-Mail</t>
  </si>
  <si>
    <t>info@inekon.de; info@epos-plan.de</t>
  </si>
  <si>
    <t>Internet</t>
  </si>
  <si>
    <t>www.inekon.de</t>
  </si>
  <si>
    <t>www.epos-plan.de</t>
  </si>
  <si>
    <t>Copyright</t>
  </si>
  <si>
    <t>© 2026 INEKON, Dr. Dirk Engelmann. Alle Rechte vorbehalten.</t>
  </si>
  <si>
    <t>Weitergabe, Vervielfältigung und Veränderung nur mit schriftlicher Zustimmung des Herausgebers.</t>
  </si>
  <si>
    <t>Die Anwendung erfolgt auf eigene Verantwortung; für Rechenergebnisse wird keine Haftung übernommen.</t>
  </si>
  <si>
    <t>Versionshistorie</t>
  </si>
  <si>
    <t>Datum</t>
  </si>
  <si>
    <t>Änderung</t>
  </si>
  <si>
    <t>Impressum, Copyright und Versionsblatt ergänzt; Rechenteil unverändert.</t>
  </si>
  <si>
    <t>Hinweis</t>
  </si>
  <si>
    <t>Frühere Stände wurden nicht fortlaufend dokumentiert; die Zählung setzt die bisherige Bezeichnung des Tools fort.</t>
  </si>
  <si>
    <t>V7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</si>
</sst>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quot; €&quot;"/>
  </numFmts>
  <fonts count="32" x14ac:knownFonts="1">
    <font>
      <sz val="11"/>
      <color theme="1"/>
      <name val="Daytona"/>
      <family val="2"/>
      <charset val="1"/>
    </font>
    <font>
      <b/>
      <sz val="16"/>
      <color rgb="FF1F4E79"/>
      <name val="Arial"/>
      <charset val="1"/>
    </font>
    <font>
      <i/>
      <sz val="9"/>
      <color rgb="FF808080"/>
      <name val="Arial"/>
      <charset val="1"/>
    </font>
    <font>
      <b/>
      <sz val="12"/>
      <color rgb="FFFFFFFF"/>
      <name val="Arial"/>
      <charset val="1"/>
    </font>
    <font>
      <b/>
      <sz val="10"/>
      <color rgb="FF000000"/>
      <name val="Arial"/>
      <charset val="1"/>
    </font>
    <font>
      <b/>
      <sz val="9"/>
      <color rgb="FF000000"/>
      <name val="Arial"/>
      <charset val="1"/>
    </font>
    <font>
      <sz val="9"/>
      <color rgb="FF0000FF"/>
      <name val="Arial"/>
      <charset val="1"/>
    </font>
    <font>
      <sz val="9"/>
      <color rgb="FF008000"/>
      <name val="Arial"/>
      <charset val="1"/>
    </font>
    <font>
      <b/>
      <sz val="11"/>
      <color theme="1"/>
      <name val="Daytona"/>
      <family val="2"/>
      <charset val="1"/>
    </font>
    <font>
      <sz val="8"/>
      <color theme="1"/>
      <name val="Daytona"/>
      <family val="2"/>
      <charset val="1"/>
    </font>
    <font>
      <sz val="12"/>
      <color theme="1"/>
      <name val="Daytona"/>
      <family val="2"/>
      <charset val="1"/>
    </font>
    <font>
      <i/>
      <sz val="9"/>
      <color rgb="FFC00000"/>
      <name val="Arial"/>
      <charset val="1"/>
    </font>
    <font>
      <sz val="7"/>
      <color theme="1"/>
      <name val="Daytona"/>
      <family val="2"/>
      <charset val="1"/>
    </font>
    <font>
      <sz val="10"/>
      <color rgb="FF0000FF"/>
      <name val="Arial"/>
      <charset val="1"/>
    </font>
    <font>
      <b/>
      <sz val="10"/>
      <name val="Arial"/>
      <charset val="1"/>
    </font>
    <font>
      <b/>
      <sz val="11"/>
      <name val="Daytona"/>
      <family val="2"/>
      <charset val="1"/>
    </font>
    <font>
      <sz val="11"/>
      <name val="Daytona"/>
      <family val="2"/>
      <charset val="1"/>
    </font>
    <font>
      <sz val="8"/>
      <name val="Daytona"/>
      <family val="2"/>
      <charset val="1"/>
    </font>
    <font>
      <b/>
      <sz val="12"/>
      <color theme="1"/>
      <name val="Daytona"/>
      <family val="2"/>
      <charset val="1"/>
    </font>
    <font>
      <sz val="10"/>
      <color theme="1"/>
      <name val="Daytona"/>
      <family val="2"/>
      <charset val="1"/>
    </font>
    <font>
      <sz val="9"/>
      <color theme="1"/>
      <name val="Daytona"/>
      <family val="2"/>
      <charset val="1"/>
    </font>
    <font>
      <sz val="11"/>
      <color theme="0" tint="-0.499984740745262"/>
      <name val="Daytona"/>
      <family val="2"/>
      <charset val="1"/>
    </font>
    <font>
      <sz val="10"/>
      <color rgb="FF000000"/>
      <name val="Arial"/>
      <charset val="1"/>
    </font>
    <font>
      <b/>
      <sz val="11"/>
      <color rgb="FF000000"/>
      <name val="Arial"/>
      <charset val="1"/>
    </font>
    <font>
      <sz val="9"/>
      <color rgb="FF000000"/>
      <name val="Arial"/>
      <charset val="1"/>
    </font>
    <font>
      <sz val="10"/>
      <name val="Arial"/>
      <family val="2"/>
    </font>
    <font>
      <b/>
      <sz val="9"/>
      <color theme="1"/>
      <name val="Daytona"/>
      <family val="2"/>
      <charset val="1"/>
    </font>
    <font>
      <b/>
      <sz val="14"/>
      <color theme="1"/>
      <name val="Daytona"/>
      <family val="2"/>
      <charset val="1"/>
    </font>
    <font>
      <sz val="7.5"/>
      <color theme="1"/>
      <name val="Daytona"/>
      <family val="2"/>
      <charset val="1"/>
    </font>
    <font>
      <i/>
      <sz val="8"/>
      <color rgb="FF808080"/>
      <name val="Daytona"/>
      <family val="2"/>
      <charset val="1"/>
    </font>
    <font>
      <b/>
      <sz val="11"/>
      <color theme="1"/>
      <name val="Daytona"/>
      <family val="2"/>
      <charset val="1"/>
    </font>
    <font>
      <b/>
      <sz val="14"/>
      <color theme="1"/>
      <name val="Daytona"/>
      <family val="2"/>
      <charset val="1"/>
    </font>
  </fonts>
  <fills count="14">
    <fill>
      <patternFill patternType="none"/>
    </fill>
    <fill>
      <patternFill patternType="gray125"/>
    </fill>
    <fill>
      <patternFill patternType="solid">
        <fgColor rgb="FF1F4E79"/>
        <bgColor rgb="FF156082"/>
      </patternFill>
    </fill>
    <fill>
      <patternFill patternType="solid">
        <fgColor rgb="FFDCE6F1"/>
        <bgColor rgb="FFDCEAF7"/>
      </patternFill>
    </fill>
    <fill>
      <patternFill patternType="solid">
        <fgColor rgb="FFFFF2CC"/>
        <bgColor rgb="FFFBE3D6"/>
      </patternFill>
    </fill>
    <fill>
      <patternFill patternType="solid">
        <fgColor rgb="FFE2EFDA"/>
        <bgColor rgb="FFD9F2D0"/>
      </patternFill>
    </fill>
    <fill>
      <patternFill patternType="solid">
        <fgColor theme="3" tint="0.89989928891872917"/>
        <bgColor rgb="FFDCE6F1"/>
      </patternFill>
    </fill>
    <fill>
      <patternFill patternType="solid">
        <fgColor theme="0"/>
        <bgColor rgb="FFFFF2CC"/>
      </patternFill>
    </fill>
    <fill>
      <patternFill patternType="solid">
        <fgColor theme="3" tint="0.74987029633472702"/>
        <bgColor rgb="FFBFBFBF"/>
      </patternFill>
    </fill>
    <fill>
      <patternFill patternType="solid">
        <fgColor theme="0" tint="-0.249977111117893"/>
        <bgColor rgb="FFB0B0B0"/>
      </patternFill>
    </fill>
    <fill>
      <patternFill patternType="solid">
        <fgColor theme="5" tint="0.39988402966399123"/>
        <bgColor rgb="FFFF8080"/>
      </patternFill>
    </fill>
    <fill>
      <patternFill patternType="solid">
        <fgColor rgb="FF92D050"/>
        <bgColor rgb="FFB0B0B0"/>
      </patternFill>
    </fill>
    <fill>
      <patternFill patternType="solid">
        <fgColor theme="9" tint="0.79989013336588644"/>
        <bgColor rgb="FFE2EFDA"/>
      </patternFill>
    </fill>
    <fill>
      <patternFill patternType="solid">
        <fgColor theme="5" tint="0.79989013336588644"/>
        <bgColor rgb="FFFFF2CC"/>
      </patternFill>
    </fill>
  </fills>
  <borders count="58">
    <border>
      <left/>
      <right/>
      <top/>
      <bottom/>
      <diagonal/>
    </border>
    <border>
      <left style="thin">
        <color rgb="FFB0B0B0"/>
      </left>
      <right style="thin">
        <color rgb="FFB0B0B0"/>
      </right>
      <top style="thin">
        <color rgb="FFB0B0B0"/>
      </top>
      <bottom style="thin">
        <color rgb="FFB0B0B0"/>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style="medium">
        <color auto="1"/>
      </left>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style="medium">
        <color auto="1"/>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bottom style="medium">
        <color auto="1"/>
      </bottom>
      <diagonal/>
    </border>
    <border>
      <left style="medium">
        <color auto="1"/>
      </left>
      <right style="thin">
        <color auto="1"/>
      </right>
      <top style="thin">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thin">
        <color auto="1"/>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right/>
      <top style="thin">
        <color auto="1"/>
      </top>
      <bottom style="thin">
        <color auto="1"/>
      </bottom>
      <diagonal/>
    </border>
    <border>
      <left style="thin">
        <color auto="1"/>
      </left>
      <right/>
      <top style="medium">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style="medium">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s>
  <cellStyleXfs count="1">
    <xf numFmtId="0" fontId="0" fillId="0" borderId="0"/>
  </cellStyleXfs>
  <cellXfs count="353">
    <xf numFmtId="0" fontId="0" fillId="0" borderId="0" xfId="0"/>
    <xf numFmtId="0" fontId="0" fillId="6" borderId="26" xfId="0" applyFill="1" applyBorder="1" applyAlignment="1">
      <alignment horizontal="center"/>
    </xf>
    <xf numFmtId="9" fontId="0" fillId="6" borderId="17" xfId="0" applyNumberFormat="1" applyFill="1" applyBorder="1" applyAlignment="1">
      <alignment horizontal="center"/>
    </xf>
    <xf numFmtId="0" fontId="0" fillId="6" borderId="13" xfId="0" applyFill="1" applyBorder="1" applyAlignment="1">
      <alignment horizontal="center"/>
    </xf>
    <xf numFmtId="0" fontId="2" fillId="0" borderId="0" xfId="0" applyFont="1"/>
    <xf numFmtId="0" fontId="1" fillId="0" borderId="0" xfId="0" applyFont="1"/>
    <xf numFmtId="0" fontId="3" fillId="2" borderId="0" xfId="0" applyFont="1" applyFill="1"/>
    <xf numFmtId="0" fontId="0" fillId="2" borderId="0" xfId="0" applyFill="1"/>
    <xf numFmtId="0" fontId="4" fillId="0" borderId="0" xfId="0" applyFont="1"/>
    <xf numFmtId="0" fontId="0" fillId="0" borderId="0" xfId="0" applyAlignment="1">
      <alignment horizontal="left" vertical="top" wrapText="1"/>
    </xf>
    <xf numFmtId="0" fontId="5" fillId="3" borderId="1" xfId="0" applyFont="1" applyFill="1" applyBorder="1" applyAlignment="1">
      <alignment horizontal="center" vertical="center" wrapText="1"/>
    </xf>
    <xf numFmtId="0" fontId="6" fillId="4" borderId="1" xfId="0" applyFont="1" applyFill="1" applyBorder="1" applyAlignment="1">
      <alignment horizontal="left" vertical="center"/>
    </xf>
    <xf numFmtId="49" fontId="7" fillId="0" borderId="1" xfId="0" applyNumberFormat="1" applyFont="1" applyBorder="1" applyAlignment="1">
      <alignment horizontal="left" vertical="center"/>
    </xf>
    <xf numFmtId="3" fontId="7" fillId="0" borderId="1" xfId="0" applyNumberFormat="1" applyFont="1" applyBorder="1" applyAlignment="1">
      <alignment horizontal="center" vertical="center" wrapText="1"/>
    </xf>
    <xf numFmtId="164" fontId="7" fillId="0" borderId="1" xfId="0" applyNumberFormat="1" applyFont="1" applyBorder="1" applyAlignment="1">
      <alignment horizontal="center" vertical="center" wrapText="1"/>
    </xf>
    <xf numFmtId="1" fontId="5" fillId="0" borderId="1" xfId="0" applyNumberFormat="1" applyFont="1" applyBorder="1" applyAlignment="1">
      <alignment horizontal="center" vertical="center" wrapText="1"/>
    </xf>
    <xf numFmtId="0" fontId="4" fillId="5" borderId="0" xfId="0" applyFont="1" applyFill="1"/>
    <xf numFmtId="3" fontId="4" fillId="0" borderId="0" xfId="0" applyNumberFormat="1" applyFont="1"/>
    <xf numFmtId="0" fontId="0" fillId="7" borderId="3" xfId="0" applyFill="1" applyBorder="1"/>
    <xf numFmtId="0" fontId="0" fillId="7" borderId="0" xfId="0" applyFill="1"/>
    <xf numFmtId="0" fontId="0" fillId="7" borderId="4" xfId="0" applyFill="1" applyBorder="1"/>
    <xf numFmtId="0" fontId="0" fillId="6" borderId="2" xfId="0" applyFill="1" applyBorder="1" applyAlignment="1">
      <alignment horizontal="center"/>
    </xf>
    <xf numFmtId="0" fontId="0" fillId="6" borderId="5" xfId="0" applyFill="1" applyBorder="1" applyAlignment="1">
      <alignment horizontal="center"/>
    </xf>
    <xf numFmtId="0" fontId="9" fillId="6" borderId="2" xfId="0" applyFont="1" applyFill="1" applyBorder="1" applyAlignment="1">
      <alignment horizontal="center" vertical="center" wrapText="1"/>
    </xf>
    <xf numFmtId="0" fontId="0" fillId="6" borderId="6" xfId="0" applyFill="1" applyBorder="1" applyAlignment="1">
      <alignment horizontal="center" vertical="center"/>
    </xf>
    <xf numFmtId="0" fontId="0" fillId="6" borderId="2" xfId="0" applyFill="1" applyBorder="1"/>
    <xf numFmtId="0" fontId="0" fillId="8" borderId="7" xfId="0" applyFill="1" applyBorder="1" applyAlignment="1">
      <alignment horizontal="center"/>
    </xf>
    <xf numFmtId="2" fontId="0" fillId="8" borderId="7" xfId="0" applyNumberFormat="1" applyFill="1" applyBorder="1" applyAlignment="1">
      <alignment horizontal="center"/>
    </xf>
    <xf numFmtId="0" fontId="9" fillId="0" borderId="0" xfId="0" applyFont="1"/>
    <xf numFmtId="0" fontId="0" fillId="6" borderId="8" xfId="0" applyFill="1" applyBorder="1"/>
    <xf numFmtId="165" fontId="0" fillId="8" borderId="2" xfId="0" applyNumberFormat="1" applyFill="1" applyBorder="1" applyAlignment="1">
      <alignment horizontal="center"/>
    </xf>
    <xf numFmtId="165" fontId="0" fillId="8" borderId="9" xfId="0" applyNumberFormat="1" applyFill="1" applyBorder="1" applyAlignment="1">
      <alignment horizontal="center"/>
    </xf>
    <xf numFmtId="0" fontId="0" fillId="6" borderId="10" xfId="0" applyFill="1" applyBorder="1"/>
    <xf numFmtId="0" fontId="9" fillId="6" borderId="5" xfId="0" applyFont="1" applyFill="1" applyBorder="1" applyAlignment="1">
      <alignment horizontal="center" vertical="center" wrapText="1"/>
    </xf>
    <xf numFmtId="0" fontId="0" fillId="6" borderId="8" xfId="0" applyFill="1" applyBorder="1" applyAlignment="1">
      <alignment horizontal="center"/>
    </xf>
    <xf numFmtId="0" fontId="10" fillId="8" borderId="2" xfId="0" applyFont="1" applyFill="1" applyBorder="1" applyAlignment="1">
      <alignment horizontal="center" vertical="center" wrapText="1"/>
    </xf>
    <xf numFmtId="0" fontId="10" fillId="8" borderId="11" xfId="0" applyFont="1" applyFill="1" applyBorder="1" applyAlignment="1">
      <alignment horizontal="center" vertical="center" wrapText="1"/>
    </xf>
    <xf numFmtId="2" fontId="10" fillId="8" borderId="2" xfId="0" applyNumberFormat="1" applyFont="1" applyFill="1" applyBorder="1" applyAlignment="1">
      <alignment horizontal="center" vertical="center" wrapText="1"/>
    </xf>
    <xf numFmtId="0" fontId="11" fillId="0" borderId="0" xfId="0" applyFont="1"/>
    <xf numFmtId="0" fontId="0" fillId="6" borderId="6" xfId="0" applyFill="1" applyBorder="1" applyAlignment="1">
      <alignment horizontal="center"/>
    </xf>
    <xf numFmtId="0" fontId="0" fillId="6" borderId="7" xfId="0" applyFill="1" applyBorder="1"/>
    <xf numFmtId="165" fontId="10" fillId="8" borderId="7" xfId="0" applyNumberFormat="1" applyFont="1" applyFill="1" applyBorder="1" applyAlignment="1">
      <alignment horizontal="center"/>
    </xf>
    <xf numFmtId="165" fontId="10" fillId="8" borderId="12" xfId="0" applyNumberFormat="1" applyFont="1" applyFill="1" applyBorder="1" applyAlignment="1">
      <alignment horizontal="center"/>
    </xf>
    <xf numFmtId="0" fontId="0" fillId="6" borderId="14" xfId="0" applyFill="1" applyBorder="1"/>
    <xf numFmtId="0" fontId="0" fillId="6" borderId="15" xfId="0" applyFill="1" applyBorder="1"/>
    <xf numFmtId="0" fontId="12" fillId="6" borderId="18" xfId="0" applyFont="1" applyFill="1" applyBorder="1" applyAlignment="1">
      <alignment horizontal="center"/>
    </xf>
    <xf numFmtId="0" fontId="12" fillId="6" borderId="19" xfId="0" applyFont="1" applyFill="1" applyBorder="1" applyAlignment="1">
      <alignment horizontal="center"/>
    </xf>
    <xf numFmtId="165" fontId="0" fillId="8" borderId="20" xfId="0" applyNumberFormat="1" applyFill="1" applyBorder="1" applyAlignment="1">
      <alignment horizontal="center"/>
    </xf>
    <xf numFmtId="165" fontId="0" fillId="8" borderId="17" xfId="0" applyNumberFormat="1" applyFill="1" applyBorder="1" applyAlignment="1">
      <alignment horizontal="center"/>
    </xf>
    <xf numFmtId="0" fontId="12" fillId="6" borderId="18" xfId="0" applyFont="1" applyFill="1" applyBorder="1" applyAlignment="1">
      <alignment horizontal="right"/>
    </xf>
    <xf numFmtId="0" fontId="12" fillId="6" borderId="21" xfId="0" applyFont="1" applyFill="1" applyBorder="1" applyAlignment="1">
      <alignment horizontal="center" vertical="center" wrapText="1"/>
    </xf>
    <xf numFmtId="0" fontId="12" fillId="6" borderId="22" xfId="0" applyFont="1" applyFill="1" applyBorder="1" applyAlignment="1">
      <alignment horizontal="center" vertical="center" wrapText="1"/>
    </xf>
    <xf numFmtId="165" fontId="0" fillId="6" borderId="23" xfId="0" applyNumberFormat="1" applyFill="1" applyBorder="1" applyAlignment="1">
      <alignment horizontal="center"/>
    </xf>
    <xf numFmtId="165" fontId="0" fillId="6" borderId="24" xfId="0" applyNumberFormat="1" applyFill="1" applyBorder="1" applyAlignment="1">
      <alignment horizontal="center"/>
    </xf>
    <xf numFmtId="0" fontId="4" fillId="7" borderId="3" xfId="0" applyFont="1" applyFill="1" applyBorder="1"/>
    <xf numFmtId="0" fontId="4" fillId="7" borderId="0" xfId="0" applyFont="1" applyFill="1"/>
    <xf numFmtId="0" fontId="14" fillId="7" borderId="3" xfId="0" applyFont="1" applyFill="1" applyBorder="1"/>
    <xf numFmtId="0" fontId="14" fillId="7" borderId="0" xfId="0" applyFont="1" applyFill="1"/>
    <xf numFmtId="0" fontId="0" fillId="6" borderId="14" xfId="0" applyFill="1" applyBorder="1" applyAlignment="1">
      <alignment horizontal="center"/>
    </xf>
    <xf numFmtId="0" fontId="0" fillId="6" borderId="15" xfId="0" applyFill="1" applyBorder="1" applyAlignment="1">
      <alignment horizontal="center"/>
    </xf>
    <xf numFmtId="0" fontId="0" fillId="6" borderId="21" xfId="0" applyFill="1" applyBorder="1"/>
    <xf numFmtId="0" fontId="0" fillId="6" borderId="22" xfId="0" applyFill="1" applyBorder="1"/>
    <xf numFmtId="0" fontId="0" fillId="8" borderId="23" xfId="0" applyFill="1" applyBorder="1"/>
    <xf numFmtId="0" fontId="0" fillId="6" borderId="24" xfId="0" applyFill="1" applyBorder="1"/>
    <xf numFmtId="0" fontId="15" fillId="6" borderId="8" xfId="0" applyFont="1" applyFill="1" applyBorder="1"/>
    <xf numFmtId="0" fontId="16" fillId="6" borderId="11" xfId="0" applyFont="1" applyFill="1" applyBorder="1"/>
    <xf numFmtId="0" fontId="16" fillId="6" borderId="9" xfId="0" applyFont="1" applyFill="1" applyBorder="1"/>
    <xf numFmtId="0" fontId="17" fillId="0" borderId="0" xfId="0" applyFont="1"/>
    <xf numFmtId="0" fontId="16" fillId="6" borderId="8" xfId="0" applyFont="1" applyFill="1" applyBorder="1"/>
    <xf numFmtId="0" fontId="16" fillId="8" borderId="13" xfId="0" applyFont="1" applyFill="1" applyBorder="1" applyAlignment="1">
      <alignment horizontal="center"/>
    </xf>
    <xf numFmtId="0" fontId="16" fillId="8" borderId="27" xfId="0" applyFont="1" applyFill="1" applyBorder="1" applyAlignment="1">
      <alignment horizontal="center"/>
    </xf>
    <xf numFmtId="0" fontId="16" fillId="8" borderId="28" xfId="0" applyFont="1" applyFill="1" applyBorder="1" applyAlignment="1">
      <alignment horizontal="center"/>
    </xf>
    <xf numFmtId="0" fontId="16" fillId="6" borderId="6" xfId="0" applyFont="1" applyFill="1" applyBorder="1"/>
    <xf numFmtId="0" fontId="16" fillId="6" borderId="29" xfId="0" applyFont="1" applyFill="1" applyBorder="1"/>
    <xf numFmtId="9" fontId="16" fillId="8" borderId="30" xfId="0" applyNumberFormat="1" applyFont="1" applyFill="1" applyBorder="1" applyAlignment="1">
      <alignment horizontal="center"/>
    </xf>
    <xf numFmtId="9" fontId="16" fillId="8" borderId="23" xfId="0" applyNumberFormat="1" applyFont="1" applyFill="1" applyBorder="1" applyAlignment="1">
      <alignment horizontal="center"/>
    </xf>
    <xf numFmtId="9" fontId="16" fillId="8" borderId="24" xfId="0" applyNumberFormat="1" applyFont="1" applyFill="1" applyBorder="1" applyAlignment="1">
      <alignment horizontal="center"/>
    </xf>
    <xf numFmtId="0" fontId="16" fillId="6" borderId="31" xfId="0" applyFont="1" applyFill="1" applyBorder="1"/>
    <xf numFmtId="0" fontId="16" fillId="6" borderId="32" xfId="0" applyFont="1" applyFill="1" applyBorder="1"/>
    <xf numFmtId="0" fontId="16" fillId="6" borderId="33" xfId="0" applyFont="1" applyFill="1" applyBorder="1"/>
    <xf numFmtId="0" fontId="16" fillId="8" borderId="34" xfId="0" applyFont="1" applyFill="1" applyBorder="1" applyAlignment="1">
      <alignment horizontal="center"/>
    </xf>
    <xf numFmtId="2" fontId="16" fillId="8" borderId="14" xfId="0" applyNumberFormat="1" applyFont="1" applyFill="1" applyBorder="1" applyAlignment="1">
      <alignment horizontal="center"/>
    </xf>
    <xf numFmtId="0" fontId="16" fillId="8" borderId="15" xfId="0" applyFont="1" applyFill="1" applyBorder="1" applyAlignment="1">
      <alignment horizontal="center"/>
    </xf>
    <xf numFmtId="9" fontId="16" fillId="8" borderId="22" xfId="0" applyNumberFormat="1" applyFont="1" applyFill="1" applyBorder="1" applyAlignment="1">
      <alignment horizontal="center"/>
    </xf>
    <xf numFmtId="0" fontId="18" fillId="0" borderId="0" xfId="0" applyFont="1"/>
    <xf numFmtId="0" fontId="8" fillId="0" borderId="0" xfId="0" applyFont="1"/>
    <xf numFmtId="0" fontId="18" fillId="0" borderId="0" xfId="0" applyFont="1" applyAlignment="1">
      <alignment vertical="center"/>
    </xf>
    <xf numFmtId="0" fontId="0" fillId="0" borderId="0" xfId="0" applyAlignment="1">
      <alignment vertical="center"/>
    </xf>
    <xf numFmtId="0" fontId="0" fillId="0" borderId="3" xfId="0" applyBorder="1"/>
    <xf numFmtId="0" fontId="0" fillId="6" borderId="13" xfId="0" applyFill="1" applyBorder="1"/>
    <xf numFmtId="0" fontId="0" fillId="6" borderId="27" xfId="0" applyFill="1" applyBorder="1"/>
    <xf numFmtId="0" fontId="0" fillId="6" borderId="28" xfId="0" applyFill="1" applyBorder="1"/>
    <xf numFmtId="9" fontId="13" fillId="4" borderId="30" xfId="0" applyNumberFormat="1" applyFont="1" applyFill="1" applyBorder="1"/>
    <xf numFmtId="9" fontId="13" fillId="4" borderId="23" xfId="0" applyNumberFormat="1" applyFont="1" applyFill="1" applyBorder="1"/>
    <xf numFmtId="9" fontId="13" fillId="4" borderId="24" xfId="0" applyNumberFormat="1" applyFont="1" applyFill="1" applyBorder="1"/>
    <xf numFmtId="0" fontId="0" fillId="6" borderId="35" xfId="0" applyFill="1" applyBorder="1"/>
    <xf numFmtId="0" fontId="0" fillId="6" borderId="25" xfId="0" applyFill="1" applyBorder="1"/>
    <xf numFmtId="0" fontId="0" fillId="6" borderId="32" xfId="0" applyFill="1" applyBorder="1"/>
    <xf numFmtId="0" fontId="0" fillId="6" borderId="33" xfId="0" applyFill="1" applyBorder="1"/>
    <xf numFmtId="0" fontId="0" fillId="6" borderId="36" xfId="0" applyFill="1" applyBorder="1"/>
    <xf numFmtId="2" fontId="0" fillId="7" borderId="0" xfId="0" applyNumberFormat="1" applyFill="1"/>
    <xf numFmtId="0" fontId="0" fillId="6" borderId="16" xfId="0" applyFill="1" applyBorder="1"/>
    <xf numFmtId="0" fontId="0" fillId="6" borderId="37" xfId="0" applyFill="1" applyBorder="1"/>
    <xf numFmtId="3" fontId="0" fillId="8" borderId="26" xfId="0" applyNumberFormat="1" applyFill="1" applyBorder="1" applyProtection="1">
      <protection hidden="1"/>
    </xf>
    <xf numFmtId="3" fontId="13" fillId="4" borderId="14" xfId="0" applyNumberFormat="1" applyFont="1" applyFill="1" applyBorder="1"/>
    <xf numFmtId="3" fontId="0" fillId="8" borderId="38" xfId="0" applyNumberFormat="1" applyFill="1" applyBorder="1" applyProtection="1">
      <protection hidden="1"/>
    </xf>
    <xf numFmtId="3" fontId="0" fillId="8" borderId="13" xfId="0" applyNumberFormat="1" applyFill="1" applyBorder="1" applyProtection="1">
      <protection hidden="1"/>
    </xf>
    <xf numFmtId="3" fontId="13" fillId="4" borderId="27" xfId="0" applyNumberFormat="1" applyFont="1" applyFill="1" applyBorder="1"/>
    <xf numFmtId="3" fontId="0" fillId="8" borderId="28" xfId="0" applyNumberFormat="1" applyFill="1" applyBorder="1" applyProtection="1">
      <protection hidden="1"/>
    </xf>
    <xf numFmtId="3" fontId="13" fillId="4" borderId="16" xfId="0" applyNumberFormat="1" applyFont="1" applyFill="1" applyBorder="1" applyProtection="1">
      <protection hidden="1"/>
    </xf>
    <xf numFmtId="3" fontId="13" fillId="4" borderId="20" xfId="0" applyNumberFormat="1" applyFont="1" applyFill="1" applyBorder="1"/>
    <xf numFmtId="3" fontId="13" fillId="4" borderId="17" xfId="0" applyNumberFormat="1" applyFont="1" applyFill="1" applyBorder="1" applyProtection="1">
      <protection hidden="1"/>
    </xf>
    <xf numFmtId="0" fontId="0" fillId="6" borderId="6" xfId="0" applyFill="1" applyBorder="1"/>
    <xf numFmtId="0" fontId="0" fillId="6" borderId="12" xfId="0" applyFill="1" applyBorder="1"/>
    <xf numFmtId="0" fontId="0" fillId="6" borderId="30" xfId="0" applyFill="1" applyBorder="1"/>
    <xf numFmtId="0" fontId="0" fillId="6" borderId="40" xfId="0" applyFill="1" applyBorder="1"/>
    <xf numFmtId="0" fontId="0" fillId="6" borderId="41" xfId="0" applyFill="1" applyBorder="1"/>
    <xf numFmtId="0" fontId="0" fillId="6" borderId="23" xfId="0" applyFill="1" applyBorder="1"/>
    <xf numFmtId="0" fontId="0" fillId="6" borderId="42" xfId="0" applyFill="1" applyBorder="1"/>
    <xf numFmtId="0" fontId="0" fillId="6" borderId="43" xfId="0" applyFill="1" applyBorder="1"/>
    <xf numFmtId="0" fontId="0" fillId="6" borderId="44" xfId="0" applyFill="1" applyBorder="1"/>
    <xf numFmtId="0" fontId="0" fillId="6" borderId="18" xfId="0" applyFill="1" applyBorder="1"/>
    <xf numFmtId="0" fontId="0" fillId="6" borderId="45" xfId="0" applyFill="1" applyBorder="1"/>
    <xf numFmtId="0" fontId="13" fillId="4" borderId="13" xfId="0" applyFont="1" applyFill="1" applyBorder="1"/>
    <xf numFmtId="0" fontId="13" fillId="4" borderId="27" xfId="0" applyFont="1" applyFill="1" applyBorder="1"/>
    <xf numFmtId="0" fontId="13" fillId="4" borderId="28" xfId="0" applyFont="1" applyFill="1" applyBorder="1"/>
    <xf numFmtId="0" fontId="11" fillId="7" borderId="0" xfId="0" applyFont="1" applyFill="1"/>
    <xf numFmtId="0" fontId="13" fillId="4" borderId="16" xfId="0" applyFont="1" applyFill="1" applyBorder="1"/>
    <xf numFmtId="0" fontId="13" fillId="4" borderId="20" xfId="0" applyFont="1" applyFill="1" applyBorder="1"/>
    <xf numFmtId="0" fontId="13" fillId="4" borderId="17" xfId="0" applyFont="1" applyFill="1" applyBorder="1"/>
    <xf numFmtId="0" fontId="0" fillId="6" borderId="30" xfId="0" applyFill="1" applyBorder="1" applyProtection="1">
      <protection hidden="1"/>
    </xf>
    <xf numFmtId="0" fontId="0" fillId="6" borderId="23" xfId="0" applyFill="1" applyBorder="1" applyProtection="1">
      <protection hidden="1"/>
    </xf>
    <xf numFmtId="0" fontId="0" fillId="6" borderId="24" xfId="0" applyFill="1" applyBorder="1" applyProtection="1">
      <protection hidden="1"/>
    </xf>
    <xf numFmtId="0" fontId="19" fillId="8" borderId="2" xfId="0" applyFont="1" applyFill="1" applyBorder="1"/>
    <xf numFmtId="0" fontId="0" fillId="6" borderId="26" xfId="0" applyFill="1" applyBorder="1"/>
    <xf numFmtId="0" fontId="20" fillId="7" borderId="0" xfId="0" applyFont="1" applyFill="1"/>
    <xf numFmtId="0" fontId="0" fillId="6" borderId="20" xfId="0" applyFill="1" applyBorder="1" applyProtection="1">
      <protection hidden="1"/>
    </xf>
    <xf numFmtId="0" fontId="0" fillId="6" borderId="17" xfId="0" applyFill="1" applyBorder="1" applyProtection="1">
      <protection hidden="1"/>
    </xf>
    <xf numFmtId="0" fontId="0" fillId="6" borderId="46" xfId="0" applyFill="1" applyBorder="1"/>
    <xf numFmtId="0" fontId="0" fillId="6" borderId="3" xfId="0" applyFill="1" applyBorder="1"/>
    <xf numFmtId="0" fontId="0" fillId="6" borderId="0" xfId="0" applyFill="1" applyProtection="1">
      <protection hidden="1"/>
    </xf>
    <xf numFmtId="0" fontId="0" fillId="6" borderId="4" xfId="0" applyFill="1" applyBorder="1" applyProtection="1">
      <protection hidden="1"/>
    </xf>
    <xf numFmtId="165" fontId="13" fillId="4" borderId="27" xfId="0" applyNumberFormat="1" applyFont="1" applyFill="1" applyBorder="1" applyAlignment="1" applyProtection="1">
      <alignment horizontal="center"/>
      <protection hidden="1"/>
    </xf>
    <xf numFmtId="0" fontId="0" fillId="6" borderId="15" xfId="0" applyFill="1" applyBorder="1" applyAlignment="1">
      <alignment horizontal="center" vertical="center"/>
    </xf>
    <xf numFmtId="165" fontId="0" fillId="8" borderId="13" xfId="0" applyNumberFormat="1" applyFill="1" applyBorder="1" applyAlignment="1" applyProtection="1">
      <alignment horizontal="center" vertical="center"/>
      <protection hidden="1"/>
    </xf>
    <xf numFmtId="165" fontId="0" fillId="8" borderId="27" xfId="0" applyNumberFormat="1" applyFill="1" applyBorder="1" applyAlignment="1">
      <alignment horizontal="center" vertical="center"/>
    </xf>
    <xf numFmtId="165" fontId="0" fillId="8" borderId="28" xfId="0" applyNumberFormat="1" applyFill="1" applyBorder="1" applyAlignment="1" applyProtection="1">
      <alignment horizontal="center" vertical="center"/>
      <protection hidden="1"/>
    </xf>
    <xf numFmtId="9" fontId="0" fillId="6" borderId="34" xfId="0" applyNumberFormat="1" applyFill="1" applyBorder="1" applyAlignment="1" applyProtection="1">
      <alignment horizontal="center"/>
      <protection hidden="1"/>
    </xf>
    <xf numFmtId="9" fontId="0" fillId="6" borderId="14" xfId="0" applyNumberFormat="1" applyFill="1" applyBorder="1" applyAlignment="1" applyProtection="1">
      <alignment horizontal="center"/>
      <protection hidden="1"/>
    </xf>
    <xf numFmtId="9" fontId="0" fillId="6" borderId="15" xfId="0" applyNumberFormat="1" applyFill="1" applyBorder="1" applyAlignment="1" applyProtection="1">
      <alignment horizontal="center"/>
      <protection hidden="1"/>
    </xf>
    <xf numFmtId="0" fontId="0" fillId="12" borderId="16" xfId="0" applyFill="1" applyBorder="1"/>
    <xf numFmtId="4" fontId="0" fillId="12" borderId="20" xfId="0" applyNumberFormat="1" applyFill="1" applyBorder="1" applyProtection="1">
      <protection hidden="1"/>
    </xf>
    <xf numFmtId="165" fontId="13" fillId="4" borderId="20" xfId="0" applyNumberFormat="1" applyFont="1" applyFill="1" applyBorder="1" applyAlignment="1">
      <alignment horizontal="center"/>
    </xf>
    <xf numFmtId="165" fontId="13" fillId="4" borderId="37" xfId="0" applyNumberFormat="1" applyFont="1" applyFill="1" applyBorder="1" applyAlignment="1">
      <alignment horizontal="center"/>
    </xf>
    <xf numFmtId="9" fontId="0" fillId="8" borderId="16" xfId="0" applyNumberFormat="1" applyFill="1" applyBorder="1" applyAlignment="1">
      <alignment horizontal="center" vertical="center"/>
    </xf>
    <xf numFmtId="9" fontId="0" fillId="8" borderId="20" xfId="0" applyNumberFormat="1" applyFill="1" applyBorder="1" applyAlignment="1">
      <alignment horizontal="center" vertical="center"/>
    </xf>
    <xf numFmtId="9" fontId="0" fillId="8" borderId="17" xfId="0" applyNumberFormat="1" applyFill="1" applyBorder="1" applyAlignment="1">
      <alignment horizontal="center" vertical="center"/>
    </xf>
    <xf numFmtId="9" fontId="0" fillId="6" borderId="47" xfId="0" applyNumberFormat="1" applyFill="1" applyBorder="1" applyAlignment="1" applyProtection="1">
      <alignment horizontal="center"/>
      <protection hidden="1"/>
    </xf>
    <xf numFmtId="0" fontId="0" fillId="12" borderId="16" xfId="0" applyFill="1" applyBorder="1" applyProtection="1">
      <protection hidden="1"/>
    </xf>
    <xf numFmtId="9" fontId="0" fillId="8" borderId="18" xfId="0" applyNumberFormat="1" applyFill="1" applyBorder="1" applyAlignment="1">
      <alignment horizontal="center" vertical="center"/>
    </xf>
    <xf numFmtId="9" fontId="0" fillId="8" borderId="48" xfId="0" applyNumberFormat="1" applyFill="1" applyBorder="1" applyAlignment="1">
      <alignment horizontal="center" vertical="center"/>
    </xf>
    <xf numFmtId="165" fontId="13" fillId="4" borderId="20" xfId="0" applyNumberFormat="1" applyFont="1" applyFill="1" applyBorder="1" applyAlignment="1" applyProtection="1">
      <alignment horizontal="center"/>
      <protection hidden="1"/>
    </xf>
    <xf numFmtId="9" fontId="0" fillId="8" borderId="49" xfId="0" applyNumberFormat="1" applyFill="1" applyBorder="1" applyAlignment="1">
      <alignment horizontal="center" vertical="center"/>
    </xf>
    <xf numFmtId="9" fontId="0" fillId="8" borderId="34" xfId="0" applyNumberFormat="1" applyFill="1" applyBorder="1" applyAlignment="1">
      <alignment horizontal="center" vertical="center"/>
    </xf>
    <xf numFmtId="9" fontId="0" fillId="6" borderId="16" xfId="0" applyNumberFormat="1" applyFill="1" applyBorder="1" applyAlignment="1" applyProtection="1">
      <alignment horizontal="center"/>
      <protection hidden="1"/>
    </xf>
    <xf numFmtId="9" fontId="0" fillId="6" borderId="20" xfId="0" applyNumberFormat="1" applyFill="1" applyBorder="1" applyAlignment="1" applyProtection="1">
      <alignment horizontal="center"/>
      <protection hidden="1"/>
    </xf>
    <xf numFmtId="9" fontId="0" fillId="6" borderId="17" xfId="0" applyNumberFormat="1" applyFill="1" applyBorder="1" applyAlignment="1" applyProtection="1">
      <alignment horizontal="center"/>
      <protection hidden="1"/>
    </xf>
    <xf numFmtId="0" fontId="0" fillId="6" borderId="16" xfId="0" applyFill="1" applyBorder="1" applyProtection="1">
      <protection hidden="1"/>
    </xf>
    <xf numFmtId="9" fontId="0" fillId="6" borderId="19" xfId="0" applyNumberFormat="1" applyFill="1" applyBorder="1" applyAlignment="1" applyProtection="1">
      <alignment horizontal="center"/>
      <protection hidden="1"/>
    </xf>
    <xf numFmtId="3" fontId="13" fillId="4" borderId="20" xfId="0" applyNumberFormat="1" applyFont="1" applyFill="1" applyBorder="1" applyAlignment="1">
      <alignment horizontal="center"/>
    </xf>
    <xf numFmtId="3" fontId="13" fillId="4" borderId="37" xfId="0" applyNumberFormat="1" applyFont="1" applyFill="1" applyBorder="1" applyAlignment="1">
      <alignment horizontal="center"/>
    </xf>
    <xf numFmtId="0" fontId="0" fillId="6" borderId="16" xfId="0" applyFill="1" applyBorder="1" applyAlignment="1">
      <alignment horizontal="center"/>
    </xf>
    <xf numFmtId="0" fontId="0" fillId="6" borderId="17" xfId="0" applyFill="1" applyBorder="1" applyAlignment="1">
      <alignment horizontal="center" vertical="center"/>
    </xf>
    <xf numFmtId="0" fontId="0" fillId="6" borderId="17" xfId="0" applyFill="1" applyBorder="1" applyAlignment="1">
      <alignment horizontal="center"/>
    </xf>
    <xf numFmtId="9" fontId="21" fillId="6" borderId="16" xfId="0" applyNumberFormat="1" applyFont="1" applyFill="1" applyBorder="1" applyAlignment="1">
      <alignment horizontal="center" vertical="center"/>
    </xf>
    <xf numFmtId="9" fontId="21" fillId="6" borderId="20" xfId="0" applyNumberFormat="1" applyFont="1" applyFill="1" applyBorder="1" applyAlignment="1">
      <alignment horizontal="center" vertical="center"/>
    </xf>
    <xf numFmtId="9" fontId="21" fillId="6" borderId="17" xfId="0" applyNumberFormat="1" applyFont="1" applyFill="1" applyBorder="1" applyAlignment="1">
      <alignment horizontal="center" vertical="center"/>
    </xf>
    <xf numFmtId="0" fontId="0" fillId="8" borderId="16" xfId="0" applyFill="1" applyBorder="1" applyAlignment="1">
      <alignment horizontal="center"/>
    </xf>
    <xf numFmtId="0" fontId="0" fillId="8" borderId="17" xfId="0" applyFill="1" applyBorder="1" applyAlignment="1">
      <alignment horizontal="center" vertical="center"/>
    </xf>
    <xf numFmtId="9" fontId="0" fillId="8" borderId="19" xfId="0" applyNumberFormat="1" applyFill="1" applyBorder="1" applyAlignment="1" applyProtection="1">
      <alignment horizontal="center"/>
      <protection hidden="1"/>
    </xf>
    <xf numFmtId="9" fontId="0" fillId="8" borderId="20" xfId="0" applyNumberFormat="1" applyFill="1" applyBorder="1" applyAlignment="1" applyProtection="1">
      <alignment horizontal="center"/>
      <protection hidden="1"/>
    </xf>
    <xf numFmtId="9" fontId="0" fillId="8" borderId="17" xfId="0" applyNumberFormat="1" applyFill="1" applyBorder="1" applyAlignment="1" applyProtection="1">
      <alignment horizontal="center"/>
      <protection hidden="1"/>
    </xf>
    <xf numFmtId="0" fontId="0" fillId="8" borderId="17" xfId="0" applyFill="1" applyBorder="1" applyAlignment="1">
      <alignment horizontal="center"/>
    </xf>
    <xf numFmtId="0" fontId="0" fillId="8" borderId="30" xfId="0" applyFill="1" applyBorder="1" applyAlignment="1">
      <alignment horizontal="center"/>
    </xf>
    <xf numFmtId="0" fontId="0" fillId="8" borderId="24" xfId="0" applyFill="1" applyBorder="1" applyAlignment="1">
      <alignment horizontal="center"/>
    </xf>
    <xf numFmtId="9" fontId="0" fillId="8" borderId="30" xfId="0" applyNumberFormat="1" applyFill="1" applyBorder="1" applyAlignment="1">
      <alignment horizontal="center" vertical="center"/>
    </xf>
    <xf numFmtId="9" fontId="0" fillId="8" borderId="23" xfId="0" applyNumberFormat="1" applyFill="1" applyBorder="1" applyAlignment="1">
      <alignment horizontal="center" vertical="center"/>
    </xf>
    <xf numFmtId="9" fontId="0" fillId="8" borderId="24" xfId="0" applyNumberFormat="1" applyFill="1" applyBorder="1" applyAlignment="1">
      <alignment horizontal="center" vertical="center"/>
    </xf>
    <xf numFmtId="9" fontId="0" fillId="8" borderId="50" xfId="0" applyNumberFormat="1" applyFill="1" applyBorder="1" applyAlignment="1" applyProtection="1">
      <alignment horizontal="center"/>
      <protection hidden="1"/>
    </xf>
    <xf numFmtId="9" fontId="0" fillId="8" borderId="51" xfId="0" applyNumberFormat="1" applyFill="1" applyBorder="1" applyAlignment="1" applyProtection="1">
      <alignment horizontal="center"/>
      <protection hidden="1"/>
    </xf>
    <xf numFmtId="9" fontId="0" fillId="8" borderId="52" xfId="0" applyNumberFormat="1" applyFill="1" applyBorder="1" applyAlignment="1" applyProtection="1">
      <alignment horizontal="center"/>
      <protection hidden="1"/>
    </xf>
    <xf numFmtId="9" fontId="13" fillId="4" borderId="14" xfId="0" applyNumberFormat="1" applyFont="1" applyFill="1" applyBorder="1" applyAlignment="1">
      <alignment horizontal="center"/>
    </xf>
    <xf numFmtId="0" fontId="0" fillId="6" borderId="54" xfId="0" applyFill="1" applyBorder="1" applyAlignment="1">
      <alignment horizontal="center"/>
    </xf>
    <xf numFmtId="9" fontId="0" fillId="8" borderId="26" xfId="0" applyNumberFormat="1" applyFill="1" applyBorder="1" applyAlignment="1">
      <alignment horizontal="center" vertical="center"/>
    </xf>
    <xf numFmtId="9" fontId="0" fillId="8" borderId="14" xfId="0" applyNumberFormat="1" applyFill="1" applyBorder="1" applyAlignment="1">
      <alignment horizontal="center" vertical="center"/>
    </xf>
    <xf numFmtId="9" fontId="0" fillId="8" borderId="15" xfId="0" applyNumberFormat="1" applyFill="1" applyBorder="1" applyAlignment="1">
      <alignment horizontal="center" vertical="center"/>
    </xf>
    <xf numFmtId="9" fontId="0" fillId="6" borderId="55" xfId="0" applyNumberFormat="1" applyFill="1" applyBorder="1" applyAlignment="1" applyProtection="1">
      <alignment horizontal="center"/>
      <protection hidden="1"/>
    </xf>
    <xf numFmtId="9" fontId="0" fillId="6" borderId="27" xfId="0" applyNumberFormat="1" applyFill="1" applyBorder="1" applyAlignment="1" applyProtection="1">
      <alignment horizontal="center"/>
      <protection hidden="1"/>
    </xf>
    <xf numFmtId="9" fontId="0" fillId="6" borderId="28" xfId="0" applyNumberFormat="1" applyFill="1" applyBorder="1" applyAlignment="1" applyProtection="1">
      <alignment horizontal="center"/>
      <protection hidden="1"/>
    </xf>
    <xf numFmtId="0" fontId="0" fillId="13" borderId="16" xfId="0" applyFill="1" applyBorder="1" applyProtection="1">
      <protection hidden="1"/>
    </xf>
    <xf numFmtId="4" fontId="0" fillId="13" borderId="20" xfId="0" applyNumberFormat="1" applyFill="1" applyBorder="1" applyProtection="1">
      <protection hidden="1"/>
    </xf>
    <xf numFmtId="0" fontId="0" fillId="6" borderId="37" xfId="0" applyFill="1" applyBorder="1" applyAlignment="1">
      <alignment horizontal="center"/>
    </xf>
    <xf numFmtId="9" fontId="0" fillId="6" borderId="19" xfId="0" applyNumberFormat="1" applyFill="1" applyBorder="1" applyAlignment="1">
      <alignment horizontal="center"/>
    </xf>
    <xf numFmtId="3" fontId="13" fillId="4" borderId="17" xfId="0" applyNumberFormat="1" applyFont="1" applyFill="1" applyBorder="1" applyAlignment="1">
      <alignment horizontal="center"/>
    </xf>
    <xf numFmtId="0" fontId="8" fillId="6" borderId="16" xfId="0" applyFont="1" applyFill="1" applyBorder="1"/>
    <xf numFmtId="0" fontId="0" fillId="8" borderId="37" xfId="0" applyFill="1" applyBorder="1" applyAlignment="1">
      <alignment horizontal="center"/>
    </xf>
    <xf numFmtId="165" fontId="0" fillId="8" borderId="16" xfId="0" applyNumberFormat="1" applyFill="1" applyBorder="1" applyAlignment="1">
      <alignment horizontal="center" vertical="center"/>
    </xf>
    <xf numFmtId="165" fontId="0" fillId="8" borderId="20" xfId="0" applyNumberFormat="1" applyFill="1" applyBorder="1" applyAlignment="1">
      <alignment horizontal="center" vertical="center"/>
    </xf>
    <xf numFmtId="165" fontId="0" fillId="8" borderId="17" xfId="0" applyNumberFormat="1" applyFill="1" applyBorder="1" applyAlignment="1">
      <alignment horizontal="center" vertical="center"/>
    </xf>
    <xf numFmtId="9" fontId="0" fillId="6" borderId="20" xfId="0" applyNumberFormat="1" applyFill="1" applyBorder="1" applyAlignment="1">
      <alignment horizontal="center"/>
    </xf>
    <xf numFmtId="3" fontId="13" fillId="4" borderId="23" xfId="0" applyNumberFormat="1" applyFont="1" applyFill="1" applyBorder="1" applyAlignment="1">
      <alignment horizontal="center"/>
    </xf>
    <xf numFmtId="3" fontId="13" fillId="4" borderId="24" xfId="0" applyNumberFormat="1" applyFont="1" applyFill="1" applyBorder="1" applyAlignment="1">
      <alignment horizontal="center"/>
    </xf>
    <xf numFmtId="0" fontId="0" fillId="8" borderId="41" xfId="0" applyFill="1" applyBorder="1" applyAlignment="1">
      <alignment horizontal="center"/>
    </xf>
    <xf numFmtId="9" fontId="0" fillId="8" borderId="22" xfId="0" applyNumberFormat="1" applyFill="1" applyBorder="1" applyAlignment="1" applyProtection="1">
      <alignment horizontal="center"/>
      <protection hidden="1"/>
    </xf>
    <xf numFmtId="9" fontId="0" fillId="8" borderId="23" xfId="0" applyNumberFormat="1" applyFill="1" applyBorder="1" applyAlignment="1" applyProtection="1">
      <alignment horizontal="center"/>
      <protection hidden="1"/>
    </xf>
    <xf numFmtId="9" fontId="0" fillId="8" borderId="24" xfId="0" applyNumberFormat="1" applyFill="1" applyBorder="1" applyAlignment="1" applyProtection="1">
      <alignment horizontal="center"/>
      <protection hidden="1"/>
    </xf>
    <xf numFmtId="0" fontId="0" fillId="13" borderId="56" xfId="0" applyFill="1" applyBorder="1" applyProtection="1">
      <protection hidden="1"/>
    </xf>
    <xf numFmtId="0" fontId="0" fillId="12" borderId="13" xfId="0" applyFill="1" applyBorder="1"/>
    <xf numFmtId="1" fontId="0" fillId="12" borderId="27" xfId="0" applyNumberFormat="1" applyFill="1" applyBorder="1" applyProtection="1">
      <protection hidden="1"/>
    </xf>
    <xf numFmtId="1" fontId="0" fillId="12" borderId="28" xfId="0" applyNumberFormat="1" applyFill="1" applyBorder="1" applyProtection="1">
      <protection hidden="1"/>
    </xf>
    <xf numFmtId="4" fontId="0" fillId="12" borderId="27" xfId="0" applyNumberFormat="1" applyFill="1" applyBorder="1" applyProtection="1">
      <protection hidden="1"/>
    </xf>
    <xf numFmtId="4" fontId="0" fillId="12" borderId="28" xfId="0" applyNumberFormat="1" applyFill="1" applyBorder="1" applyProtection="1">
      <protection hidden="1"/>
    </xf>
    <xf numFmtId="0" fontId="0" fillId="7" borderId="10" xfId="0" applyFill="1" applyBorder="1"/>
    <xf numFmtId="0" fontId="0" fillId="7" borderId="35" xfId="0" applyFill="1" applyBorder="1"/>
    <xf numFmtId="0" fontId="0" fillId="7" borderId="36" xfId="0" applyFill="1" applyBorder="1"/>
    <xf numFmtId="1" fontId="0" fillId="12" borderId="20" xfId="0" applyNumberFormat="1" applyFill="1" applyBorder="1" applyProtection="1">
      <protection hidden="1"/>
    </xf>
    <xf numFmtId="1" fontId="0" fillId="12" borderId="17" xfId="0" applyNumberFormat="1" applyFill="1" applyBorder="1" applyProtection="1">
      <protection hidden="1"/>
    </xf>
    <xf numFmtId="4" fontId="0" fillId="12" borderId="17" xfId="0" applyNumberFormat="1" applyFill="1" applyBorder="1" applyProtection="1">
      <protection hidden="1"/>
    </xf>
    <xf numFmtId="0" fontId="19" fillId="13" borderId="16" xfId="0" applyFont="1" applyFill="1" applyBorder="1" applyAlignment="1">
      <alignment horizontal="left" vertical="top" wrapText="1"/>
    </xf>
    <xf numFmtId="1" fontId="0" fillId="13" borderId="20" xfId="0" applyNumberFormat="1" applyFill="1" applyBorder="1" applyProtection="1">
      <protection hidden="1"/>
    </xf>
    <xf numFmtId="1" fontId="0" fillId="13" borderId="17" xfId="0" applyNumberFormat="1" applyFill="1" applyBorder="1" applyProtection="1">
      <protection hidden="1"/>
    </xf>
    <xf numFmtId="4" fontId="0" fillId="13" borderId="17" xfId="0" applyNumberFormat="1" applyFill="1" applyBorder="1" applyProtection="1">
      <protection hidden="1"/>
    </xf>
    <xf numFmtId="0" fontId="0" fillId="13" borderId="16" xfId="0" applyFill="1" applyBorder="1"/>
    <xf numFmtId="1" fontId="0" fillId="6" borderId="20" xfId="0" applyNumberFormat="1" applyFill="1" applyBorder="1" applyProtection="1">
      <protection hidden="1"/>
    </xf>
    <xf numFmtId="1" fontId="0" fillId="6" borderId="17" xfId="0" applyNumberFormat="1" applyFill="1" applyBorder="1" applyProtection="1">
      <protection hidden="1"/>
    </xf>
    <xf numFmtId="4" fontId="0" fillId="6" borderId="20" xfId="0" applyNumberFormat="1" applyFill="1" applyBorder="1" applyProtection="1">
      <protection hidden="1"/>
    </xf>
    <xf numFmtId="4" fontId="0" fillId="6" borderId="17" xfId="0" applyNumberFormat="1" applyFill="1" applyBorder="1" applyProtection="1">
      <protection hidden="1"/>
    </xf>
    <xf numFmtId="1" fontId="0" fillId="6" borderId="23" xfId="0" applyNumberFormat="1" applyFill="1" applyBorder="1" applyProtection="1">
      <protection hidden="1"/>
    </xf>
    <xf numFmtId="1" fontId="0" fillId="6" borderId="24" xfId="0" applyNumberFormat="1" applyFill="1" applyBorder="1" applyProtection="1">
      <protection hidden="1"/>
    </xf>
    <xf numFmtId="4" fontId="0" fillId="6" borderId="23" xfId="0" applyNumberFormat="1" applyFill="1" applyBorder="1" applyProtection="1">
      <protection hidden="1"/>
    </xf>
    <xf numFmtId="4" fontId="0" fillId="6" borderId="24" xfId="0" applyNumberFormat="1" applyFill="1" applyBorder="1" applyProtection="1">
      <protection hidden="1"/>
    </xf>
    <xf numFmtId="1" fontId="0" fillId="0" borderId="0" xfId="0" applyNumberFormat="1"/>
    <xf numFmtId="0" fontId="3" fillId="2" borderId="3" xfId="0" applyFont="1" applyFill="1" applyBorder="1"/>
    <xf numFmtId="0" fontId="22" fillId="7" borderId="3" xfId="0" applyFont="1" applyFill="1" applyBorder="1"/>
    <xf numFmtId="0" fontId="4" fillId="7" borderId="0" xfId="0" applyFont="1" applyFill="1" applyAlignment="1">
      <alignment horizontal="left"/>
    </xf>
    <xf numFmtId="0" fontId="2" fillId="7" borderId="3" xfId="0" applyFont="1" applyFill="1" applyBorder="1"/>
    <xf numFmtId="0" fontId="23" fillId="7" borderId="3" xfId="0" applyFont="1" applyFill="1" applyBorder="1"/>
    <xf numFmtId="0" fontId="6" fillId="4" borderId="3" xfId="0" applyFont="1" applyFill="1" applyBorder="1"/>
    <xf numFmtId="0" fontId="24" fillId="7" borderId="3" xfId="0" applyFont="1" applyFill="1" applyBorder="1"/>
    <xf numFmtId="0" fontId="0" fillId="7" borderId="8" xfId="0" applyFill="1" applyBorder="1"/>
    <xf numFmtId="0" fontId="0" fillId="7" borderId="9" xfId="0" applyFill="1" applyBorder="1"/>
    <xf numFmtId="0" fontId="0" fillId="7" borderId="11" xfId="0" applyFill="1" applyBorder="1"/>
    <xf numFmtId="164" fontId="0" fillId="7" borderId="11" xfId="0" applyNumberFormat="1" applyFill="1" applyBorder="1" applyAlignment="1" applyProtection="1">
      <alignment horizontal="center"/>
      <protection hidden="1"/>
    </xf>
    <xf numFmtId="164" fontId="0" fillId="7" borderId="11" xfId="0" applyNumberFormat="1" applyFill="1" applyBorder="1" applyAlignment="1" applyProtection="1">
      <alignment horizontal="center" vertical="center"/>
      <protection hidden="1"/>
    </xf>
    <xf numFmtId="164" fontId="0" fillId="7" borderId="9" xfId="0" applyNumberFormat="1" applyFill="1" applyBorder="1" applyAlignment="1" applyProtection="1">
      <alignment horizontal="center"/>
      <protection hidden="1"/>
    </xf>
    <xf numFmtId="0" fontId="0" fillId="7" borderId="6" xfId="0" applyFill="1" applyBorder="1"/>
    <xf numFmtId="0" fontId="0" fillId="7" borderId="29" xfId="0" applyFill="1" applyBorder="1"/>
    <xf numFmtId="166" fontId="0" fillId="7" borderId="12" xfId="0" applyNumberFormat="1" applyFill="1" applyBorder="1" applyAlignment="1" applyProtection="1">
      <alignment horizontal="center"/>
      <protection hidden="1"/>
    </xf>
    <xf numFmtId="166" fontId="0" fillId="7" borderId="29" xfId="0" applyNumberFormat="1" applyFill="1" applyBorder="1" applyAlignment="1" applyProtection="1">
      <alignment horizontal="center"/>
      <protection hidden="1"/>
    </xf>
    <xf numFmtId="0" fontId="0" fillId="7" borderId="12" xfId="0" applyFill="1" applyBorder="1"/>
    <xf numFmtId="0" fontId="8" fillId="6" borderId="5" xfId="0" applyFont="1" applyFill="1" applyBorder="1" applyAlignment="1">
      <alignment horizontal="center" vertical="center"/>
    </xf>
    <xf numFmtId="0" fontId="0" fillId="6" borderId="11" xfId="0" applyFill="1" applyBorder="1"/>
    <xf numFmtId="0" fontId="8" fillId="6" borderId="2" xfId="0" applyFont="1" applyFill="1" applyBorder="1" applyProtection="1">
      <protection hidden="1"/>
    </xf>
    <xf numFmtId="0" fontId="0" fillId="6" borderId="4" xfId="0" applyFill="1" applyBorder="1"/>
    <xf numFmtId="0" fontId="8" fillId="6" borderId="2" xfId="0" applyFont="1" applyFill="1" applyBorder="1" applyAlignment="1" applyProtection="1">
      <alignment horizontal="left" vertical="top"/>
      <protection hidden="1"/>
    </xf>
    <xf numFmtId="0" fontId="0" fillId="6" borderId="0" xfId="0" applyFill="1"/>
    <xf numFmtId="0" fontId="8" fillId="6" borderId="2" xfId="0" applyFont="1" applyFill="1" applyBorder="1"/>
    <xf numFmtId="0" fontId="0" fillId="6" borderId="3" xfId="0" applyFill="1" applyBorder="1" applyProtection="1">
      <protection hidden="1"/>
    </xf>
    <xf numFmtId="0" fontId="0" fillId="6" borderId="29" xfId="0" applyFill="1" applyBorder="1"/>
    <xf numFmtId="0" fontId="0" fillId="0" borderId="0" xfId="0" applyAlignment="1">
      <alignment horizontal="left" vertical="top"/>
    </xf>
    <xf numFmtId="0" fontId="0" fillId="0" borderId="0" xfId="0" applyProtection="1">
      <protection hidden="1"/>
    </xf>
    <xf numFmtId="2" fontId="2" fillId="7" borderId="0" xfId="0" applyNumberFormat="1" applyFont="1" applyFill="1"/>
    <xf numFmtId="3" fontId="13" fillId="4" borderId="26" xfId="0" applyNumberFormat="1" applyFont="1" applyFill="1" applyBorder="1" applyProtection="1">
      <protection hidden="1"/>
    </xf>
    <xf numFmtId="3" fontId="13" fillId="4" borderId="38" xfId="0" applyNumberFormat="1" applyFont="1" applyFill="1" applyBorder="1" applyProtection="1">
      <protection hidden="1"/>
    </xf>
    <xf numFmtId="3" fontId="13" fillId="4" borderId="13" xfId="0" applyNumberFormat="1" applyFont="1" applyFill="1" applyBorder="1" applyProtection="1">
      <protection hidden="1"/>
    </xf>
    <xf numFmtId="3" fontId="13" fillId="4" borderId="28" xfId="0" applyNumberFormat="1" applyFont="1" applyFill="1" applyBorder="1" applyProtection="1">
      <protection hidden="1"/>
    </xf>
    <xf numFmtId="0" fontId="2" fillId="7" borderId="0" xfId="0" applyFont="1" applyFill="1"/>
    <xf numFmtId="0" fontId="26" fillId="0" borderId="0" xfId="0" applyFont="1"/>
    <xf numFmtId="0" fontId="27" fillId="7" borderId="3" xfId="0" applyFont="1" applyFill="1" applyBorder="1"/>
    <xf numFmtId="0" fontId="27" fillId="7" borderId="4" xfId="0" applyFont="1" applyFill="1" applyBorder="1"/>
    <xf numFmtId="0" fontId="28" fillId="6" borderId="3" xfId="0" applyFont="1" applyFill="1" applyBorder="1"/>
    <xf numFmtId="0" fontId="9" fillId="6" borderId="0" xfId="0" applyFont="1" applyFill="1"/>
    <xf numFmtId="0" fontId="8" fillId="6" borderId="0" xfId="0" applyFont="1" applyFill="1"/>
    <xf numFmtId="0" fontId="0" fillId="8" borderId="0" xfId="0" applyFill="1"/>
    <xf numFmtId="0" fontId="0" fillId="6" borderId="3" xfId="0" applyFill="1" applyBorder="1" applyAlignment="1">
      <alignment vertical="top" wrapText="1"/>
    </xf>
    <xf numFmtId="0" fontId="0" fillId="6" borderId="0" xfId="0" applyFill="1" applyAlignment="1">
      <alignment vertical="top" wrapText="1"/>
    </xf>
    <xf numFmtId="0" fontId="0" fillId="6" borderId="4" xfId="0" applyFill="1" applyBorder="1" applyAlignment="1">
      <alignment vertical="top" wrapText="1"/>
    </xf>
    <xf numFmtId="0" fontId="0" fillId="6" borderId="0" xfId="0" applyFill="1" applyAlignment="1">
      <alignment horizontal="left" vertical="center"/>
    </xf>
    <xf numFmtId="0" fontId="0" fillId="6" borderId="0" xfId="0" applyFill="1" applyAlignment="1">
      <alignment horizontal="left" vertical="top"/>
    </xf>
    <xf numFmtId="0" fontId="12" fillId="6" borderId="12" xfId="0" applyFont="1" applyFill="1" applyBorder="1"/>
    <xf numFmtId="0" fontId="12" fillId="7" borderId="0" xfId="0" applyFont="1" applyFill="1"/>
    <xf numFmtId="0" fontId="0" fillId="6" borderId="0" xfId="0" applyFill="1" applyAlignment="1">
      <alignment vertical="top"/>
    </xf>
    <xf numFmtId="0" fontId="0" fillId="8" borderId="0" xfId="0" applyFill="1" applyAlignment="1">
      <alignment horizontal="left" vertical="top" wrapText="1"/>
    </xf>
    <xf numFmtId="0" fontId="29" fillId="6" borderId="57" xfId="0" applyFont="1" applyFill="1" applyBorder="1"/>
    <xf numFmtId="38" fontId="7" fillId="0" borderId="1" xfId="0" applyNumberFormat="1" applyFont="1" applyBorder="1" applyAlignment="1">
      <alignment horizontal="center" vertical="center" wrapText="1"/>
    </xf>
    <xf numFmtId="38" fontId="0" fillId="0" borderId="0" xfId="0" applyNumberFormat="1"/>
    <xf numFmtId="38" fontId="4" fillId="0" borderId="0" xfId="0" applyNumberFormat="1" applyFont="1"/>
    <xf numFmtId="0" fontId="30" fillId="0" borderId="0" xfId="0" applyFont="1"/>
    <xf numFmtId="0" fontId="31" fillId="0" borderId="0" xfId="0" applyFont="1"/>
    <xf numFmtId="0" fontId="2" fillId="0" borderId="0" xfId="0" applyFont="1"/>
    <xf numFmtId="0" fontId="0" fillId="6" borderId="26" xfId="0" applyFill="1" applyBorder="1" applyAlignment="1">
      <alignment horizontal="center"/>
    </xf>
    <xf numFmtId="0" fontId="12" fillId="6" borderId="16" xfId="0" applyFont="1" applyFill="1" applyBorder="1" applyAlignment="1">
      <alignment horizontal="center"/>
    </xf>
    <xf numFmtId="9" fontId="13" fillId="4" borderId="17" xfId="0" applyNumberFormat="1" applyFont="1" applyFill="1" applyBorder="1" applyAlignment="1">
      <alignment horizontal="center"/>
    </xf>
    <xf numFmtId="9" fontId="0" fillId="6" borderId="17" xfId="0" applyNumberFormat="1" applyFill="1" applyBorder="1" applyAlignment="1">
      <alignment horizontal="center"/>
    </xf>
    <xf numFmtId="0" fontId="0" fillId="6" borderId="25" xfId="0" applyFill="1" applyBorder="1" applyAlignment="1">
      <alignment horizontal="center"/>
    </xf>
    <xf numFmtId="0" fontId="8" fillId="6" borderId="2" xfId="0" applyFont="1" applyFill="1" applyBorder="1" applyAlignment="1">
      <alignment horizontal="center"/>
    </xf>
    <xf numFmtId="0" fontId="0" fillId="6" borderId="13" xfId="0" applyFill="1" applyBorder="1" applyAlignment="1">
      <alignment horizontal="center"/>
    </xf>
    <xf numFmtId="0" fontId="0" fillId="6" borderId="3" xfId="0" applyFill="1" applyBorder="1" applyAlignment="1">
      <alignment horizontal="left" vertical="top"/>
    </xf>
    <xf numFmtId="0" fontId="0" fillId="6" borderId="3" xfId="0" applyFill="1" applyBorder="1" applyAlignment="1" applyProtection="1">
      <alignment horizontal="left" vertical="top" wrapText="1"/>
      <protection hidden="1"/>
    </xf>
    <xf numFmtId="0" fontId="0" fillId="6" borderId="3" xfId="0" applyFill="1" applyBorder="1" applyAlignment="1">
      <alignment horizontal="left"/>
    </xf>
    <xf numFmtId="0" fontId="0" fillId="6" borderId="5" xfId="0" applyFill="1" applyBorder="1" applyAlignment="1" applyProtection="1">
      <alignment horizontal="left" vertical="top" wrapText="1"/>
      <protection hidden="1"/>
    </xf>
    <xf numFmtId="0" fontId="0" fillId="6" borderId="7" xfId="0" applyFill="1" applyBorder="1" applyAlignment="1">
      <alignment horizontal="left"/>
    </xf>
    <xf numFmtId="0" fontId="8" fillId="6" borderId="5" xfId="0" applyFont="1" applyFill="1" applyBorder="1" applyAlignment="1">
      <alignment horizontal="center"/>
    </xf>
    <xf numFmtId="0" fontId="0" fillId="6" borderId="35" xfId="0" applyFill="1" applyBorder="1" applyAlignment="1">
      <alignment horizontal="center"/>
    </xf>
    <xf numFmtId="0" fontId="0" fillId="6" borderId="7" xfId="0" applyFill="1" applyBorder="1" applyAlignment="1">
      <alignment horizontal="left" vertical="top"/>
    </xf>
    <xf numFmtId="0" fontId="8" fillId="6" borderId="2" xfId="0" applyFont="1" applyFill="1" applyBorder="1" applyAlignment="1">
      <alignment horizontal="center" vertical="center"/>
    </xf>
    <xf numFmtId="0" fontId="0" fillId="6" borderId="2" xfId="0" applyFill="1" applyBorder="1" applyAlignment="1">
      <alignment horizontal="left" vertical="top" wrapText="1"/>
    </xf>
    <xf numFmtId="0" fontId="8" fillId="6" borderId="8" xfId="0" applyFont="1" applyFill="1" applyBorder="1" applyAlignment="1" applyProtection="1">
      <alignment horizontal="center"/>
      <protection hidden="1"/>
    </xf>
    <xf numFmtId="0" fontId="8" fillId="6" borderId="9" xfId="0" applyFont="1" applyFill="1" applyBorder="1" applyAlignment="1" applyProtection="1">
      <alignment horizontal="center"/>
      <protection hidden="1"/>
    </xf>
    <xf numFmtId="0" fontId="0" fillId="6" borderId="5" xfId="0" applyFill="1" applyBorder="1" applyAlignment="1" applyProtection="1">
      <alignment horizontal="left" vertical="top" wrapText="1" shrinkToFit="1"/>
      <protection hidden="1"/>
    </xf>
    <xf numFmtId="0" fontId="0" fillId="6" borderId="7" xfId="0" applyFill="1" applyBorder="1" applyAlignment="1">
      <alignment horizontal="left" vertical="top" wrapText="1" shrinkToFit="1"/>
    </xf>
    <xf numFmtId="0" fontId="8" fillId="6" borderId="5" xfId="0" applyFont="1" applyFill="1" applyBorder="1" applyAlignment="1" applyProtection="1">
      <alignment horizontal="center" vertical="center"/>
      <protection hidden="1"/>
    </xf>
    <xf numFmtId="0" fontId="0" fillId="6" borderId="8" xfId="0" applyFill="1" applyBorder="1" applyAlignment="1">
      <alignment horizontal="center" vertical="center"/>
    </xf>
    <xf numFmtId="0" fontId="0" fillId="6" borderId="53" xfId="0" applyFill="1" applyBorder="1" applyAlignment="1">
      <alignment horizontal="center" vertical="center"/>
    </xf>
    <xf numFmtId="0" fontId="0" fillId="6" borderId="2" xfId="0" applyFill="1" applyBorder="1" applyAlignment="1">
      <alignment horizontal="center"/>
    </xf>
    <xf numFmtId="0" fontId="8" fillId="6" borderId="36" xfId="0" applyFont="1" applyFill="1" applyBorder="1" applyAlignment="1" applyProtection="1">
      <alignment horizontal="center"/>
      <protection hidden="1"/>
    </xf>
    <xf numFmtId="0" fontId="8" fillId="6" borderId="2" xfId="0" applyFont="1" applyFill="1" applyBorder="1" applyAlignment="1" applyProtection="1">
      <alignment horizontal="center" vertical="center"/>
      <protection hidden="1"/>
    </xf>
    <xf numFmtId="0" fontId="0" fillId="6" borderId="7" xfId="0" applyFill="1" applyBorder="1" applyAlignment="1">
      <alignment horizontal="center" vertical="top" wrapText="1"/>
    </xf>
    <xf numFmtId="0" fontId="0" fillId="10" borderId="2" xfId="0" applyFill="1" applyBorder="1" applyAlignment="1">
      <alignment horizontal="left"/>
    </xf>
    <xf numFmtId="0" fontId="0" fillId="11" borderId="2" xfId="0" applyFill="1" applyBorder="1" applyAlignment="1">
      <alignment horizontal="left"/>
    </xf>
    <xf numFmtId="0" fontId="0" fillId="6" borderId="8" xfId="0" applyFill="1" applyBorder="1" applyAlignment="1">
      <alignment horizontal="center"/>
    </xf>
    <xf numFmtId="0" fontId="0" fillId="6" borderId="10" xfId="0" applyFill="1" applyBorder="1" applyAlignment="1">
      <alignment horizontal="center"/>
    </xf>
    <xf numFmtId="0" fontId="0" fillId="6" borderId="42" xfId="0" applyFill="1" applyBorder="1" applyAlignment="1">
      <alignment horizontal="center"/>
    </xf>
    <xf numFmtId="0" fontId="0" fillId="6" borderId="2" xfId="0" applyFill="1" applyBorder="1" applyAlignment="1">
      <alignment horizontal="center" vertical="center"/>
    </xf>
    <xf numFmtId="0" fontId="0" fillId="6" borderId="9" xfId="0" applyFill="1" applyBorder="1" applyAlignment="1">
      <alignment horizontal="center"/>
    </xf>
    <xf numFmtId="0" fontId="0" fillId="6" borderId="39" xfId="0" applyFill="1" applyBorder="1" applyAlignment="1" applyProtection="1">
      <alignment horizontal="left"/>
      <protection hidden="1"/>
    </xf>
    <xf numFmtId="0" fontId="0" fillId="9" borderId="2" xfId="0" applyFill="1" applyBorder="1" applyAlignment="1">
      <alignment horizontal="left"/>
    </xf>
    <xf numFmtId="0" fontId="18" fillId="6" borderId="5" xfId="0" applyFont="1" applyFill="1" applyBorder="1" applyAlignment="1">
      <alignment horizontal="center"/>
    </xf>
    <xf numFmtId="0" fontId="13" fillId="4" borderId="2" xfId="0" applyFont="1" applyFill="1" applyBorder="1" applyAlignment="1">
      <alignment horizontal="center"/>
    </xf>
    <xf numFmtId="0" fontId="18" fillId="6" borderId="2" xfId="0" applyFont="1" applyFill="1" applyBorder="1" applyAlignment="1">
      <alignment horizontal="center" vertical="center"/>
    </xf>
    <xf numFmtId="0" fontId="13" fillId="4" borderId="2" xfId="0" applyFont="1" applyFill="1" applyBorder="1" applyAlignment="1">
      <alignment horizontal="center" vertical="center" wrapText="1"/>
    </xf>
    <xf numFmtId="0" fontId="13" fillId="4" borderId="2" xfId="0" applyFont="1" applyFill="1" applyBorder="1" applyAlignment="1">
      <alignment horizontal="left" vertical="center" wrapText="1"/>
    </xf>
    <xf numFmtId="0" fontId="13" fillId="4" borderId="2" xfId="0" applyFont="1" applyFill="1" applyBorder="1" applyAlignment="1">
      <alignment horizontal="left" vertical="top" wrapText="1"/>
    </xf>
    <xf numFmtId="0" fontId="27" fillId="0" borderId="0" xfId="0" applyFont="1" applyAlignment="1">
      <alignment horizontal="center"/>
    </xf>
    <xf numFmtId="0" fontId="0" fillId="8" borderId="0" xfId="0" applyFill="1" applyAlignment="1">
      <alignment horizontal="left"/>
    </xf>
    <xf numFmtId="0" fontId="0" fillId="6" borderId="0" xfId="0" applyFill="1" applyAlignment="1">
      <alignment horizontal="left" vertical="top" wrapText="1"/>
    </xf>
    <xf numFmtId="0" fontId="0" fillId="8" borderId="0" xfId="0" applyFill="1" applyAlignment="1">
      <alignment horizontal="center"/>
    </xf>
    <xf numFmtId="0" fontId="0" fillId="6" borderId="0" xfId="0" applyFill="1" applyAlignment="1">
      <alignment horizontal="left"/>
    </xf>
    <xf numFmtId="0" fontId="27" fillId="6" borderId="2" xfId="0" applyFont="1" applyFill="1" applyBorder="1" applyAlignment="1">
      <alignment horizontal="center" vertical="center"/>
    </xf>
    <xf numFmtId="0" fontId="0" fillId="8" borderId="0" xfId="0" applyFill="1" applyAlignment="1">
      <alignment horizontal="left" vertical="center"/>
    </xf>
    <xf numFmtId="0" fontId="0" fillId="8" borderId="0" xfId="0" applyFill="1"/>
    <xf numFmtId="0" fontId="27" fillId="6" borderId="2" xfId="0" applyFont="1" applyFill="1" applyBorder="1" applyAlignment="1">
      <alignment horizontal="center"/>
    </xf>
    <xf numFmtId="0" fontId="26" fillId="6" borderId="2" xfId="0" applyFont="1" applyFill="1" applyBorder="1" applyAlignment="1">
      <alignment horizontal="center"/>
    </xf>
  </cellXfs>
  <cellStyles count="1">
    <cellStyle name="Standard"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156082"/>
      <rgbColor rgb="FFBFBFBF"/>
      <rgbColor rgb="FF808080"/>
      <rgbColor rgb="FF9999FF"/>
      <rgbColor rgb="FF993366"/>
      <rgbColor rgb="FFFFF2CC"/>
      <rgbColor rgb="FFDCEAF7"/>
      <rgbColor rgb="FF660066"/>
      <rgbColor rgb="FFFF8080"/>
      <rgbColor rgb="FF0066CC"/>
      <rgbColor rgb="FFD9D9D9"/>
      <rgbColor rgb="FF000080"/>
      <rgbColor rgb="FFFF00FF"/>
      <rgbColor rgb="FFFFFF00"/>
      <rgbColor rgb="FF00FFFF"/>
      <rgbColor rgb="FF800080"/>
      <rgbColor rgb="FF800000"/>
      <rgbColor rgb="FF196B24"/>
      <rgbColor rgb="FF0000FF"/>
      <rgbColor rgb="FF00CCFF"/>
      <rgbColor rgb="FFE2EFDA"/>
      <rgbColor rgb="FFD9F2D0"/>
      <rgbColor rgb="FFDCE6F1"/>
      <rgbColor rgb="FFA6CAEC"/>
      <rgbColor rgb="FFF2AA84"/>
      <rgbColor rgb="FFCC99FF"/>
      <rgbColor rgb="FFFBE3D6"/>
      <rgbColor rgb="FF2E75B6"/>
      <rgbColor rgb="FF33CCCC"/>
      <rgbColor rgb="FF92D050"/>
      <rgbColor rgb="FFFFCC00"/>
      <rgbColor rgb="FFBF8F00"/>
      <rgbColor rgb="FFE97132"/>
      <rgbColor rgb="FF595959"/>
      <rgbColor rgb="FFB0B0B0"/>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Kumulierter diskontierter Cashflow über die Betriebszeit [€]</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v>Erwarteter Fall</c:v>
          </c:tx>
          <c:spPr>
            <a:ln w="31750" cap="rnd">
              <a:solidFill>
                <a:srgbClr val="2E75B6"/>
              </a:solidFill>
              <a:prstDash val="solid"/>
              <a:round/>
            </a:ln>
            <a:effectLst/>
          </c:spPr>
          <c:marker>
            <c:symbol val="none"/>
          </c:marker>
          <c:cat>
            <c:numRef>
              <c:f>'Vorlage Maßnahme'!$S$20:$BT$20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'Vorlage Maßnahme'!$S$62:$BT$62</c:f>
              <c:numCache>
                <c:formatCode>0</c:formatCode>
                <c:ptCount val="54"/>
                <c:pt idx="0">
                  <c:v>-640</c:v>
                </c:pt>
                <c:pt idx="1">
                  <c:v>3678.0769230769229</c:v>
                </c:pt>
                <c:pt idx="2">
                  <c:v>7954.6338757396434</c:v>
                </c:pt>
                <c:pt idx="3">
                  <c:v>12190.070088472916</c:v>
                </c:pt>
                <c:pt idx="4">
                  <c:v>16384.78095300683</c:v>
                </c:pt>
                <c:pt idx="5">
                  <c:v>16384.78095300683</c:v>
                </c:pt>
                <c:pt idx="6">
                  <c:v>16384.78095300683</c:v>
                </c:pt>
                <c:pt idx="7">
                  <c:v>16384.78095300683</c:v>
                </c:pt>
                <c:pt idx="8">
                  <c:v>16384.78095300683</c:v>
                </c:pt>
                <c:pt idx="9">
                  <c:v>16384.78095300683</c:v>
                </c:pt>
                <c:pt idx="10">
                  <c:v>16384.78095300683</c:v>
                </c:pt>
                <c:pt idx="11">
                  <c:v>16384.78095300683</c:v>
                </c:pt>
                <c:pt idx="12">
                  <c:v>16384.78095300683</c:v>
                </c:pt>
                <c:pt idx="13">
                  <c:v>16384.78095300683</c:v>
                </c:pt>
                <c:pt idx="14">
                  <c:v>16384.78095300683</c:v>
                </c:pt>
                <c:pt idx="15">
                  <c:v>16384.78095300683</c:v>
                </c:pt>
                <c:pt idx="16">
                  <c:v>16384.78095300683</c:v>
                </c:pt>
                <c:pt idx="17">
                  <c:v>16384.78095300683</c:v>
                </c:pt>
                <c:pt idx="18">
                  <c:v>16384.78095300683</c:v>
                </c:pt>
                <c:pt idx="19">
                  <c:v>16384.78095300683</c:v>
                </c:pt>
                <c:pt idx="20">
                  <c:v>16384.78095300683</c:v>
                </c:pt>
                <c:pt idx="21">
                  <c:v>16384.78095300683</c:v>
                </c:pt>
                <c:pt idx="22">
                  <c:v>16384.78095300683</c:v>
                </c:pt>
                <c:pt idx="23">
                  <c:v>16384.78095300683</c:v>
                </c:pt>
                <c:pt idx="24">
                  <c:v>16384.78095300683</c:v>
                </c:pt>
                <c:pt idx="25">
                  <c:v>16384.78095300683</c:v>
                </c:pt>
                <c:pt idx="26">
                  <c:v>16384.78095300683</c:v>
                </c:pt>
                <c:pt idx="27">
                  <c:v>16384.78095300683</c:v>
                </c:pt>
                <c:pt idx="28">
                  <c:v>16384.78095300683</c:v>
                </c:pt>
                <c:pt idx="29">
                  <c:v>16384.78095300683</c:v>
                </c:pt>
                <c:pt idx="30">
                  <c:v>16384.78095300683</c:v>
                </c:pt>
                <c:pt idx="31">
                  <c:v>16384.78095300683</c:v>
                </c:pt>
                <c:pt idx="32">
                  <c:v>16384.78095300683</c:v>
                </c:pt>
                <c:pt idx="33">
                  <c:v>16384.78095300683</c:v>
                </c:pt>
                <c:pt idx="34">
                  <c:v>16384.78095300683</c:v>
                </c:pt>
                <c:pt idx="35">
                  <c:v>16384.78095300683</c:v>
                </c:pt>
                <c:pt idx="36">
                  <c:v>16384.78095300683</c:v>
                </c:pt>
                <c:pt idx="37">
                  <c:v>16384.78095300683</c:v>
                </c:pt>
                <c:pt idx="38">
                  <c:v>16384.78095300683</c:v>
                </c:pt>
                <c:pt idx="39">
                  <c:v>16384.78095300683</c:v>
                </c:pt>
                <c:pt idx="40">
                  <c:v>16384.78095300683</c:v>
                </c:pt>
                <c:pt idx="41">
                  <c:v>16384.78095300683</c:v>
                </c:pt>
                <c:pt idx="42">
                  <c:v>16384.78095300683</c:v>
                </c:pt>
                <c:pt idx="43">
                  <c:v>16384.78095300683</c:v>
                </c:pt>
                <c:pt idx="44">
                  <c:v>16384.78095300683</c:v>
                </c:pt>
                <c:pt idx="45">
                  <c:v>16384.78095300683</c:v>
                </c:pt>
                <c:pt idx="46">
                  <c:v>16384.78095300683</c:v>
                </c:pt>
                <c:pt idx="47">
                  <c:v>16384.78095300683</c:v>
                </c:pt>
                <c:pt idx="48">
                  <c:v>16384.78095300683</c:v>
                </c:pt>
                <c:pt idx="49">
                  <c:v>16384.78095300683</c:v>
                </c:pt>
                <c:pt idx="50">
                  <c:v>16384.78095300683</c:v>
                </c:pt>
                <c:pt idx="51">
                  <c:v>16384.78095300683</c:v>
                </c:pt>
                <c:pt idx="52">
                  <c:v>16384.78095300683</c:v>
                </c:pt>
                <c:pt idx="53">
                  <c:v>16384.78095300683</c:v>
                </c:pt>
              </c:numCache>
            </c:numRef>
          </c:val>
          <c:smooth val="0"/>
          <c:extLst>
            <c:ext xmlns:c16="http://schemas.microsoft.com/office/drawing/2014/chart" uri="{C3380CC4-5D6E-409C-BE32-E72D297353CC}">
              <c16:uniqueId val="{00000000-55E2-49F9-90C4-2CEB2496B638}"/>
            </c:ext>
          </c:extLst>
        </c:ser>
        <c:ser>
          <c:idx val="1"/>
          <c:order val="1"/>
          <c:tx>
            <c:v>Worst Case</c:v>
          </c:tx>
          <c:spPr>
            <a:ln w="25400" cap="rnd">
              <a:solidFill>
                <a:srgbClr val="C00000"/>
              </a:solidFill>
              <a:prstDash val="solid"/>
              <a:round/>
            </a:ln>
            <a:effectLst/>
          </c:spPr>
          <c:marker>
            <c:symbol val="none"/>
          </c:marker>
          <c:cat>
            <c:numRef>
              <c:f>'Vorlage Maßnahme'!$S$20:$BT$20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'Vorlage Maßnahme'!$S$63:$BT$63</c:f>
              <c:numCache>
                <c:formatCode>General</c:formatCode>
                <c:ptCount val="54"/>
                <c:pt idx="0">
                  <c:v>-3404</c:v>
                </c:pt>
                <c:pt idx="1">
                  <c:v>-366.41509433962256</c:v>
                </c:pt>
                <c:pt idx="2">
                  <c:v>2613.8568885724458</c:v>
                </c:pt>
                <c:pt idx="3">
                  <c:v>5537.8973246371161</c:v>
                </c:pt>
                <c:pt idx="4">
                  <c:v>8406.7671864364165</c:v>
                </c:pt>
                <c:pt idx="5">
                  <c:v>8406.7671864364165</c:v>
                </c:pt>
                <c:pt idx="6">
                  <c:v>8406.7671864364165</c:v>
                </c:pt>
                <c:pt idx="7">
                  <c:v>8406.7671864364165</c:v>
                </c:pt>
                <c:pt idx="8">
                  <c:v>8406.7671864364165</c:v>
                </c:pt>
                <c:pt idx="9">
                  <c:v>8406.7671864364165</c:v>
                </c:pt>
                <c:pt idx="10">
                  <c:v>8406.7671864364165</c:v>
                </c:pt>
                <c:pt idx="11">
                  <c:v>8406.7671864364165</c:v>
                </c:pt>
                <c:pt idx="12">
                  <c:v>8406.7671864364165</c:v>
                </c:pt>
                <c:pt idx="13">
                  <c:v>8406.7671864364165</c:v>
                </c:pt>
                <c:pt idx="14">
                  <c:v>8406.7671864364165</c:v>
                </c:pt>
                <c:pt idx="15">
                  <c:v>8406.7671864364165</c:v>
                </c:pt>
                <c:pt idx="16">
                  <c:v>8406.7671864364165</c:v>
                </c:pt>
                <c:pt idx="17">
                  <c:v>8406.7671864364165</c:v>
                </c:pt>
                <c:pt idx="18">
                  <c:v>8406.7671864364165</c:v>
                </c:pt>
                <c:pt idx="19">
                  <c:v>8406.7671864364165</c:v>
                </c:pt>
                <c:pt idx="20">
                  <c:v>8406.7671864364165</c:v>
                </c:pt>
                <c:pt idx="21">
                  <c:v>8406.7671864364165</c:v>
                </c:pt>
                <c:pt idx="22">
                  <c:v>8406.7671864364165</c:v>
                </c:pt>
                <c:pt idx="23">
                  <c:v>8406.7671864364165</c:v>
                </c:pt>
                <c:pt idx="24">
                  <c:v>8406.7671864364165</c:v>
                </c:pt>
                <c:pt idx="25">
                  <c:v>8406.7671864364165</c:v>
                </c:pt>
                <c:pt idx="26">
                  <c:v>8406.7671864364165</c:v>
                </c:pt>
                <c:pt idx="27">
                  <c:v>8406.7671864364165</c:v>
                </c:pt>
                <c:pt idx="28">
                  <c:v>8406.7671864364165</c:v>
                </c:pt>
                <c:pt idx="29">
                  <c:v>8406.7671864364165</c:v>
                </c:pt>
                <c:pt idx="30">
                  <c:v>8406.7671864364165</c:v>
                </c:pt>
                <c:pt idx="31">
                  <c:v>8406.7671864364165</c:v>
                </c:pt>
                <c:pt idx="32">
                  <c:v>8406.7671864364165</c:v>
                </c:pt>
                <c:pt idx="33">
                  <c:v>8406.7671864364165</c:v>
                </c:pt>
                <c:pt idx="34">
                  <c:v>8406.7671864364165</c:v>
                </c:pt>
                <c:pt idx="35">
                  <c:v>8406.7671864364165</c:v>
                </c:pt>
                <c:pt idx="36">
                  <c:v>8406.7671864364165</c:v>
                </c:pt>
                <c:pt idx="37">
                  <c:v>8406.7671864364165</c:v>
                </c:pt>
                <c:pt idx="38">
                  <c:v>8406.7671864364165</c:v>
                </c:pt>
                <c:pt idx="39">
                  <c:v>8406.7671864364165</c:v>
                </c:pt>
                <c:pt idx="40">
                  <c:v>8406.7671864364165</c:v>
                </c:pt>
                <c:pt idx="41">
                  <c:v>8406.7671864364165</c:v>
                </c:pt>
                <c:pt idx="42">
                  <c:v>8406.7671864364165</c:v>
                </c:pt>
                <c:pt idx="43">
                  <c:v>8406.7671864364165</c:v>
                </c:pt>
                <c:pt idx="44">
                  <c:v>8406.7671864364165</c:v>
                </c:pt>
                <c:pt idx="45">
                  <c:v>8406.7671864364165</c:v>
                </c:pt>
                <c:pt idx="46">
                  <c:v>8406.7671864364165</c:v>
                </c:pt>
                <c:pt idx="47">
                  <c:v>8406.7671864364165</c:v>
                </c:pt>
                <c:pt idx="48">
                  <c:v>8406.7671864364165</c:v>
                </c:pt>
                <c:pt idx="49">
                  <c:v>8406.7671864364165</c:v>
                </c:pt>
                <c:pt idx="50">
                  <c:v>8406.7671864364165</c:v>
                </c:pt>
                <c:pt idx="51">
                  <c:v>8406.7671864364165</c:v>
                </c:pt>
                <c:pt idx="52">
                  <c:v>8406.7671864364165</c:v>
                </c:pt>
                <c:pt idx="53">
                  <c:v>8406.7671864364165</c:v>
                </c:pt>
              </c:numCache>
            </c:numRef>
          </c:val>
          <c:smooth val="0"/>
          <c:extLst>
            <c:ext xmlns:c16="http://schemas.microsoft.com/office/drawing/2014/chart" uri="{C3380CC4-5D6E-409C-BE32-E72D297353CC}">
              <c16:uniqueId val="{00000001-55E2-49F9-90C4-2CEB2496B638}"/>
            </c:ext>
          </c:extLst>
        </c:ser>
        <c:ser>
          <c:idx val="2"/>
          <c:order val="2"/>
          <c:tx>
            <c:v>Best Case</c:v>
          </c:tx>
          <c:spPr>
            <a:ln w="25400" cap="rnd">
              <a:solidFill>
                <a:srgbClr val="548235"/>
              </a:solidFill>
              <a:prstDash val="solid"/>
              <a:round/>
            </a:ln>
            <a:effectLst/>
          </c:spPr>
          <c:marker>
            <c:symbol val="none"/>
          </c:marker>
          <c:cat>
            <c:numRef>
              <c:f>'Vorlage Maßnahme'!$S$20:$BT$20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'Vorlage Maßnahme'!$S$64:$BT$64</c:f>
              <c:numCache>
                <c:formatCode>General</c:formatCode>
                <c:ptCount val="54"/>
                <c:pt idx="0">
                  <c:v>1750.0000000000036</c:v>
                </c:pt>
                <c:pt idx="1">
                  <c:v>7196.60194174758</c:v>
                </c:pt>
                <c:pt idx="2">
                  <c:v>12590.324252992752</c:v>
                </c:pt>
                <c:pt idx="3">
                  <c:v>17931.680328206417</c:v>
                </c:pt>
                <c:pt idx="4">
                  <c:v>23221.178577447135</c:v>
                </c:pt>
                <c:pt idx="5">
                  <c:v>23221.178577447135</c:v>
                </c:pt>
                <c:pt idx="6">
                  <c:v>23221.178577447135</c:v>
                </c:pt>
                <c:pt idx="7">
                  <c:v>23221.178577447135</c:v>
                </c:pt>
                <c:pt idx="8">
                  <c:v>23221.178577447135</c:v>
                </c:pt>
                <c:pt idx="9">
                  <c:v>23221.178577447135</c:v>
                </c:pt>
                <c:pt idx="10">
                  <c:v>23221.178577447135</c:v>
                </c:pt>
                <c:pt idx="11">
                  <c:v>23221.178577447135</c:v>
                </c:pt>
                <c:pt idx="12">
                  <c:v>23221.178577447135</c:v>
                </c:pt>
                <c:pt idx="13">
                  <c:v>23221.178577447135</c:v>
                </c:pt>
                <c:pt idx="14">
                  <c:v>23221.178577447135</c:v>
                </c:pt>
                <c:pt idx="15">
                  <c:v>23221.178577447135</c:v>
                </c:pt>
                <c:pt idx="16">
                  <c:v>23221.178577447135</c:v>
                </c:pt>
                <c:pt idx="17">
                  <c:v>23221.178577447135</c:v>
                </c:pt>
                <c:pt idx="18">
                  <c:v>23221.178577447135</c:v>
                </c:pt>
                <c:pt idx="19">
                  <c:v>23221.178577447135</c:v>
                </c:pt>
                <c:pt idx="20">
                  <c:v>23221.178577447135</c:v>
                </c:pt>
                <c:pt idx="21">
                  <c:v>23221.178577447135</c:v>
                </c:pt>
                <c:pt idx="22">
                  <c:v>23221.178577447135</c:v>
                </c:pt>
                <c:pt idx="23">
                  <c:v>23221.178577447135</c:v>
                </c:pt>
                <c:pt idx="24">
                  <c:v>23221.178577447135</c:v>
                </c:pt>
                <c:pt idx="25">
                  <c:v>23221.178577447135</c:v>
                </c:pt>
                <c:pt idx="26">
                  <c:v>23221.178577447135</c:v>
                </c:pt>
                <c:pt idx="27">
                  <c:v>23221.178577447135</c:v>
                </c:pt>
                <c:pt idx="28">
                  <c:v>23221.178577447135</c:v>
                </c:pt>
                <c:pt idx="29">
                  <c:v>23221.178577447135</c:v>
                </c:pt>
                <c:pt idx="30">
                  <c:v>23221.178577447135</c:v>
                </c:pt>
                <c:pt idx="31">
                  <c:v>23221.178577447135</c:v>
                </c:pt>
                <c:pt idx="32">
                  <c:v>23221.178577447135</c:v>
                </c:pt>
                <c:pt idx="33">
                  <c:v>23221.178577447135</c:v>
                </c:pt>
                <c:pt idx="34">
                  <c:v>23221.178577447135</c:v>
                </c:pt>
                <c:pt idx="35">
                  <c:v>23221.178577447135</c:v>
                </c:pt>
                <c:pt idx="36">
                  <c:v>23221.178577447135</c:v>
                </c:pt>
                <c:pt idx="37">
                  <c:v>23221.178577447135</c:v>
                </c:pt>
                <c:pt idx="38">
                  <c:v>23221.178577447135</c:v>
                </c:pt>
                <c:pt idx="39">
                  <c:v>23221.178577447135</c:v>
                </c:pt>
                <c:pt idx="40">
                  <c:v>23221.178577447135</c:v>
                </c:pt>
                <c:pt idx="41">
                  <c:v>23221.178577447135</c:v>
                </c:pt>
                <c:pt idx="42">
                  <c:v>23221.178577447135</c:v>
                </c:pt>
                <c:pt idx="43">
                  <c:v>23221.178577447135</c:v>
                </c:pt>
                <c:pt idx="44">
                  <c:v>23221.178577447135</c:v>
                </c:pt>
                <c:pt idx="45">
                  <c:v>23221.178577447135</c:v>
                </c:pt>
                <c:pt idx="46">
                  <c:v>23221.178577447135</c:v>
                </c:pt>
                <c:pt idx="47">
                  <c:v>23221.178577447135</c:v>
                </c:pt>
                <c:pt idx="48">
                  <c:v>23221.178577447135</c:v>
                </c:pt>
                <c:pt idx="49">
                  <c:v>23221.178577447135</c:v>
                </c:pt>
                <c:pt idx="50">
                  <c:v>23221.178577447135</c:v>
                </c:pt>
                <c:pt idx="51">
                  <c:v>23221.178577447135</c:v>
                </c:pt>
                <c:pt idx="52">
                  <c:v>23221.178577447135</c:v>
                </c:pt>
                <c:pt idx="53">
                  <c:v>23221.178577447135</c:v>
                </c:pt>
              </c:numCache>
            </c:numRef>
          </c:val>
          <c:smooth val="0"/>
          <c:extLst>
            <c:ext xmlns:c16="http://schemas.microsoft.com/office/drawing/2014/chart" uri="{C3380CC4-5D6E-409C-BE32-E72D297353CC}">
              <c16:uniqueId val="{00000002-55E2-49F9-90C4-2CEB2496B638}"/>
            </c:ext>
          </c:extLst>
        </c:ser>
        <c:dLbls>
          <c:showLegendKey val="0"/>
          <c:showVal val="0"/>
          <c:showCatName val="0"/>
          <c:showSerName val="0"/>
          <c:showPercent val="0"/>
          <c:showBubbleSize val="0"/>
        </c:dLbls>
        <c:smooth val="0"/>
        <c:axId val="538088975"/>
        <c:axId val="1149414863"/>
      </c:lineChart>
      <c:catAx>
        <c:axId val="53808897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de-DE"/>
                  <a:t>Betriebsjahr (Index, 0 = erstes Betrachtungsjahr)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49414863"/>
        <c:crosses val="autoZero"/>
        <c:auto val="1"/>
        <c:lblAlgn val="ctr"/>
        <c:lblOffset val="100"/>
        <c:tickLblSkip val="5"/>
        <c:noMultiLvlLbl val="0"/>
      </c:catAx>
      <c:valAx>
        <c:axId val="11494148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38088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Kumulierter diskontierter Cashflow über die Betriebszeit [€]</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v>Erwarteter Fall</c:v>
          </c:tx>
          <c:spPr>
            <a:ln w="31750" cap="rnd">
              <a:solidFill>
                <a:srgbClr val="2E75B6"/>
              </a:solidFill>
              <a:prstDash val="solid"/>
              <a:round/>
            </a:ln>
            <a:effectLst/>
          </c:spPr>
          <c:marker>
            <c:symbol val="none"/>
          </c:marker>
          <c:cat>
            <c:numRef>
              <c:f>'Beispiel Nr. 78 Druckluft'!$S$20:$BT$20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'Beispiel Nr. 78 Druckluft'!$S$62:$BT$62</c:f>
              <c:numCache>
                <c:formatCode>0</c:formatCode>
                <c:ptCount val="54"/>
                <c:pt idx="0">
                  <c:v>-26152</c:v>
                </c:pt>
                <c:pt idx="1">
                  <c:v>-18379.461538461539</c:v>
                </c:pt>
                <c:pt idx="2">
                  <c:v>-10681.659023668641</c:v>
                </c:pt>
                <c:pt idx="3">
                  <c:v>-3057.8738407487508</c:v>
                </c:pt>
                <c:pt idx="4">
                  <c:v>4492.6057154122918</c:v>
                </c:pt>
                <c:pt idx="5">
                  <c:v>11970.484506610246</c:v>
                </c:pt>
                <c:pt idx="6">
                  <c:v>19376.460617123608</c:v>
                </c:pt>
                <c:pt idx="7">
                  <c:v>26711.225418882033</c:v>
                </c:pt>
                <c:pt idx="8">
                  <c:v>33975.463636008164</c:v>
                </c:pt>
                <c:pt idx="9">
                  <c:v>41169.853408738854</c:v>
                </c:pt>
                <c:pt idx="10">
                  <c:v>41169.853408738854</c:v>
                </c:pt>
                <c:pt idx="11">
                  <c:v>41169.853408738854</c:v>
                </c:pt>
                <c:pt idx="12">
                  <c:v>41169.853408738854</c:v>
                </c:pt>
                <c:pt idx="13">
                  <c:v>41169.853408738854</c:v>
                </c:pt>
                <c:pt idx="14">
                  <c:v>41169.853408738854</c:v>
                </c:pt>
                <c:pt idx="15">
                  <c:v>41169.853408738854</c:v>
                </c:pt>
                <c:pt idx="16">
                  <c:v>41169.853408738854</c:v>
                </c:pt>
                <c:pt idx="17">
                  <c:v>41169.853408738854</c:v>
                </c:pt>
                <c:pt idx="18">
                  <c:v>41169.853408738854</c:v>
                </c:pt>
                <c:pt idx="19">
                  <c:v>41169.853408738854</c:v>
                </c:pt>
                <c:pt idx="20">
                  <c:v>41169.853408738854</c:v>
                </c:pt>
                <c:pt idx="21">
                  <c:v>41169.853408738854</c:v>
                </c:pt>
                <c:pt idx="22">
                  <c:v>41169.853408738854</c:v>
                </c:pt>
                <c:pt idx="23">
                  <c:v>41169.853408738854</c:v>
                </c:pt>
                <c:pt idx="24">
                  <c:v>41169.853408738854</c:v>
                </c:pt>
                <c:pt idx="25">
                  <c:v>41169.853408738854</c:v>
                </c:pt>
                <c:pt idx="26">
                  <c:v>41169.853408738854</c:v>
                </c:pt>
                <c:pt idx="27">
                  <c:v>41169.853408738854</c:v>
                </c:pt>
                <c:pt idx="28">
                  <c:v>41169.853408738854</c:v>
                </c:pt>
                <c:pt idx="29">
                  <c:v>41169.853408738854</c:v>
                </c:pt>
                <c:pt idx="30">
                  <c:v>41169.853408738854</c:v>
                </c:pt>
                <c:pt idx="31">
                  <c:v>41169.853408738854</c:v>
                </c:pt>
                <c:pt idx="32">
                  <c:v>41169.853408738854</c:v>
                </c:pt>
                <c:pt idx="33">
                  <c:v>41169.853408738854</c:v>
                </c:pt>
                <c:pt idx="34">
                  <c:v>41169.853408738854</c:v>
                </c:pt>
                <c:pt idx="35">
                  <c:v>41169.853408738854</c:v>
                </c:pt>
                <c:pt idx="36">
                  <c:v>41169.853408738854</c:v>
                </c:pt>
                <c:pt idx="37">
                  <c:v>41169.853408738854</c:v>
                </c:pt>
                <c:pt idx="38">
                  <c:v>41169.853408738854</c:v>
                </c:pt>
                <c:pt idx="39">
                  <c:v>41169.853408738854</c:v>
                </c:pt>
                <c:pt idx="40">
                  <c:v>41169.853408738854</c:v>
                </c:pt>
                <c:pt idx="41">
                  <c:v>41169.853408738854</c:v>
                </c:pt>
                <c:pt idx="42">
                  <c:v>41169.853408738854</c:v>
                </c:pt>
                <c:pt idx="43">
                  <c:v>41169.853408738854</c:v>
                </c:pt>
                <c:pt idx="44">
                  <c:v>41169.853408738854</c:v>
                </c:pt>
                <c:pt idx="45">
                  <c:v>41169.853408738854</c:v>
                </c:pt>
                <c:pt idx="46">
                  <c:v>41169.853408738854</c:v>
                </c:pt>
                <c:pt idx="47">
                  <c:v>41169.853408738854</c:v>
                </c:pt>
                <c:pt idx="48">
                  <c:v>41169.853408738854</c:v>
                </c:pt>
                <c:pt idx="49">
                  <c:v>41169.853408738854</c:v>
                </c:pt>
                <c:pt idx="50">
                  <c:v>41169.853408738854</c:v>
                </c:pt>
                <c:pt idx="51">
                  <c:v>41169.853408738854</c:v>
                </c:pt>
                <c:pt idx="52">
                  <c:v>41169.853408738854</c:v>
                </c:pt>
                <c:pt idx="53">
                  <c:v>41169.853408738854</c:v>
                </c:pt>
              </c:numCache>
            </c:numRef>
          </c:val>
          <c:smooth val="0"/>
          <c:extLst>
            <c:ext xmlns:c16="http://schemas.microsoft.com/office/drawing/2014/chart" uri="{C3380CC4-5D6E-409C-BE32-E72D297353CC}">
              <c16:uniqueId val="{00000000-6F6B-47FF-A4BF-EAB89400FE85}"/>
            </c:ext>
          </c:extLst>
        </c:ser>
        <c:ser>
          <c:idx val="1"/>
          <c:order val="1"/>
          <c:tx>
            <c:v>Worst Case</c:v>
          </c:tx>
          <c:spPr>
            <a:ln w="25400" cap="rnd">
              <a:solidFill>
                <a:srgbClr val="C00000"/>
              </a:solidFill>
              <a:prstDash val="solid"/>
              <a:round/>
            </a:ln>
            <a:effectLst/>
          </c:spPr>
          <c:marker>
            <c:symbol val="none"/>
          </c:marker>
          <c:cat>
            <c:numRef>
              <c:f>'Beispiel Nr. 78 Druckluft'!$S$20:$BT$20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'Beispiel Nr. 78 Druckluft'!$S$63:$BT$63</c:f>
              <c:numCache>
                <c:formatCode>General</c:formatCode>
                <c:ptCount val="54"/>
                <c:pt idx="0">
                  <c:v>-29665.599999999999</c:v>
                </c:pt>
                <c:pt idx="1">
                  <c:v>-25412.981132075471</c:v>
                </c:pt>
                <c:pt idx="2">
                  <c:v>-21240.600355998577</c:v>
                </c:pt>
                <c:pt idx="3">
                  <c:v>-17146.943745508041</c:v>
                </c:pt>
                <c:pt idx="4">
                  <c:v>-13130.525938989022</c:v>
                </c:pt>
                <c:pt idx="5">
                  <c:v>-9189.889600517532</c:v>
                </c:pt>
                <c:pt idx="6">
                  <c:v>-5323.6048910738064</c:v>
                </c:pt>
                <c:pt idx="7">
                  <c:v>-1530.2689497327929</c:v>
                </c:pt>
                <c:pt idx="8">
                  <c:v>-1530.2689497327929</c:v>
                </c:pt>
                <c:pt idx="9">
                  <c:v>-1530.2689497327929</c:v>
                </c:pt>
                <c:pt idx="10">
                  <c:v>-1530.2689497327929</c:v>
                </c:pt>
                <c:pt idx="11">
                  <c:v>-1530.2689497327929</c:v>
                </c:pt>
                <c:pt idx="12">
                  <c:v>-1530.2689497327929</c:v>
                </c:pt>
                <c:pt idx="13">
                  <c:v>-1530.2689497327929</c:v>
                </c:pt>
                <c:pt idx="14">
                  <c:v>-1530.2689497327929</c:v>
                </c:pt>
                <c:pt idx="15">
                  <c:v>-1530.2689497327929</c:v>
                </c:pt>
                <c:pt idx="16">
                  <c:v>-1530.2689497327929</c:v>
                </c:pt>
                <c:pt idx="17">
                  <c:v>-1530.2689497327929</c:v>
                </c:pt>
                <c:pt idx="18">
                  <c:v>-1530.2689497327929</c:v>
                </c:pt>
                <c:pt idx="19">
                  <c:v>-1530.2689497327929</c:v>
                </c:pt>
                <c:pt idx="20">
                  <c:v>-1530.2689497327929</c:v>
                </c:pt>
                <c:pt idx="21">
                  <c:v>-1530.2689497327929</c:v>
                </c:pt>
                <c:pt idx="22">
                  <c:v>-1530.2689497327929</c:v>
                </c:pt>
                <c:pt idx="23">
                  <c:v>-1530.2689497327929</c:v>
                </c:pt>
                <c:pt idx="24">
                  <c:v>-1530.2689497327929</c:v>
                </c:pt>
                <c:pt idx="25">
                  <c:v>-1530.2689497327929</c:v>
                </c:pt>
                <c:pt idx="26">
                  <c:v>-1530.2689497327929</c:v>
                </c:pt>
                <c:pt idx="27">
                  <c:v>-1530.2689497327929</c:v>
                </c:pt>
                <c:pt idx="28">
                  <c:v>-1530.2689497327929</c:v>
                </c:pt>
                <c:pt idx="29">
                  <c:v>-1530.2689497327929</c:v>
                </c:pt>
                <c:pt idx="30">
                  <c:v>-1530.2689497327929</c:v>
                </c:pt>
                <c:pt idx="31">
                  <c:v>-1530.2689497327929</c:v>
                </c:pt>
                <c:pt idx="32">
                  <c:v>-1530.2689497327929</c:v>
                </c:pt>
                <c:pt idx="33">
                  <c:v>-1530.2689497327929</c:v>
                </c:pt>
                <c:pt idx="34">
                  <c:v>-1530.2689497327929</c:v>
                </c:pt>
                <c:pt idx="35">
                  <c:v>-1530.2689497327929</c:v>
                </c:pt>
                <c:pt idx="36">
                  <c:v>-1530.2689497327929</c:v>
                </c:pt>
                <c:pt idx="37">
                  <c:v>-1530.2689497327929</c:v>
                </c:pt>
                <c:pt idx="38">
                  <c:v>-1530.2689497327929</c:v>
                </c:pt>
                <c:pt idx="39">
                  <c:v>-1530.2689497327929</c:v>
                </c:pt>
                <c:pt idx="40">
                  <c:v>-1530.2689497327929</c:v>
                </c:pt>
                <c:pt idx="41">
                  <c:v>-1530.2689497327929</c:v>
                </c:pt>
                <c:pt idx="42">
                  <c:v>-1530.2689497327929</c:v>
                </c:pt>
                <c:pt idx="43">
                  <c:v>-1530.2689497327929</c:v>
                </c:pt>
                <c:pt idx="44">
                  <c:v>-1530.2689497327929</c:v>
                </c:pt>
                <c:pt idx="45">
                  <c:v>-1530.2689497327929</c:v>
                </c:pt>
                <c:pt idx="46">
                  <c:v>-1530.2689497327929</c:v>
                </c:pt>
                <c:pt idx="47">
                  <c:v>-1530.2689497327929</c:v>
                </c:pt>
                <c:pt idx="48">
                  <c:v>-1530.2689497327929</c:v>
                </c:pt>
                <c:pt idx="49">
                  <c:v>-1530.2689497327929</c:v>
                </c:pt>
                <c:pt idx="50">
                  <c:v>-1530.2689497327929</c:v>
                </c:pt>
                <c:pt idx="51">
                  <c:v>-1530.2689497327929</c:v>
                </c:pt>
                <c:pt idx="52">
                  <c:v>-1530.2689497327929</c:v>
                </c:pt>
                <c:pt idx="53">
                  <c:v>-1530.2689497327929</c:v>
                </c:pt>
              </c:numCache>
            </c:numRef>
          </c:val>
          <c:smooth val="0"/>
          <c:extLst>
            <c:ext xmlns:c16="http://schemas.microsoft.com/office/drawing/2014/chart" uri="{C3380CC4-5D6E-409C-BE32-E72D297353CC}">
              <c16:uniqueId val="{00000001-6F6B-47FF-A4BF-EAB89400FE85}"/>
            </c:ext>
          </c:extLst>
        </c:ser>
        <c:ser>
          <c:idx val="2"/>
          <c:order val="2"/>
          <c:tx>
            <c:v>Best Case</c:v>
          </c:tx>
          <c:spPr>
            <a:ln w="25400" cap="rnd">
              <a:solidFill>
                <a:srgbClr val="548235"/>
              </a:solidFill>
              <a:prstDash val="solid"/>
              <a:round/>
            </a:ln>
            <a:effectLst/>
          </c:spPr>
          <c:marker>
            <c:symbol val="none"/>
          </c:marker>
          <c:cat>
            <c:numRef>
              <c:f>'Beispiel Nr. 78 Druckluft'!$S$20:$BT$20</c:f>
              <c:numCache>
                <c:formatCode>General</c:formatCode>
                <c:ptCount val="5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numCache>
            </c:numRef>
          </c:cat>
          <c:val>
            <c:numRef>
              <c:f>'Beispiel Nr. 78 Druckluft'!$S$64:$BT$64</c:f>
              <c:numCache>
                <c:formatCode>General</c:formatCode>
                <c:ptCount val="54"/>
                <c:pt idx="0">
                  <c:v>-22300</c:v>
                </c:pt>
                <c:pt idx="1">
                  <c:v>-10713.592233009709</c:v>
                </c:pt>
                <c:pt idx="2">
                  <c:v>760.32613818456048</c:v>
                </c:pt>
                <c:pt idx="3">
                  <c:v>12122.847243639078</c:v>
                </c:pt>
                <c:pt idx="4">
                  <c:v>23375.05261020569</c:v>
                </c:pt>
                <c:pt idx="5">
                  <c:v>34518.013264475536</c:v>
                </c:pt>
                <c:pt idx="6">
                  <c:v>45552.789834723349</c:v>
                </c:pt>
                <c:pt idx="7">
                  <c:v>56480.432651861956</c:v>
                </c:pt>
                <c:pt idx="8">
                  <c:v>67301.981849416698</c:v>
                </c:pt>
                <c:pt idx="9">
                  <c:v>78018.467462529152</c:v>
                </c:pt>
                <c:pt idx="10">
                  <c:v>88630.909525999741</c:v>
                </c:pt>
                <c:pt idx="11">
                  <c:v>99140.318171378385</c:v>
                </c:pt>
                <c:pt idx="12">
                  <c:v>99140.318171378385</c:v>
                </c:pt>
                <c:pt idx="13">
                  <c:v>99140.318171378385</c:v>
                </c:pt>
                <c:pt idx="14">
                  <c:v>99140.318171378385</c:v>
                </c:pt>
                <c:pt idx="15">
                  <c:v>99140.318171378385</c:v>
                </c:pt>
                <c:pt idx="16">
                  <c:v>99140.318171378385</c:v>
                </c:pt>
                <c:pt idx="17">
                  <c:v>99140.318171378385</c:v>
                </c:pt>
                <c:pt idx="18">
                  <c:v>99140.318171378385</c:v>
                </c:pt>
                <c:pt idx="19">
                  <c:v>99140.318171378385</c:v>
                </c:pt>
                <c:pt idx="20">
                  <c:v>99140.318171378385</c:v>
                </c:pt>
                <c:pt idx="21">
                  <c:v>99140.318171378385</c:v>
                </c:pt>
                <c:pt idx="22">
                  <c:v>99140.318171378385</c:v>
                </c:pt>
                <c:pt idx="23">
                  <c:v>99140.318171378385</c:v>
                </c:pt>
                <c:pt idx="24">
                  <c:v>99140.318171378385</c:v>
                </c:pt>
                <c:pt idx="25">
                  <c:v>99140.318171378385</c:v>
                </c:pt>
                <c:pt idx="26">
                  <c:v>99140.318171378385</c:v>
                </c:pt>
                <c:pt idx="27">
                  <c:v>99140.318171378385</c:v>
                </c:pt>
                <c:pt idx="28">
                  <c:v>99140.318171378385</c:v>
                </c:pt>
                <c:pt idx="29">
                  <c:v>99140.318171378385</c:v>
                </c:pt>
                <c:pt idx="30">
                  <c:v>99140.318171378385</c:v>
                </c:pt>
                <c:pt idx="31">
                  <c:v>99140.318171378385</c:v>
                </c:pt>
                <c:pt idx="32">
                  <c:v>99140.318171378385</c:v>
                </c:pt>
                <c:pt idx="33">
                  <c:v>99140.318171378385</c:v>
                </c:pt>
                <c:pt idx="34">
                  <c:v>99140.318171378385</c:v>
                </c:pt>
                <c:pt idx="35">
                  <c:v>99140.318171378385</c:v>
                </c:pt>
                <c:pt idx="36">
                  <c:v>99140.318171378385</c:v>
                </c:pt>
                <c:pt idx="37">
                  <c:v>99140.318171378385</c:v>
                </c:pt>
                <c:pt idx="38">
                  <c:v>99140.318171378385</c:v>
                </c:pt>
                <c:pt idx="39">
                  <c:v>99140.318171378385</c:v>
                </c:pt>
                <c:pt idx="40">
                  <c:v>99140.318171378385</c:v>
                </c:pt>
                <c:pt idx="41">
                  <c:v>99140.318171378385</c:v>
                </c:pt>
                <c:pt idx="42">
                  <c:v>99140.318171378385</c:v>
                </c:pt>
                <c:pt idx="43">
                  <c:v>99140.318171378385</c:v>
                </c:pt>
                <c:pt idx="44">
                  <c:v>99140.318171378385</c:v>
                </c:pt>
                <c:pt idx="45">
                  <c:v>99140.318171378385</c:v>
                </c:pt>
                <c:pt idx="46">
                  <c:v>99140.318171378385</c:v>
                </c:pt>
                <c:pt idx="47">
                  <c:v>99140.318171378385</c:v>
                </c:pt>
                <c:pt idx="48">
                  <c:v>99140.318171378385</c:v>
                </c:pt>
                <c:pt idx="49">
                  <c:v>99140.318171378385</c:v>
                </c:pt>
                <c:pt idx="50">
                  <c:v>99140.318171378385</c:v>
                </c:pt>
                <c:pt idx="51">
                  <c:v>99140.318171378385</c:v>
                </c:pt>
                <c:pt idx="52">
                  <c:v>99140.318171378385</c:v>
                </c:pt>
                <c:pt idx="53">
                  <c:v>99140.318171378385</c:v>
                </c:pt>
              </c:numCache>
            </c:numRef>
          </c:val>
          <c:smooth val="0"/>
          <c:extLst>
            <c:ext xmlns:c16="http://schemas.microsoft.com/office/drawing/2014/chart" uri="{C3380CC4-5D6E-409C-BE32-E72D297353CC}">
              <c16:uniqueId val="{00000002-6F6B-47FF-A4BF-EAB89400FE85}"/>
            </c:ext>
          </c:extLst>
        </c:ser>
        <c:dLbls>
          <c:showLegendKey val="0"/>
          <c:showVal val="0"/>
          <c:showCatName val="0"/>
          <c:showSerName val="0"/>
          <c:showPercent val="0"/>
          <c:showBubbleSize val="0"/>
        </c:dLbls>
        <c:smooth val="0"/>
        <c:axId val="538096863"/>
        <c:axId val="1149427823"/>
      </c:lineChart>
      <c:catAx>
        <c:axId val="53809686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de-DE"/>
                  <a:t>Betriebsjahr (Index, 0 = erstes Betrachtungsjahr)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49427823"/>
        <c:crosses val="autoZero"/>
        <c:auto val="1"/>
        <c:lblAlgn val="ctr"/>
        <c:lblOffset val="100"/>
        <c:tickLblSkip val="5"/>
        <c:noMultiLvlLbl val="0"/>
      </c:catAx>
      <c:valAx>
        <c:axId val="1149427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380968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5</xdr:col>
      <xdr:colOff>173160</xdr:colOff>
      <xdr:row>126</xdr:row>
      <xdr:rowOff>80640</xdr:rowOff>
    </xdr:from>
    <xdr:to>
      <xdr:col>7</xdr:col>
      <xdr:colOff>680760</xdr:colOff>
      <xdr:row>128</xdr:row>
      <xdr:rowOff>110521</xdr:rowOff>
    </xdr:to>
    <xdr:pic>
      <xdr:nvPicPr>
        <xdr:cNvPr id="3" name="Grafik 2">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xdr:blipFill>
      <xdr:spPr>
        <a:xfrm>
          <a:off x="7070400" y="36009000"/>
          <a:ext cx="2381040" cy="468000"/>
        </a:xfrm>
        <a:prstGeom prst="rect">
          <a:avLst/>
        </a:prstGeom>
        <a:ln w="0">
          <a:noFill/>
        </a:ln>
      </xdr:spPr>
    </xdr:pic>
    <xdr:clientData/>
  </xdr:twoCellAnchor>
  <xdr:twoCellAnchor>
    <xdr:from>
      <xdr:col>1</xdr:col>
      <xdr:colOff>0</xdr:colOff>
      <xdr:row>85</xdr:row>
      <xdr:rowOff>228599</xdr:rowOff>
    </xdr:from>
    <xdr:to>
      <xdr:col>14</xdr:col>
      <xdr:colOff>0</xdr:colOff>
      <xdr:row>88</xdr:row>
      <xdr:rowOff>1587499</xdr:rowOff>
    </xdr:to>
    <xdr:graphicFrame macro="">
      <xdr:nvGraphicFramePr>
        <xdr:cNvPr id="5" name="CashflowChart">
          <a:extLst>
            <a:ext uri="{FF2B5EF4-FFF2-40B4-BE49-F238E27FC236}">
              <a16:creationId xmlns:a16="http://schemas.microsoft.com/office/drawing/2014/main" id="{CA3C83A9-3F1E-FA14-0E3C-47E547838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85</xdr:row>
      <xdr:rowOff>228599</xdr:rowOff>
    </xdr:from>
    <xdr:to>
      <xdr:col>14</xdr:col>
      <xdr:colOff>0</xdr:colOff>
      <xdr:row>88</xdr:row>
      <xdr:rowOff>1587499</xdr:rowOff>
    </xdr:to>
    <xdr:graphicFrame macro="">
      <xdr:nvGraphicFramePr>
        <xdr:cNvPr id="2" name="CashflowChart">
          <a:extLst>
            <a:ext uri="{FF2B5EF4-FFF2-40B4-BE49-F238E27FC236}">
              <a16:creationId xmlns:a16="http://schemas.microsoft.com/office/drawing/2014/main" id="{19E1D799-CDA0-D352-1FE9-94DF74F91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17F7911-7F75-47BC-BE93-1369EF01FBE1}">
  <we:reference id="29673e3c-d826-4f00-92ee-162334a52b1a" version="1.0.0.8" store="EXCatalog" storeType="EXCatalog"/>
  <we:alternateReferences>
    <we:reference id="WA200009404" version="1.0.0.8" store="de-DE" storeType="OMEX"/>
  </we:alternateReferences>
  <we:properties>
    <we:property name="claude.fileId" value="&quot;80c48c8a-9745-4308-9a1c-13bf9709a700&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B2:C51"/>
  <sheetViews>
    <sheetView showGridLines="0" tabSelected="1" zoomScaleNormal="100" workbookViewId="0">
      <selection activeCell="B4" sqref="B4"/>
    </sheetView>
  </sheetViews>
  <sheetFormatPr baseColWidth="10" defaultColWidth="8.5703125" defaultRowHeight="16.5" x14ac:dyDescent="0.5"/>
  <cols>
    <col min="1" max="1" width="3" customWidth="1"/>
    <col min="2" max="2" width="36" customWidth="1"/>
    <col min="3" max="3" width="104" customWidth="1"/>
  </cols>
  <sheetData>
    <row r="2" spans="2:3" ht="19.5" customHeight="1" x14ac:dyDescent="0.5">
      <c r="B2" s="5" t="s">
        <v>0</v>
      </c>
    </row>
    <row r="3" spans="2:3" ht="15" customHeight="1" x14ac:dyDescent="0.5">
      <c r="B3" s="4" t="s">
        <v>273</v>
      </c>
    </row>
    <row r="5" spans="2:3" ht="19.5" customHeight="1" x14ac:dyDescent="0.5">
      <c r="B5" s="6" t="s">
        <v>1</v>
      </c>
      <c r="C5" s="7"/>
    </row>
    <row r="6" spans="2:3" ht="15" customHeight="1" x14ac:dyDescent="0.5">
      <c r="B6" s="8" t="s">
        <v>2</v>
      </c>
      <c r="C6" s="9" t="s">
        <v>3</v>
      </c>
    </row>
    <row r="7" spans="2:3" ht="15" customHeight="1" x14ac:dyDescent="0.5">
      <c r="B7" s="8" t="s">
        <v>4</v>
      </c>
      <c r="C7" s="9" t="s">
        <v>5</v>
      </c>
    </row>
    <row r="8" spans="2:3" ht="15" customHeight="1" x14ac:dyDescent="0.5">
      <c r="B8" s="8" t="s">
        <v>6</v>
      </c>
      <c r="C8" s="9" t="s">
        <v>7</v>
      </c>
    </row>
    <row r="9" spans="2:3" ht="15" customHeight="1" x14ac:dyDescent="0.5">
      <c r="B9" s="8" t="s">
        <v>8</v>
      </c>
      <c r="C9" s="9" t="s">
        <v>9</v>
      </c>
    </row>
    <row r="10" spans="2:3" ht="15" customHeight="1" x14ac:dyDescent="0.5">
      <c r="B10" s="8" t="s">
        <v>10</v>
      </c>
      <c r="C10" s="9" t="s">
        <v>238</v>
      </c>
    </row>
    <row r="11" spans="2:3" ht="15" customHeight="1" x14ac:dyDescent="0.5">
      <c r="B11" s="8" t="s">
        <v>11</v>
      </c>
      <c r="C11" s="9" t="s">
        <v>246</v>
      </c>
    </row>
    <row r="13" spans="2:3" ht="19.5" customHeight="1" x14ac:dyDescent="0.5">
      <c r="B13" s="6" t="s">
        <v>12</v>
      </c>
      <c r="C13" s="7"/>
    </row>
    <row r="14" spans="2:3" ht="15" customHeight="1" x14ac:dyDescent="0.5">
      <c r="B14" s="8" t="s">
        <v>13</v>
      </c>
      <c r="C14" s="9" t="s">
        <v>14</v>
      </c>
    </row>
    <row r="15" spans="2:3" ht="15" customHeight="1" x14ac:dyDescent="0.5">
      <c r="B15" s="8" t="s">
        <v>13</v>
      </c>
      <c r="C15" s="9" t="s">
        <v>15</v>
      </c>
    </row>
    <row r="16" spans="2:3" ht="15" customHeight="1" x14ac:dyDescent="0.5">
      <c r="B16" s="8" t="s">
        <v>13</v>
      </c>
      <c r="C16" s="9" t="s">
        <v>16</v>
      </c>
    </row>
    <row r="17" spans="2:3" ht="15" customHeight="1" x14ac:dyDescent="0.5">
      <c r="B17" s="8" t="s">
        <v>13</v>
      </c>
      <c r="C17" s="9" t="s">
        <v>17</v>
      </c>
    </row>
    <row r="18" spans="2:3" ht="15" customHeight="1" x14ac:dyDescent="0.5">
      <c r="B18" s="8" t="s">
        <v>13</v>
      </c>
      <c r="C18" s="9" t="s">
        <v>18</v>
      </c>
    </row>
    <row r="20" spans="2:3" ht="19.5" customHeight="1" x14ac:dyDescent="0.5">
      <c r="B20" s="6" t="s">
        <v>19</v>
      </c>
      <c r="C20" s="7"/>
    </row>
    <row r="21" spans="2:3" ht="30" customHeight="1" x14ac:dyDescent="0.5">
      <c r="B21" s="8" t="s">
        <v>20</v>
      </c>
      <c r="C21" s="9" t="s">
        <v>21</v>
      </c>
    </row>
    <row r="22" spans="2:3" ht="43.5" customHeight="1" x14ac:dyDescent="0.5">
      <c r="B22" s="8" t="s">
        <v>22</v>
      </c>
      <c r="C22" s="9" t="s">
        <v>23</v>
      </c>
    </row>
    <row r="24" spans="2:3" ht="19.5" customHeight="1" x14ac:dyDescent="0.5">
      <c r="B24" s="6" t="s">
        <v>24</v>
      </c>
      <c r="C24" s="7"/>
    </row>
    <row r="25" spans="2:3" ht="43.5" customHeight="1" x14ac:dyDescent="0.5">
      <c r="B25" s="8" t="s">
        <v>25</v>
      </c>
      <c r="C25" s="9" t="s">
        <v>26</v>
      </c>
    </row>
    <row r="26" spans="2:3" ht="43.5" customHeight="1" x14ac:dyDescent="0.5">
      <c r="B26" s="8" t="s">
        <v>27</v>
      </c>
      <c r="C26" s="9" t="s">
        <v>28</v>
      </c>
    </row>
    <row r="28" spans="2:3" ht="19.5" customHeight="1" x14ac:dyDescent="0.5">
      <c r="B28" s="6" t="s">
        <v>29</v>
      </c>
      <c r="C28" s="7"/>
    </row>
    <row r="29" spans="2:3" ht="30" customHeight="1" x14ac:dyDescent="0.5">
      <c r="B29" s="8" t="s">
        <v>30</v>
      </c>
      <c r="C29" s="9" t="s">
        <v>31</v>
      </c>
    </row>
    <row r="30" spans="2:3" ht="27.75" customHeight="1" x14ac:dyDescent="0.5">
      <c r="B30" s="8" t="s">
        <v>32</v>
      </c>
      <c r="C30" s="9" t="s">
        <v>33</v>
      </c>
    </row>
    <row r="31" spans="2:3" ht="15" customHeight="1" x14ac:dyDescent="0.5">
      <c r="B31" s="8" t="s">
        <v>34</v>
      </c>
      <c r="C31" s="9" t="s">
        <v>35</v>
      </c>
    </row>
    <row r="32" spans="2:3" ht="30" customHeight="1" x14ac:dyDescent="0.5">
      <c r="B32" s="8" t="s">
        <v>36</v>
      </c>
      <c r="C32" s="9" t="s">
        <v>37</v>
      </c>
    </row>
    <row r="33" spans="2:3" ht="49.5" x14ac:dyDescent="0.5">
      <c r="B33" s="8" t="s">
        <v>239</v>
      </c>
      <c r="C33" s="9" t="s">
        <v>240</v>
      </c>
    </row>
    <row r="35" spans="2:3" ht="19.5" customHeight="1" x14ac:dyDescent="0.5">
      <c r="B35" s="6" t="s">
        <v>38</v>
      </c>
      <c r="C35" s="7"/>
    </row>
    <row r="36" spans="2:3" x14ac:dyDescent="0.5">
      <c r="B36" s="8" t="s">
        <v>39</v>
      </c>
      <c r="C36" s="9" t="s">
        <v>40</v>
      </c>
    </row>
    <row r="37" spans="2:3" ht="33" x14ac:dyDescent="0.5">
      <c r="B37" s="8" t="s">
        <v>39</v>
      </c>
      <c r="C37" s="9" t="s">
        <v>41</v>
      </c>
    </row>
    <row r="38" spans="2:3" x14ac:dyDescent="0.5">
      <c r="B38" s="8" t="s">
        <v>39</v>
      </c>
      <c r="C38" s="9" t="s">
        <v>42</v>
      </c>
    </row>
    <row r="39" spans="2:3" x14ac:dyDescent="0.5">
      <c r="B39" s="8" t="s">
        <v>39</v>
      </c>
      <c r="C39" s="9" t="s">
        <v>43</v>
      </c>
    </row>
    <row r="40" spans="2:3" x14ac:dyDescent="0.5">
      <c r="B40" s="8" t="s">
        <v>39</v>
      </c>
      <c r="C40" s="9" t="s">
        <v>44</v>
      </c>
    </row>
    <row r="41" spans="2:3" x14ac:dyDescent="0.5">
      <c r="B41" s="8" t="s">
        <v>39</v>
      </c>
      <c r="C41" s="9" t="s">
        <v>45</v>
      </c>
    </row>
    <row r="42" spans="2:3" x14ac:dyDescent="0.5">
      <c r="B42" s="8" t="s">
        <v>39</v>
      </c>
      <c r="C42" s="9" t="s">
        <v>46</v>
      </c>
    </row>
    <row r="43" spans="2:3" x14ac:dyDescent="0.5">
      <c r="B43" s="8"/>
      <c r="C43" s="9"/>
    </row>
    <row r="44" spans="2:3" ht="17" x14ac:dyDescent="0.5">
      <c r="B44" s="6" t="s">
        <v>241</v>
      </c>
      <c r="C44" s="7"/>
    </row>
    <row r="45" spans="2:3" ht="33" x14ac:dyDescent="0.5">
      <c r="B45" s="8" t="s">
        <v>39</v>
      </c>
      <c r="C45" s="9" t="s">
        <v>242</v>
      </c>
    </row>
    <row r="46" spans="2:3" ht="33" x14ac:dyDescent="0.5">
      <c r="B46" s="8" t="s">
        <v>39</v>
      </c>
      <c r="C46" s="9" t="s">
        <v>243</v>
      </c>
    </row>
    <row r="47" spans="2:3" ht="33" x14ac:dyDescent="0.5">
      <c r="B47" s="8" t="s">
        <v>39</v>
      </c>
      <c r="C47" s="9" t="s">
        <v>244</v>
      </c>
    </row>
    <row r="48" spans="2:3" ht="33" x14ac:dyDescent="0.5">
      <c r="B48" s="8" t="s">
        <v>39</v>
      </c>
      <c r="C48" s="9" t="s">
        <v>245</v>
      </c>
    </row>
    <row r="50" spans="2:3" ht="17" x14ac:dyDescent="0.5">
      <c r="B50" s="6" t="s">
        <v>47</v>
      </c>
      <c r="C50" s="7"/>
    </row>
    <row r="51" spans="2:3" ht="66" x14ac:dyDescent="0.5">
      <c r="B51" s="8" t="s">
        <v>48</v>
      </c>
      <c r="C51" s="9" t="s">
        <v>49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235"/>
  </sheetPr>
  <dimension ref="B2:L24"/>
  <sheetViews>
    <sheetView showGridLines="0" zoomScaleNormal="100" workbookViewId="0">
      <selection activeCell="E22" sqref="E22"/>
    </sheetView>
  </sheetViews>
  <sheetFormatPr baseColWidth="10" defaultColWidth="8.5703125" defaultRowHeight="16.5" x14ac:dyDescent="0.5"/>
  <cols>
    <col min="1" max="1" width="3" customWidth="1"/>
    <col min="2" max="2" width="34" customWidth="1"/>
    <col min="3" max="3" width="40" customWidth="1"/>
    <col min="4" max="4" width="13" customWidth="1"/>
    <col min="5" max="8" width="14" customWidth="1"/>
    <col min="9" max="11" width="11" customWidth="1"/>
    <col min="12" max="12" width="7" customWidth="1"/>
  </cols>
  <sheetData>
    <row r="2" spans="2:12" ht="19.5" customHeight="1" x14ac:dyDescent="0.5">
      <c r="B2" s="5" t="s">
        <v>50</v>
      </c>
    </row>
    <row r="3" spans="2:12" ht="15" customHeight="1" x14ac:dyDescent="0.5">
      <c r="B3" s="4" t="s">
        <v>51</v>
      </c>
    </row>
    <row r="5" spans="2:12" ht="33.75" customHeight="1" x14ac:dyDescent="0.5">
      <c r="B5" s="10" t="s">
        <v>52</v>
      </c>
      <c r="C5" s="10" t="s">
        <v>53</v>
      </c>
      <c r="D5" s="10" t="s">
        <v>54</v>
      </c>
      <c r="E5" s="10" t="s">
        <v>55</v>
      </c>
      <c r="F5" s="10" t="s">
        <v>56</v>
      </c>
      <c r="G5" s="10" t="s">
        <v>57</v>
      </c>
      <c r="H5" s="10" t="s">
        <v>58</v>
      </c>
      <c r="I5" s="10" t="s">
        <v>59</v>
      </c>
      <c r="J5" s="10" t="s">
        <v>60</v>
      </c>
      <c r="K5" s="10" t="s">
        <v>61</v>
      </c>
      <c r="L5" s="10" t="s">
        <v>62</v>
      </c>
    </row>
    <row r="6" spans="2:12" ht="15" customHeight="1" x14ac:dyDescent="0.5">
      <c r="B6" s="11" t="s">
        <v>63</v>
      </c>
      <c r="C6" s="12" t="str">
        <f t="shared" ref="C6:C20" ca="1" si="0">IF($B6="","",IFERROR(INDIRECT("'"&amp;$B6&amp;"'!"&amp;"D2"),""))</f>
        <v>Nr. 78: Optimierung Druckluftverbrauch – intelligente Druckluftsteuerung</v>
      </c>
      <c r="D6" s="12" t="str">
        <f t="shared" ref="D6:D20" ca="1" si="1">IF($B6="","",IFERROR(INDIRECT("'"&amp;$B6&amp;"'!"&amp;"D3"),""))</f>
        <v>Realisiert</v>
      </c>
      <c r="E6" s="13">
        <f t="shared" ref="E6:E20" ca="1" si="2">IF($B6="","",IFERROR(INDIRECT("'"&amp;$B6&amp;"'!"&amp;"E44"),""))</f>
        <v>34000</v>
      </c>
      <c r="F6" s="294">
        <f t="shared" ref="F6:F20" ca="1" si="3">IF($B6="","",IFERROR(INDIRECT("'"&amp;$B6&amp;"'!"&amp;"F86"),""))</f>
        <v>-1530.2689497327929</v>
      </c>
      <c r="G6" s="294">
        <f t="shared" ref="G6:G20" ca="1" si="4">IF($B6="","",IFERROR(INDIRECT("'"&amp;$B6&amp;"'!"&amp;"G86"),""))</f>
        <v>41169.853408738854</v>
      </c>
      <c r="H6" s="294">
        <f t="shared" ref="H6:H20" ca="1" si="5">IF($B6="","",IFERROR(INDIRECT("'"&amp;$B6&amp;"'!"&amp;"H86"),""))</f>
        <v>99140.318171378385</v>
      </c>
      <c r="I6" s="14" t="str">
        <f t="shared" ref="I6:I20" ca="1" si="6">IF($B6="","",IFERROR(INDIRECT("'"&amp;$B6&amp;"'!"&amp;"F85"),""))</f>
        <v>-</v>
      </c>
      <c r="J6" s="14">
        <f t="shared" ref="J6:J20" ca="1" si="7">IF($B6="","",IFERROR(INDIRECT("'"&amp;$B6&amp;"'!"&amp;"G85"),""))</f>
        <v>3.4049906788044457</v>
      </c>
      <c r="K6" s="14">
        <f t="shared" ref="K6:K20" ca="1" si="8">IF($B6="","",IFERROR(INDIRECT("'"&amp;$B6&amp;"'!"&amp;"H85"),""))</f>
        <v>1.9337343953837609</v>
      </c>
      <c r="L6" s="15">
        <f t="shared" ref="L6:L20" ca="1" si="9">IF(OR($B6="",NOT(ISNUMBER($G6))),"",SUMPRODUCT((ISNUMBER($G$6:$G$20))*($G$6:$G$20&gt;$G6))+1)</f>
        <v>1</v>
      </c>
    </row>
    <row r="7" spans="2:12" ht="15" customHeight="1" x14ac:dyDescent="0.5">
      <c r="B7" s="11"/>
      <c r="C7" s="12" t="str">
        <f t="shared" ca="1" si="0"/>
        <v/>
      </c>
      <c r="D7" s="12" t="str">
        <f t="shared" ca="1" si="1"/>
        <v/>
      </c>
      <c r="E7" s="13" t="str">
        <f t="shared" ca="1" si="2"/>
        <v/>
      </c>
      <c r="F7" s="294" t="str">
        <f t="shared" ca="1" si="3"/>
        <v/>
      </c>
      <c r="G7" s="294" t="str">
        <f t="shared" ca="1" si="4"/>
        <v/>
      </c>
      <c r="H7" s="294" t="str">
        <f t="shared" ca="1" si="5"/>
        <v/>
      </c>
      <c r="I7" s="14" t="str">
        <f t="shared" ca="1" si="6"/>
        <v/>
      </c>
      <c r="J7" s="14" t="str">
        <f t="shared" ca="1" si="7"/>
        <v/>
      </c>
      <c r="K7" s="14" t="str">
        <f t="shared" ca="1" si="8"/>
        <v/>
      </c>
      <c r="L7" s="15" t="str">
        <f t="shared" ca="1" si="9"/>
        <v/>
      </c>
    </row>
    <row r="8" spans="2:12" ht="15" customHeight="1" x14ac:dyDescent="0.5">
      <c r="B8" s="11"/>
      <c r="C8" s="12" t="str">
        <f t="shared" ca="1" si="0"/>
        <v/>
      </c>
      <c r="D8" s="12" t="str">
        <f t="shared" ca="1" si="1"/>
        <v/>
      </c>
      <c r="E8" s="13" t="str">
        <f t="shared" ca="1" si="2"/>
        <v/>
      </c>
      <c r="F8" s="294" t="str">
        <f t="shared" ca="1" si="3"/>
        <v/>
      </c>
      <c r="G8" s="294" t="str">
        <f t="shared" ca="1" si="4"/>
        <v/>
      </c>
      <c r="H8" s="294" t="str">
        <f t="shared" ca="1" si="5"/>
        <v/>
      </c>
      <c r="I8" s="14" t="str">
        <f t="shared" ca="1" si="6"/>
        <v/>
      </c>
      <c r="J8" s="14" t="str">
        <f t="shared" ca="1" si="7"/>
        <v/>
      </c>
      <c r="K8" s="14" t="str">
        <f t="shared" ca="1" si="8"/>
        <v/>
      </c>
      <c r="L8" s="15" t="str">
        <f t="shared" ca="1" si="9"/>
        <v/>
      </c>
    </row>
    <row r="9" spans="2:12" ht="15" customHeight="1" x14ac:dyDescent="0.5">
      <c r="B9" s="11"/>
      <c r="C9" s="12" t="str">
        <f t="shared" ca="1" si="0"/>
        <v/>
      </c>
      <c r="D9" s="12" t="str">
        <f t="shared" ca="1" si="1"/>
        <v/>
      </c>
      <c r="E9" s="13" t="str">
        <f t="shared" ca="1" si="2"/>
        <v/>
      </c>
      <c r="F9" s="294" t="str">
        <f t="shared" ca="1" si="3"/>
        <v/>
      </c>
      <c r="G9" s="294" t="str">
        <f t="shared" ca="1" si="4"/>
        <v/>
      </c>
      <c r="H9" s="294" t="str">
        <f t="shared" ca="1" si="5"/>
        <v/>
      </c>
      <c r="I9" s="14" t="str">
        <f t="shared" ca="1" si="6"/>
        <v/>
      </c>
      <c r="J9" s="14" t="str">
        <f t="shared" ca="1" si="7"/>
        <v/>
      </c>
      <c r="K9" s="14" t="str">
        <f t="shared" ca="1" si="8"/>
        <v/>
      </c>
      <c r="L9" s="15" t="str">
        <f t="shared" ca="1" si="9"/>
        <v/>
      </c>
    </row>
    <row r="10" spans="2:12" ht="15" customHeight="1" x14ac:dyDescent="0.5">
      <c r="B10" s="11"/>
      <c r="C10" s="12" t="str">
        <f t="shared" ca="1" si="0"/>
        <v/>
      </c>
      <c r="D10" s="12" t="str">
        <f t="shared" ca="1" si="1"/>
        <v/>
      </c>
      <c r="E10" s="13" t="str">
        <f t="shared" ca="1" si="2"/>
        <v/>
      </c>
      <c r="F10" s="294" t="str">
        <f t="shared" ca="1" si="3"/>
        <v/>
      </c>
      <c r="G10" s="294" t="str">
        <f t="shared" ca="1" si="4"/>
        <v/>
      </c>
      <c r="H10" s="294" t="str">
        <f t="shared" ca="1" si="5"/>
        <v/>
      </c>
      <c r="I10" s="14" t="str">
        <f t="shared" ca="1" si="6"/>
        <v/>
      </c>
      <c r="J10" s="14" t="str">
        <f t="shared" ca="1" si="7"/>
        <v/>
      </c>
      <c r="K10" s="14" t="str">
        <f t="shared" ca="1" si="8"/>
        <v/>
      </c>
      <c r="L10" s="15" t="str">
        <f t="shared" ca="1" si="9"/>
        <v/>
      </c>
    </row>
    <row r="11" spans="2:12" ht="15" customHeight="1" x14ac:dyDescent="0.5">
      <c r="B11" s="11"/>
      <c r="C11" s="12" t="str">
        <f t="shared" ca="1" si="0"/>
        <v/>
      </c>
      <c r="D11" s="12" t="str">
        <f t="shared" ca="1" si="1"/>
        <v/>
      </c>
      <c r="E11" s="13" t="str">
        <f t="shared" ca="1" si="2"/>
        <v/>
      </c>
      <c r="F11" s="294" t="str">
        <f t="shared" ca="1" si="3"/>
        <v/>
      </c>
      <c r="G11" s="294" t="str">
        <f t="shared" ca="1" si="4"/>
        <v/>
      </c>
      <c r="H11" s="294" t="str">
        <f t="shared" ca="1" si="5"/>
        <v/>
      </c>
      <c r="I11" s="14" t="str">
        <f t="shared" ca="1" si="6"/>
        <v/>
      </c>
      <c r="J11" s="14" t="str">
        <f t="shared" ca="1" si="7"/>
        <v/>
      </c>
      <c r="K11" s="14" t="str">
        <f t="shared" ca="1" si="8"/>
        <v/>
      </c>
      <c r="L11" s="15" t="str">
        <f t="shared" ca="1" si="9"/>
        <v/>
      </c>
    </row>
    <row r="12" spans="2:12" ht="15" customHeight="1" x14ac:dyDescent="0.5">
      <c r="B12" s="11"/>
      <c r="C12" s="12" t="str">
        <f t="shared" ca="1" si="0"/>
        <v/>
      </c>
      <c r="D12" s="12" t="str">
        <f t="shared" ca="1" si="1"/>
        <v/>
      </c>
      <c r="E12" s="13" t="str">
        <f t="shared" ca="1" si="2"/>
        <v/>
      </c>
      <c r="F12" s="294" t="str">
        <f t="shared" ca="1" si="3"/>
        <v/>
      </c>
      <c r="G12" s="294" t="str">
        <f t="shared" ca="1" si="4"/>
        <v/>
      </c>
      <c r="H12" s="294" t="str">
        <f t="shared" ca="1" si="5"/>
        <v/>
      </c>
      <c r="I12" s="14" t="str">
        <f t="shared" ca="1" si="6"/>
        <v/>
      </c>
      <c r="J12" s="14" t="str">
        <f t="shared" ca="1" si="7"/>
        <v/>
      </c>
      <c r="K12" s="14" t="str">
        <f t="shared" ca="1" si="8"/>
        <v/>
      </c>
      <c r="L12" s="15" t="str">
        <f t="shared" ca="1" si="9"/>
        <v/>
      </c>
    </row>
    <row r="13" spans="2:12" ht="15" customHeight="1" x14ac:dyDescent="0.5">
      <c r="B13" s="11"/>
      <c r="C13" s="12" t="str">
        <f t="shared" ca="1" si="0"/>
        <v/>
      </c>
      <c r="D13" s="12" t="str">
        <f t="shared" ca="1" si="1"/>
        <v/>
      </c>
      <c r="E13" s="13" t="str">
        <f t="shared" ca="1" si="2"/>
        <v/>
      </c>
      <c r="F13" s="294" t="str">
        <f t="shared" ca="1" si="3"/>
        <v/>
      </c>
      <c r="G13" s="294" t="str">
        <f t="shared" ca="1" si="4"/>
        <v/>
      </c>
      <c r="H13" s="294" t="str">
        <f t="shared" ca="1" si="5"/>
        <v/>
      </c>
      <c r="I13" s="14" t="str">
        <f t="shared" ca="1" si="6"/>
        <v/>
      </c>
      <c r="J13" s="14" t="str">
        <f t="shared" ca="1" si="7"/>
        <v/>
      </c>
      <c r="K13" s="14" t="str">
        <f t="shared" ca="1" si="8"/>
        <v/>
      </c>
      <c r="L13" s="15" t="str">
        <f t="shared" ca="1" si="9"/>
        <v/>
      </c>
    </row>
    <row r="14" spans="2:12" ht="15" customHeight="1" x14ac:dyDescent="0.5">
      <c r="B14" s="11"/>
      <c r="C14" s="12" t="str">
        <f t="shared" ca="1" si="0"/>
        <v/>
      </c>
      <c r="D14" s="12" t="str">
        <f t="shared" ca="1" si="1"/>
        <v/>
      </c>
      <c r="E14" s="13" t="str">
        <f t="shared" ca="1" si="2"/>
        <v/>
      </c>
      <c r="F14" s="294" t="str">
        <f t="shared" ca="1" si="3"/>
        <v/>
      </c>
      <c r="G14" s="294" t="str">
        <f t="shared" ca="1" si="4"/>
        <v/>
      </c>
      <c r="H14" s="294" t="str">
        <f t="shared" ca="1" si="5"/>
        <v/>
      </c>
      <c r="I14" s="14" t="str">
        <f t="shared" ca="1" si="6"/>
        <v/>
      </c>
      <c r="J14" s="14" t="str">
        <f t="shared" ca="1" si="7"/>
        <v/>
      </c>
      <c r="K14" s="14" t="str">
        <f t="shared" ca="1" si="8"/>
        <v/>
      </c>
      <c r="L14" s="15" t="str">
        <f t="shared" ca="1" si="9"/>
        <v/>
      </c>
    </row>
    <row r="15" spans="2:12" ht="15" customHeight="1" x14ac:dyDescent="0.5">
      <c r="B15" s="11"/>
      <c r="C15" s="12" t="str">
        <f t="shared" ca="1" si="0"/>
        <v/>
      </c>
      <c r="D15" s="12" t="str">
        <f t="shared" ca="1" si="1"/>
        <v/>
      </c>
      <c r="E15" s="13" t="str">
        <f t="shared" ca="1" si="2"/>
        <v/>
      </c>
      <c r="F15" s="294" t="str">
        <f t="shared" ca="1" si="3"/>
        <v/>
      </c>
      <c r="G15" s="294" t="str">
        <f t="shared" ca="1" si="4"/>
        <v/>
      </c>
      <c r="H15" s="294" t="str">
        <f t="shared" ca="1" si="5"/>
        <v/>
      </c>
      <c r="I15" s="14" t="str">
        <f t="shared" ca="1" si="6"/>
        <v/>
      </c>
      <c r="J15" s="14" t="str">
        <f t="shared" ca="1" si="7"/>
        <v/>
      </c>
      <c r="K15" s="14" t="str">
        <f t="shared" ca="1" si="8"/>
        <v/>
      </c>
      <c r="L15" s="15" t="str">
        <f t="shared" ca="1" si="9"/>
        <v/>
      </c>
    </row>
    <row r="16" spans="2:12" ht="15" customHeight="1" x14ac:dyDescent="0.5">
      <c r="B16" s="11"/>
      <c r="C16" s="12" t="str">
        <f t="shared" ca="1" si="0"/>
        <v/>
      </c>
      <c r="D16" s="12" t="str">
        <f t="shared" ca="1" si="1"/>
        <v/>
      </c>
      <c r="E16" s="13" t="str">
        <f t="shared" ca="1" si="2"/>
        <v/>
      </c>
      <c r="F16" s="294" t="str">
        <f t="shared" ca="1" si="3"/>
        <v/>
      </c>
      <c r="G16" s="294" t="str">
        <f t="shared" ca="1" si="4"/>
        <v/>
      </c>
      <c r="H16" s="294" t="str">
        <f t="shared" ca="1" si="5"/>
        <v/>
      </c>
      <c r="I16" s="14" t="str">
        <f t="shared" ca="1" si="6"/>
        <v/>
      </c>
      <c r="J16" s="14" t="str">
        <f t="shared" ca="1" si="7"/>
        <v/>
      </c>
      <c r="K16" s="14" t="str">
        <f t="shared" ca="1" si="8"/>
        <v/>
      </c>
      <c r="L16" s="15" t="str">
        <f t="shared" ca="1" si="9"/>
        <v/>
      </c>
    </row>
    <row r="17" spans="2:12" ht="15" customHeight="1" x14ac:dyDescent="0.5">
      <c r="B17" s="11"/>
      <c r="C17" s="12" t="str">
        <f t="shared" ca="1" si="0"/>
        <v/>
      </c>
      <c r="D17" s="12" t="str">
        <f t="shared" ca="1" si="1"/>
        <v/>
      </c>
      <c r="E17" s="13" t="str">
        <f t="shared" ca="1" si="2"/>
        <v/>
      </c>
      <c r="F17" s="294" t="str">
        <f t="shared" ca="1" si="3"/>
        <v/>
      </c>
      <c r="G17" s="294" t="str">
        <f t="shared" ca="1" si="4"/>
        <v/>
      </c>
      <c r="H17" s="294" t="str">
        <f t="shared" ca="1" si="5"/>
        <v/>
      </c>
      <c r="I17" s="14" t="str">
        <f t="shared" ca="1" si="6"/>
        <v/>
      </c>
      <c r="J17" s="14" t="str">
        <f t="shared" ca="1" si="7"/>
        <v/>
      </c>
      <c r="K17" s="14" t="str">
        <f t="shared" ca="1" si="8"/>
        <v/>
      </c>
      <c r="L17" s="15" t="str">
        <f t="shared" ca="1" si="9"/>
        <v/>
      </c>
    </row>
    <row r="18" spans="2:12" ht="15" customHeight="1" x14ac:dyDescent="0.5">
      <c r="B18" s="11"/>
      <c r="C18" s="12" t="str">
        <f t="shared" ca="1" si="0"/>
        <v/>
      </c>
      <c r="D18" s="12" t="str">
        <f t="shared" ca="1" si="1"/>
        <v/>
      </c>
      <c r="E18" s="13" t="str">
        <f t="shared" ca="1" si="2"/>
        <v/>
      </c>
      <c r="F18" s="294" t="str">
        <f t="shared" ca="1" si="3"/>
        <v/>
      </c>
      <c r="G18" s="294" t="str">
        <f t="shared" ca="1" si="4"/>
        <v/>
      </c>
      <c r="H18" s="294" t="str">
        <f t="shared" ca="1" si="5"/>
        <v/>
      </c>
      <c r="I18" s="14" t="str">
        <f t="shared" ca="1" si="6"/>
        <v/>
      </c>
      <c r="J18" s="14" t="str">
        <f t="shared" ca="1" si="7"/>
        <v/>
      </c>
      <c r="K18" s="14" t="str">
        <f t="shared" ca="1" si="8"/>
        <v/>
      </c>
      <c r="L18" s="15" t="str">
        <f t="shared" ca="1" si="9"/>
        <v/>
      </c>
    </row>
    <row r="19" spans="2:12" ht="15" customHeight="1" x14ac:dyDescent="0.5">
      <c r="B19" s="11"/>
      <c r="C19" s="12" t="str">
        <f t="shared" ca="1" si="0"/>
        <v/>
      </c>
      <c r="D19" s="12" t="str">
        <f t="shared" ca="1" si="1"/>
        <v/>
      </c>
      <c r="E19" s="13" t="str">
        <f t="shared" ca="1" si="2"/>
        <v/>
      </c>
      <c r="F19" s="294" t="str">
        <f t="shared" ca="1" si="3"/>
        <v/>
      </c>
      <c r="G19" s="294" t="str">
        <f t="shared" ca="1" si="4"/>
        <v/>
      </c>
      <c r="H19" s="294" t="str">
        <f t="shared" ca="1" si="5"/>
        <v/>
      </c>
      <c r="I19" s="14" t="str">
        <f t="shared" ca="1" si="6"/>
        <v/>
      </c>
      <c r="J19" s="14" t="str">
        <f t="shared" ca="1" si="7"/>
        <v/>
      </c>
      <c r="K19" s="14" t="str">
        <f t="shared" ca="1" si="8"/>
        <v/>
      </c>
      <c r="L19" s="15" t="str">
        <f t="shared" ca="1" si="9"/>
        <v/>
      </c>
    </row>
    <row r="20" spans="2:12" ht="15" customHeight="1" x14ac:dyDescent="0.5">
      <c r="B20" s="11"/>
      <c r="C20" s="12" t="str">
        <f t="shared" ca="1" si="0"/>
        <v/>
      </c>
      <c r="D20" s="12" t="str">
        <f t="shared" ca="1" si="1"/>
        <v/>
      </c>
      <c r="E20" s="13" t="str">
        <f t="shared" ca="1" si="2"/>
        <v/>
      </c>
      <c r="F20" s="294" t="str">
        <f t="shared" ca="1" si="3"/>
        <v/>
      </c>
      <c r="G20" s="294" t="str">
        <f t="shared" ca="1" si="4"/>
        <v/>
      </c>
      <c r="H20" s="294" t="str">
        <f t="shared" ca="1" si="5"/>
        <v/>
      </c>
      <c r="I20" s="14" t="str">
        <f t="shared" ca="1" si="6"/>
        <v/>
      </c>
      <c r="J20" s="14" t="str">
        <f t="shared" ca="1" si="7"/>
        <v/>
      </c>
      <c r="K20" s="14" t="str">
        <f t="shared" ca="1" si="8"/>
        <v/>
      </c>
      <c r="L20" s="15" t="str">
        <f t="shared" ca="1" si="9"/>
        <v/>
      </c>
    </row>
    <row r="21" spans="2:12" x14ac:dyDescent="0.5">
      <c r="F21" s="295"/>
      <c r="G21" s="295"/>
      <c r="H21" s="295"/>
    </row>
    <row r="22" spans="2:12" ht="15" customHeight="1" x14ac:dyDescent="0.5">
      <c r="B22" s="16" t="s">
        <v>64</v>
      </c>
      <c r="E22" s="17">
        <f ca="1">SUM(E6:E20)</f>
        <v>34000</v>
      </c>
      <c r="F22" s="296">
        <f ca="1">SUM(F6:F20)</f>
        <v>-1530.2689497327929</v>
      </c>
      <c r="G22" s="296">
        <f ca="1">SUM(G6:G20)</f>
        <v>41169.853408738854</v>
      </c>
      <c r="H22" s="296">
        <f ca="1">SUM(H6:H20)</f>
        <v>99140.318171378385</v>
      </c>
    </row>
    <row r="24" spans="2:12" ht="30" customHeight="1" x14ac:dyDescent="0.5">
      <c r="B24" s="299" t="s">
        <v>65</v>
      </c>
      <c r="C24" s="299"/>
      <c r="D24" s="299"/>
      <c r="E24" s="299"/>
      <c r="F24" s="299"/>
      <c r="G24" s="299"/>
      <c r="H24" s="299"/>
      <c r="I24" s="299"/>
      <c r="J24" s="299"/>
      <c r="K24" s="299"/>
      <c r="L24" s="299"/>
    </row>
  </sheetData>
  <mergeCells count="1">
    <mergeCell ref="B24:L2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C1:I38"/>
  <sheetViews>
    <sheetView topLeftCell="A20" zoomScale="85" zoomScaleNormal="85" workbookViewId="0">
      <selection activeCell="H15" sqref="H15"/>
    </sheetView>
  </sheetViews>
  <sheetFormatPr baseColWidth="10" defaultColWidth="10.5703125" defaultRowHeight="16.5" x14ac:dyDescent="0.5"/>
  <cols>
    <col min="2" max="2" width="3" customWidth="1"/>
    <col min="3" max="3" width="21.640625" customWidth="1"/>
    <col min="4" max="4" width="6.640625" customWidth="1"/>
    <col min="6" max="7" width="10.85546875" customWidth="1"/>
  </cols>
  <sheetData>
    <row r="1" spans="3:9" ht="18" customHeight="1" x14ac:dyDescent="0.5"/>
    <row r="2" spans="3:9" ht="18" customHeight="1" x14ac:dyDescent="0.5">
      <c r="C2" s="305" t="s">
        <v>6</v>
      </c>
      <c r="D2" s="305"/>
      <c r="E2" s="305"/>
      <c r="F2" s="305"/>
      <c r="G2" s="305"/>
    </row>
    <row r="3" spans="3:9" ht="17.25" customHeight="1" x14ac:dyDescent="0.5">
      <c r="C3" s="18"/>
      <c r="D3" s="19"/>
      <c r="E3" s="19"/>
      <c r="F3" s="19"/>
      <c r="G3" s="20"/>
    </row>
    <row r="4" spans="3:9" ht="18" customHeight="1" x14ac:dyDescent="0.5">
      <c r="C4" s="18"/>
      <c r="D4" s="19"/>
      <c r="E4" s="19"/>
      <c r="F4" s="19"/>
      <c r="G4" s="20"/>
    </row>
    <row r="5" spans="3:9" ht="15.75" customHeight="1" x14ac:dyDescent="0.5">
      <c r="C5" s="305" t="s">
        <v>66</v>
      </c>
      <c r="D5" s="305"/>
      <c r="E5" s="305"/>
      <c r="F5" s="305"/>
      <c r="G5" s="305"/>
    </row>
    <row r="6" spans="3:9" ht="18" customHeight="1" x14ac:dyDescent="0.5">
      <c r="C6" s="21"/>
      <c r="D6" s="22" t="s">
        <v>67</v>
      </c>
      <c r="E6" s="23" t="s">
        <v>68</v>
      </c>
      <c r="F6" s="23" t="s">
        <v>222</v>
      </c>
      <c r="G6" s="23" t="s">
        <v>69</v>
      </c>
    </row>
    <row r="7" spans="3:9" ht="18" customHeight="1" x14ac:dyDescent="0.5">
      <c r="C7" s="24" t="s">
        <v>70</v>
      </c>
      <c r="D7" s="25" t="s">
        <v>71</v>
      </c>
      <c r="E7" s="26">
        <v>0.17199999999999999</v>
      </c>
      <c r="F7" s="27">
        <v>0.218</v>
      </c>
      <c r="G7" s="26">
        <v>0.25</v>
      </c>
      <c r="H7" s="28" t="s">
        <v>72</v>
      </c>
    </row>
    <row r="8" spans="3:9" ht="18" customHeight="1" x14ac:dyDescent="0.5">
      <c r="C8" s="29" t="s">
        <v>75</v>
      </c>
      <c r="D8" s="25" t="s">
        <v>73</v>
      </c>
      <c r="E8" s="30">
        <v>0.04</v>
      </c>
      <c r="F8" s="30">
        <v>0.03</v>
      </c>
      <c r="G8" s="31">
        <v>0.02</v>
      </c>
    </row>
    <row r="9" spans="3:9" ht="17.25" customHeight="1" x14ac:dyDescent="0.5">
      <c r="C9" s="18"/>
      <c r="D9" s="19"/>
      <c r="E9" s="19"/>
      <c r="F9" s="19"/>
      <c r="G9" s="20"/>
    </row>
    <row r="10" spans="3:9" ht="18" customHeight="1" x14ac:dyDescent="0.5">
      <c r="C10" s="18"/>
      <c r="D10" s="19"/>
      <c r="E10" s="19"/>
      <c r="F10" s="19"/>
      <c r="G10" s="20"/>
    </row>
    <row r="11" spans="3:9" ht="18" customHeight="1" x14ac:dyDescent="0.5">
      <c r="C11" s="305" t="s">
        <v>74</v>
      </c>
      <c r="D11" s="305"/>
      <c r="E11" s="305"/>
      <c r="F11" s="305"/>
      <c r="G11" s="305"/>
    </row>
    <row r="12" spans="3:9" ht="18" customHeight="1" x14ac:dyDescent="0.5">
      <c r="C12" s="32"/>
      <c r="D12" s="25" t="s">
        <v>67</v>
      </c>
      <c r="E12" s="33" t="s">
        <v>68</v>
      </c>
      <c r="F12" s="33" t="s">
        <v>222</v>
      </c>
      <c r="G12" s="33" t="s">
        <v>69</v>
      </c>
    </row>
    <row r="13" spans="3:9" ht="19.5" customHeight="1" x14ac:dyDescent="0.5">
      <c r="C13" s="34" t="s">
        <v>70</v>
      </c>
      <c r="D13" s="25" t="s">
        <v>71</v>
      </c>
      <c r="E13" s="35">
        <v>0.06</v>
      </c>
      <c r="F13" s="36">
        <v>0.08</v>
      </c>
      <c r="G13" s="37">
        <v>0.1</v>
      </c>
      <c r="H13" s="28"/>
      <c r="I13" s="38"/>
    </row>
    <row r="14" spans="3:9" ht="19.5" customHeight="1" x14ac:dyDescent="0.55000000000000004">
      <c r="C14" s="39" t="s">
        <v>75</v>
      </c>
      <c r="D14" s="40" t="s">
        <v>73</v>
      </c>
      <c r="E14" s="41">
        <v>0.04</v>
      </c>
      <c r="F14" s="42">
        <v>0.03</v>
      </c>
      <c r="G14" s="41">
        <v>0.02</v>
      </c>
    </row>
    <row r="15" spans="3:9" ht="17.25" customHeight="1" x14ac:dyDescent="0.5">
      <c r="C15" s="18"/>
      <c r="D15" s="19"/>
      <c r="E15" s="19"/>
      <c r="F15" s="19"/>
      <c r="G15" s="20"/>
    </row>
    <row r="16" spans="3:9" ht="17.25" customHeight="1" x14ac:dyDescent="0.5">
      <c r="C16" s="18"/>
      <c r="D16" s="19"/>
      <c r="E16" s="19"/>
      <c r="F16" s="19"/>
      <c r="G16" s="20"/>
    </row>
    <row r="17" spans="3:9" ht="17.25" customHeight="1" x14ac:dyDescent="0.5">
      <c r="C17" s="18"/>
      <c r="D17" s="19"/>
      <c r="E17" s="19"/>
      <c r="F17" s="19"/>
      <c r="G17" s="20"/>
    </row>
    <row r="18" spans="3:9" ht="18" customHeight="1" x14ac:dyDescent="0.5">
      <c r="C18" s="18"/>
      <c r="D18" s="19"/>
      <c r="E18" s="19"/>
      <c r="F18" s="19"/>
      <c r="G18" s="20"/>
    </row>
    <row r="19" spans="3:9" ht="18" customHeight="1" x14ac:dyDescent="0.5">
      <c r="C19" s="305" t="s">
        <v>76</v>
      </c>
      <c r="D19" s="305"/>
      <c r="E19" s="305"/>
      <c r="F19" s="305"/>
      <c r="G19" s="305"/>
    </row>
    <row r="20" spans="3:9" ht="17.25" customHeight="1" x14ac:dyDescent="0.5">
      <c r="C20" s="306"/>
      <c r="D20" s="306"/>
      <c r="E20" s="43" t="s">
        <v>69</v>
      </c>
      <c r="F20" s="43" t="s">
        <v>77</v>
      </c>
      <c r="G20" s="44" t="s">
        <v>68</v>
      </c>
      <c r="H20" s="28" t="s">
        <v>78</v>
      </c>
      <c r="I20" s="38" t="s">
        <v>79</v>
      </c>
    </row>
    <row r="21" spans="3:9" ht="28.5" customHeight="1" x14ac:dyDescent="0.5">
      <c r="C21" s="301" t="s">
        <v>80</v>
      </c>
      <c r="D21" s="301"/>
      <c r="E21" s="302">
        <v>0</v>
      </c>
      <c r="F21" s="302"/>
      <c r="G21" s="302"/>
    </row>
    <row r="22" spans="3:9" ht="17.25" customHeight="1" x14ac:dyDescent="0.5">
      <c r="C22" s="301" t="s">
        <v>81</v>
      </c>
      <c r="D22" s="301"/>
      <c r="E22" s="303">
        <f>1-E21</f>
        <v>1</v>
      </c>
      <c r="F22" s="303"/>
      <c r="G22" s="303"/>
      <c r="I22" s="38"/>
    </row>
    <row r="23" spans="3:9" ht="17.25" customHeight="1" x14ac:dyDescent="0.5">
      <c r="C23" s="45" t="s">
        <v>82</v>
      </c>
      <c r="D23" s="46"/>
      <c r="E23" s="47">
        <v>0.01</v>
      </c>
      <c r="F23" s="47">
        <v>3.5000000000000003E-2</v>
      </c>
      <c r="G23" s="48">
        <v>0.05</v>
      </c>
    </row>
    <row r="24" spans="3:9" ht="17.25" customHeight="1" x14ac:dyDescent="0.5">
      <c r="C24" s="49" t="s">
        <v>83</v>
      </c>
      <c r="D24" s="46"/>
      <c r="E24" s="47">
        <v>0.03</v>
      </c>
      <c r="F24" s="47">
        <v>0.04</v>
      </c>
      <c r="G24" s="48">
        <v>0.06</v>
      </c>
    </row>
    <row r="25" spans="3:9" ht="33" customHeight="1" x14ac:dyDescent="0.5">
      <c r="C25" s="50" t="s">
        <v>84</v>
      </c>
      <c r="D25" s="51"/>
      <c r="E25" s="52">
        <f>E21*E23+E22*E24</f>
        <v>0.03</v>
      </c>
      <c r="F25" s="52">
        <f>E21*F23+E22*F24</f>
        <v>0.04</v>
      </c>
      <c r="G25" s="53">
        <f>E21*G23+E22*G24</f>
        <v>0.06</v>
      </c>
    </row>
    <row r="26" spans="3:9" ht="17.25" customHeight="1" x14ac:dyDescent="0.5">
      <c r="C26" s="54" t="s">
        <v>85</v>
      </c>
      <c r="D26" s="19"/>
      <c r="E26" s="55" t="str">
        <f>IF(OR(E25="",F25="",G25=""),"",IF(AND(F25&gt;=MIN(E25,G25),F25&lt;=MAX(E25,G25)),"in Ordnung","FEHLER: Wahrscheinl. liegt ausserhalb von Best/Worst"))</f>
        <v>in Ordnung</v>
      </c>
      <c r="F26" s="19"/>
      <c r="G26" s="20"/>
    </row>
    <row r="27" spans="3:9" ht="18" customHeight="1" x14ac:dyDescent="0.5">
      <c r="C27" s="56" t="s">
        <v>86</v>
      </c>
      <c r="D27" s="19"/>
      <c r="E27" s="57" t="str">
        <f>IF(ABS(E21+E22-1)&lt;0.0001,"in Ordnung","FEHLER: Anteile ergeben nicht 100 %")</f>
        <v>in Ordnung</v>
      </c>
      <c r="F27" s="19"/>
      <c r="G27" s="20"/>
    </row>
    <row r="28" spans="3:9" ht="18" customHeight="1" x14ac:dyDescent="0.5">
      <c r="C28" s="304" t="s">
        <v>87</v>
      </c>
      <c r="D28" s="304"/>
      <c r="E28" s="304"/>
      <c r="F28" s="304"/>
      <c r="G28" s="304"/>
    </row>
    <row r="29" spans="3:9" ht="17.25" customHeight="1" x14ac:dyDescent="0.5">
      <c r="C29" s="300" t="s">
        <v>88</v>
      </c>
      <c r="D29" s="300"/>
      <c r="E29" s="58" t="s">
        <v>70</v>
      </c>
      <c r="F29" s="58" t="s">
        <v>67</v>
      </c>
      <c r="G29" s="59"/>
    </row>
    <row r="30" spans="3:9" ht="18" customHeight="1" x14ac:dyDescent="0.5">
      <c r="C30" s="60" t="s">
        <v>223</v>
      </c>
      <c r="D30" s="61"/>
      <c r="E30" s="62">
        <v>3.0000000000000001E-3</v>
      </c>
      <c r="F30" s="62" t="s">
        <v>89</v>
      </c>
      <c r="G30" s="63"/>
    </row>
    <row r="31" spans="3:9" ht="18" customHeight="1" x14ac:dyDescent="0.5">
      <c r="C31" s="18"/>
      <c r="D31" s="19"/>
      <c r="E31" s="19"/>
      <c r="F31" s="19"/>
      <c r="G31" s="20"/>
    </row>
    <row r="32" spans="3:9" ht="18" customHeight="1" x14ac:dyDescent="0.5">
      <c r="C32" s="64" t="s">
        <v>90</v>
      </c>
      <c r="D32" s="65"/>
      <c r="E32" s="65" t="s">
        <v>68</v>
      </c>
      <c r="F32" s="65" t="s">
        <v>91</v>
      </c>
      <c r="G32" s="66" t="s">
        <v>69</v>
      </c>
      <c r="H32" s="67" t="s">
        <v>92</v>
      </c>
    </row>
    <row r="33" spans="3:7" ht="18" customHeight="1" x14ac:dyDescent="0.5">
      <c r="C33" s="68" t="s">
        <v>224</v>
      </c>
      <c r="D33" s="66"/>
      <c r="E33" s="69">
        <v>0.06</v>
      </c>
      <c r="F33" s="70">
        <v>0.06</v>
      </c>
      <c r="G33" s="71">
        <v>0.06</v>
      </c>
    </row>
    <row r="34" spans="3:7" ht="18" customHeight="1" x14ac:dyDescent="0.5">
      <c r="C34" s="72" t="s">
        <v>93</v>
      </c>
      <c r="D34" s="73"/>
      <c r="E34" s="74">
        <v>0.03</v>
      </c>
      <c r="F34" s="75">
        <v>0.02</v>
      </c>
      <c r="G34" s="76">
        <v>0.01</v>
      </c>
    </row>
    <row r="35" spans="3:7" ht="18" customHeight="1" x14ac:dyDescent="0.5">
      <c r="C35" s="18"/>
      <c r="D35" s="19"/>
      <c r="E35" s="19"/>
      <c r="F35" s="19"/>
      <c r="G35" s="20"/>
    </row>
    <row r="36" spans="3:7" ht="18" customHeight="1" x14ac:dyDescent="0.5">
      <c r="C36" s="64" t="s">
        <v>94</v>
      </c>
      <c r="D36" s="66"/>
      <c r="E36" s="77" t="s">
        <v>68</v>
      </c>
      <c r="F36" s="78" t="s">
        <v>91</v>
      </c>
      <c r="G36" s="79" t="s">
        <v>69</v>
      </c>
    </row>
    <row r="37" spans="3:7" ht="18" customHeight="1" x14ac:dyDescent="0.5">
      <c r="C37" s="72" t="s">
        <v>225</v>
      </c>
      <c r="D37" s="73"/>
      <c r="E37" s="80">
        <f t="shared" ref="E37:G38" si="0">E7</f>
        <v>0.17199999999999999</v>
      </c>
      <c r="F37" s="81">
        <f t="shared" si="0"/>
        <v>0.218</v>
      </c>
      <c r="G37" s="82">
        <f t="shared" si="0"/>
        <v>0.25</v>
      </c>
    </row>
    <row r="38" spans="3:7" ht="18" customHeight="1" x14ac:dyDescent="0.5">
      <c r="C38" s="72" t="s">
        <v>93</v>
      </c>
      <c r="D38" s="73"/>
      <c r="E38" s="83">
        <f t="shared" si="0"/>
        <v>0.04</v>
      </c>
      <c r="F38" s="75">
        <f t="shared" si="0"/>
        <v>0.03</v>
      </c>
      <c r="G38" s="76">
        <f t="shared" si="0"/>
        <v>0.02</v>
      </c>
    </row>
  </sheetData>
  <mergeCells count="11">
    <mergeCell ref="C2:G2"/>
    <mergeCell ref="C5:G5"/>
    <mergeCell ref="C11:G11"/>
    <mergeCell ref="C19:G19"/>
    <mergeCell ref="C20:D20"/>
    <mergeCell ref="C29:D29"/>
    <mergeCell ref="C21:D21"/>
    <mergeCell ref="E21:G21"/>
    <mergeCell ref="C22:D22"/>
    <mergeCell ref="E22:G22"/>
    <mergeCell ref="C28:G28"/>
  </mergeCells>
  <pageMargins left="0.7" right="0.7" top="0.78749999999999998" bottom="0.78749999999999998"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9"/>
  </sheetPr>
  <dimension ref="A1:GB146"/>
  <sheetViews>
    <sheetView topLeftCell="A95" zoomScale="70" zoomScaleNormal="70" workbookViewId="0">
      <selection activeCell="C114" sqref="C114:L114"/>
    </sheetView>
  </sheetViews>
  <sheetFormatPr baseColWidth="10" defaultColWidth="10.5703125" defaultRowHeight="16.5" x14ac:dyDescent="0.5"/>
  <cols>
    <col min="3" max="3" width="35.42578125" customWidth="1"/>
    <col min="11" max="11" width="11.42578125" customWidth="1"/>
    <col min="18" max="18" width="28" customWidth="1"/>
    <col min="19" max="19" width="12.42578125" customWidth="1"/>
    <col min="20" max="72" width="11.640625" customWidth="1"/>
    <col min="74" max="74" width="29.640625" customWidth="1"/>
    <col min="100" max="128" width="11.42578125" customWidth="1"/>
    <col min="130" max="130" width="28.35546875" customWidth="1"/>
  </cols>
  <sheetData>
    <row r="1" spans="1:181" ht="19.5" customHeight="1" x14ac:dyDescent="0.55000000000000004">
      <c r="B1" s="84"/>
    </row>
    <row r="2" spans="1:181" ht="19.5" customHeight="1" x14ac:dyDescent="0.55000000000000004">
      <c r="A2" s="84"/>
      <c r="B2" s="337" t="s">
        <v>95</v>
      </c>
      <c r="C2" s="337"/>
      <c r="D2" s="338" t="s">
        <v>96</v>
      </c>
      <c r="E2" s="338"/>
      <c r="F2" s="338"/>
      <c r="G2" s="338"/>
      <c r="H2" s="338"/>
      <c r="I2" s="338"/>
      <c r="J2" s="338"/>
      <c r="K2" s="338"/>
      <c r="L2" s="338"/>
      <c r="M2" s="338"/>
      <c r="N2" s="338"/>
      <c r="O2" s="85"/>
      <c r="P2" s="85"/>
      <c r="Q2" s="85"/>
      <c r="R2" s="85"/>
      <c r="S2" s="85"/>
      <c r="T2" s="85"/>
    </row>
    <row r="3" spans="1:181" ht="18" customHeight="1" x14ac:dyDescent="0.5">
      <c r="A3" s="86"/>
      <c r="B3" s="339" t="s">
        <v>54</v>
      </c>
      <c r="C3" s="339"/>
      <c r="D3" s="340" t="s">
        <v>97</v>
      </c>
      <c r="E3" s="340"/>
      <c r="F3" s="340"/>
      <c r="G3" s="340"/>
      <c r="H3" s="340"/>
      <c r="I3" s="340"/>
      <c r="J3" s="340"/>
      <c r="K3" s="340"/>
      <c r="L3" s="340"/>
      <c r="M3" s="340"/>
      <c r="N3" s="340"/>
      <c r="O3" s="87"/>
      <c r="P3" s="87"/>
      <c r="Q3" s="87"/>
      <c r="R3" s="87"/>
      <c r="S3" s="87"/>
      <c r="T3" s="87"/>
      <c r="FW3" t="s">
        <v>98</v>
      </c>
      <c r="FY3" t="s">
        <v>99</v>
      </c>
    </row>
    <row r="4" spans="1:181" ht="102.75" customHeight="1" x14ac:dyDescent="0.5">
      <c r="A4" s="86"/>
      <c r="B4" s="339" t="s">
        <v>100</v>
      </c>
      <c r="C4" s="339"/>
      <c r="D4" s="341" t="s">
        <v>101</v>
      </c>
      <c r="E4" s="341"/>
      <c r="F4" s="341"/>
      <c r="G4" s="341"/>
      <c r="H4" s="341"/>
      <c r="I4" s="341"/>
      <c r="J4" s="341"/>
      <c r="K4" s="341"/>
      <c r="L4" s="341"/>
      <c r="M4" s="341"/>
      <c r="N4" s="341"/>
      <c r="O4" s="87"/>
      <c r="P4" s="87"/>
      <c r="Q4" s="87"/>
      <c r="R4" s="87"/>
      <c r="S4" s="87"/>
      <c r="T4" s="87"/>
      <c r="FW4" t="s">
        <v>102</v>
      </c>
      <c r="FY4" t="s">
        <v>103</v>
      </c>
    </row>
    <row r="5" spans="1:181" ht="18" customHeight="1" x14ac:dyDescent="0.5">
      <c r="A5" s="88"/>
      <c r="B5" s="18"/>
      <c r="C5" s="19"/>
      <c r="D5" s="19"/>
      <c r="E5" s="19"/>
      <c r="F5" s="19"/>
      <c r="G5" s="19"/>
      <c r="H5" s="19"/>
      <c r="I5" s="19"/>
      <c r="J5" s="19"/>
      <c r="K5" s="19"/>
      <c r="L5" s="19"/>
      <c r="M5" s="19"/>
      <c r="N5" s="20"/>
      <c r="FW5" t="s">
        <v>104</v>
      </c>
    </row>
    <row r="6" spans="1:181" ht="17.25" customHeight="1" x14ac:dyDescent="0.5">
      <c r="A6" s="88"/>
      <c r="B6" s="333" t="s">
        <v>105</v>
      </c>
      <c r="C6" s="333"/>
      <c r="D6" s="89" t="s">
        <v>68</v>
      </c>
      <c r="E6" s="90" t="s">
        <v>91</v>
      </c>
      <c r="F6" s="91" t="s">
        <v>69</v>
      </c>
      <c r="G6" s="19"/>
      <c r="H6" s="19"/>
      <c r="I6" s="19"/>
      <c r="J6" s="19"/>
      <c r="K6" s="19"/>
      <c r="L6" s="19"/>
      <c r="M6" s="19"/>
      <c r="N6" s="20"/>
      <c r="FW6" t="s">
        <v>106</v>
      </c>
    </row>
    <row r="7" spans="1:181" ht="18" customHeight="1" x14ac:dyDescent="0.5">
      <c r="A7" s="88"/>
      <c r="B7" s="333"/>
      <c r="C7" s="333"/>
      <c r="D7" s="92">
        <v>0.02</v>
      </c>
      <c r="E7" s="93">
        <v>0.03</v>
      </c>
      <c r="F7" s="94">
        <v>0.05</v>
      </c>
      <c r="G7" s="19"/>
      <c r="H7" s="19"/>
      <c r="I7" s="19"/>
      <c r="J7" s="19"/>
      <c r="K7" s="19"/>
      <c r="L7" s="19"/>
      <c r="M7" s="19"/>
      <c r="N7" s="20"/>
      <c r="FW7" t="s">
        <v>107</v>
      </c>
    </row>
    <row r="8" spans="1:181" ht="18" customHeight="1" x14ac:dyDescent="0.5">
      <c r="A8" s="88"/>
      <c r="B8" s="18"/>
      <c r="C8" s="19"/>
      <c r="D8" s="19"/>
      <c r="E8" s="19"/>
      <c r="F8" s="19"/>
      <c r="G8" s="19"/>
      <c r="H8" s="19"/>
      <c r="I8" s="19"/>
      <c r="J8" s="19"/>
      <c r="K8" s="19"/>
      <c r="L8" s="19"/>
      <c r="M8" s="19"/>
      <c r="N8" s="20"/>
      <c r="FW8" t="s">
        <v>108</v>
      </c>
    </row>
    <row r="9" spans="1:181" ht="18" customHeight="1" x14ac:dyDescent="0.5">
      <c r="A9" s="88"/>
      <c r="B9" s="18"/>
      <c r="C9" s="19"/>
      <c r="D9" s="324" t="s">
        <v>109</v>
      </c>
      <c r="E9" s="324"/>
      <c r="F9" s="324"/>
      <c r="G9" s="334" t="s">
        <v>232</v>
      </c>
      <c r="H9" s="334"/>
      <c r="I9" s="334"/>
      <c r="J9" s="19"/>
      <c r="K9" s="19"/>
      <c r="L9" s="19"/>
      <c r="M9" s="19"/>
      <c r="N9" s="20"/>
    </row>
    <row r="10" spans="1:181" ht="18" customHeight="1" x14ac:dyDescent="0.5">
      <c r="A10" s="88"/>
      <c r="B10" s="32"/>
      <c r="C10" s="95"/>
      <c r="D10" s="96" t="s">
        <v>68</v>
      </c>
      <c r="E10" s="97" t="s">
        <v>91</v>
      </c>
      <c r="F10" s="98" t="s">
        <v>69</v>
      </c>
      <c r="G10" s="95" t="s">
        <v>68</v>
      </c>
      <c r="H10" s="95" t="s">
        <v>91</v>
      </c>
      <c r="I10" s="99" t="s">
        <v>69</v>
      </c>
      <c r="J10" s="19"/>
      <c r="K10" s="100"/>
      <c r="L10" s="19"/>
      <c r="M10" s="100"/>
      <c r="N10" s="20"/>
    </row>
    <row r="11" spans="1:181" ht="17.25" customHeight="1" x14ac:dyDescent="0.5">
      <c r="A11" s="88"/>
      <c r="B11" s="101" t="s">
        <v>110</v>
      </c>
      <c r="C11" s="102"/>
      <c r="D11" s="103">
        <f>0.9*E11</f>
        <v>90000</v>
      </c>
      <c r="E11" s="104">
        <v>100000</v>
      </c>
      <c r="F11" s="105">
        <f>1.1*E11</f>
        <v>110000.00000000001</v>
      </c>
      <c r="G11" s="106">
        <f>0.9*H11</f>
        <v>72000</v>
      </c>
      <c r="H11" s="107">
        <v>80000</v>
      </c>
      <c r="I11" s="108">
        <f>1.1*H11</f>
        <v>88000</v>
      </c>
      <c r="J11" s="19"/>
      <c r="K11" s="19"/>
      <c r="L11" s="19"/>
      <c r="M11" s="19"/>
      <c r="N11" s="20"/>
    </row>
    <row r="12" spans="1:181" ht="17.25" customHeight="1" x14ac:dyDescent="0.5">
      <c r="A12" s="88"/>
      <c r="B12" s="101" t="s">
        <v>111</v>
      </c>
      <c r="C12" s="102"/>
      <c r="D12" s="103">
        <f>0.9*E12</f>
        <v>0</v>
      </c>
      <c r="E12" s="104">
        <v>0</v>
      </c>
      <c r="F12" s="105">
        <f>1.1*E12</f>
        <v>0</v>
      </c>
      <c r="G12" s="109">
        <v>0</v>
      </c>
      <c r="H12" s="110">
        <v>0</v>
      </c>
      <c r="I12" s="111">
        <v>0</v>
      </c>
      <c r="J12" s="19"/>
      <c r="K12" s="19"/>
      <c r="L12" s="19"/>
      <c r="M12" s="19"/>
      <c r="N12" s="20"/>
    </row>
    <row r="13" spans="1:181" ht="17.25" customHeight="1" x14ac:dyDescent="0.5">
      <c r="A13" s="88"/>
      <c r="B13" s="335" t="str">
        <f>'Allgemeine Unternehmensdaten'!C30&amp;"-Verbrauch in "&amp;SUBSTITUTE('Allgemeine Unternehmensdaten'!F30,"€/","")&amp;"/Jahr"</f>
        <v>Flexibler Kostenfaktor-Verbrauch in m³/Jahr</v>
      </c>
      <c r="C13" s="335"/>
      <c r="D13" s="103">
        <f>0.9*E13</f>
        <v>0</v>
      </c>
      <c r="E13" s="110">
        <v>0</v>
      </c>
      <c r="F13" s="105">
        <f>1.1*E13</f>
        <v>0</v>
      </c>
      <c r="G13" s="109">
        <v>0</v>
      </c>
      <c r="H13" s="110">
        <v>0</v>
      </c>
      <c r="I13" s="111">
        <v>0</v>
      </c>
      <c r="J13" s="19"/>
      <c r="K13" s="19"/>
      <c r="L13" s="19"/>
      <c r="M13" s="19"/>
      <c r="N13" s="20"/>
    </row>
    <row r="14" spans="1:181" ht="18" customHeight="1" x14ac:dyDescent="0.5">
      <c r="A14" s="88"/>
      <c r="B14" s="112"/>
      <c r="C14" s="113"/>
      <c r="D14" s="114"/>
      <c r="E14" s="115"/>
      <c r="F14" s="116"/>
      <c r="G14" s="114"/>
      <c r="H14" s="117"/>
      <c r="I14" s="63"/>
      <c r="J14" s="19"/>
      <c r="K14" s="19"/>
      <c r="L14" s="19"/>
      <c r="M14" s="19"/>
      <c r="N14" s="20"/>
    </row>
    <row r="15" spans="1:181" ht="17.25" customHeight="1" x14ac:dyDescent="0.5">
      <c r="A15" s="88"/>
      <c r="B15" s="18"/>
      <c r="C15" s="19"/>
      <c r="D15" s="19"/>
      <c r="E15" s="19"/>
      <c r="F15" s="19"/>
      <c r="G15" s="19"/>
      <c r="H15" s="19"/>
      <c r="I15" s="19"/>
      <c r="J15" s="19"/>
      <c r="K15" s="19"/>
      <c r="L15" s="19"/>
      <c r="M15" s="19"/>
      <c r="N15" s="20"/>
    </row>
    <row r="16" spans="1:181" ht="18" customHeight="1" x14ac:dyDescent="0.5">
      <c r="A16" s="88"/>
      <c r="B16" s="18"/>
      <c r="C16" s="19"/>
      <c r="D16" s="19"/>
      <c r="E16" s="19"/>
      <c r="F16" s="19"/>
      <c r="G16" s="19"/>
      <c r="H16" s="19"/>
      <c r="I16" s="19"/>
      <c r="J16" s="19"/>
      <c r="K16" s="19"/>
      <c r="L16" s="19"/>
      <c r="M16" s="19"/>
      <c r="N16" s="20"/>
    </row>
    <row r="17" spans="1:184" ht="18" customHeight="1" x14ac:dyDescent="0.5">
      <c r="A17" s="88"/>
      <c r="B17" s="32"/>
      <c r="C17" s="95"/>
      <c r="D17" s="118" t="s">
        <v>68</v>
      </c>
      <c r="E17" s="119" t="s">
        <v>91</v>
      </c>
      <c r="F17" s="120" t="s">
        <v>69</v>
      </c>
      <c r="G17" s="19"/>
      <c r="H17" s="19"/>
      <c r="I17" s="19"/>
      <c r="J17" s="19"/>
      <c r="K17" s="19"/>
      <c r="L17" s="19"/>
      <c r="M17" s="19"/>
      <c r="N17" s="20"/>
    </row>
    <row r="18" spans="1:184" ht="18" customHeight="1" x14ac:dyDescent="0.5">
      <c r="A18" s="88"/>
      <c r="B18" s="121" t="s">
        <v>25</v>
      </c>
      <c r="C18" s="122"/>
      <c r="D18" s="123">
        <v>0</v>
      </c>
      <c r="E18" s="124">
        <v>0</v>
      </c>
      <c r="F18" s="125">
        <v>0</v>
      </c>
      <c r="G18" s="126" t="s">
        <v>112</v>
      </c>
      <c r="H18" s="19"/>
      <c r="I18" s="19"/>
      <c r="J18" s="19"/>
      <c r="K18" s="19"/>
      <c r="L18" s="19"/>
      <c r="M18" s="19"/>
      <c r="N18" s="20"/>
    </row>
    <row r="19" spans="1:184" ht="18" customHeight="1" x14ac:dyDescent="0.5">
      <c r="A19" s="88"/>
      <c r="B19" s="121" t="s">
        <v>113</v>
      </c>
      <c r="C19" s="122"/>
      <c r="D19" s="127">
        <v>5</v>
      </c>
      <c r="E19" s="128">
        <v>5</v>
      </c>
      <c r="F19" s="129">
        <v>5</v>
      </c>
      <c r="G19" s="19"/>
      <c r="H19" s="19"/>
      <c r="I19" s="19"/>
      <c r="J19" s="19"/>
      <c r="K19" s="19"/>
      <c r="M19" s="19"/>
      <c r="N19" s="20"/>
      <c r="R19" s="336" t="s">
        <v>114</v>
      </c>
      <c r="S19" s="336"/>
      <c r="T19" s="336"/>
      <c r="U19" s="336"/>
      <c r="V19" s="336"/>
      <c r="W19" s="336"/>
      <c r="X19" s="336"/>
      <c r="Y19" s="336"/>
      <c r="Z19" s="336"/>
      <c r="AA19" s="336"/>
      <c r="AB19" s="336"/>
      <c r="AC19" s="336"/>
      <c r="AD19" s="336"/>
      <c r="AE19" s="336"/>
      <c r="AF19" s="336"/>
      <c r="AG19" s="336"/>
      <c r="AH19" s="336"/>
      <c r="AI19" s="336"/>
      <c r="AJ19" s="336"/>
      <c r="AK19" s="336"/>
      <c r="AL19" s="336"/>
      <c r="AM19" s="336"/>
      <c r="AN19" s="336"/>
      <c r="AO19" s="336"/>
      <c r="AP19" s="336"/>
      <c r="AQ19" s="336"/>
      <c r="AR19" s="336"/>
      <c r="AS19" s="336"/>
      <c r="AT19" s="336"/>
      <c r="AU19" s="336"/>
      <c r="AV19" s="336"/>
      <c r="AW19" s="336"/>
      <c r="AX19" s="336"/>
      <c r="AY19" s="336"/>
      <c r="AZ19" s="336"/>
      <c r="BA19" s="336"/>
      <c r="BB19" s="336"/>
      <c r="BC19" s="336"/>
      <c r="BD19" s="336"/>
      <c r="BE19" s="336"/>
      <c r="BF19" s="336"/>
      <c r="BG19" s="336"/>
      <c r="BH19" s="336"/>
      <c r="BI19" s="336"/>
      <c r="BJ19" s="336"/>
      <c r="BK19" s="336"/>
      <c r="BL19" s="336"/>
      <c r="BM19" s="336"/>
      <c r="BN19" s="336"/>
      <c r="BO19" s="336"/>
      <c r="BP19" s="336"/>
      <c r="BQ19" s="336"/>
      <c r="BR19" s="336"/>
      <c r="BS19" s="336"/>
      <c r="BT19" s="336"/>
      <c r="BV19" s="328" t="s">
        <v>115</v>
      </c>
      <c r="BW19" s="328"/>
      <c r="BX19" s="328"/>
      <c r="BY19" s="328"/>
      <c r="BZ19" s="328"/>
      <c r="CA19" s="328"/>
      <c r="CB19" s="328"/>
      <c r="CC19" s="328"/>
      <c r="CD19" s="328"/>
      <c r="CE19" s="328"/>
      <c r="CF19" s="328"/>
      <c r="CG19" s="328"/>
      <c r="CH19" s="328"/>
      <c r="CI19" s="328"/>
      <c r="CJ19" s="328"/>
      <c r="CK19" s="328"/>
      <c r="CL19" s="328"/>
      <c r="CM19" s="328"/>
      <c r="CN19" s="328"/>
      <c r="CO19" s="328"/>
      <c r="CP19" s="328"/>
      <c r="CQ19" s="328"/>
      <c r="CR19" s="328"/>
      <c r="CS19" s="328"/>
      <c r="CT19" s="328"/>
      <c r="CU19" s="328"/>
      <c r="CV19" s="328"/>
      <c r="CW19" s="328"/>
      <c r="CX19" s="328"/>
      <c r="CY19" s="328"/>
      <c r="CZ19" s="328"/>
      <c r="DA19" s="328"/>
      <c r="DB19" s="328"/>
      <c r="DC19" s="328"/>
      <c r="DD19" s="328"/>
      <c r="DE19" s="328"/>
      <c r="DF19" s="328"/>
      <c r="DG19" s="328"/>
      <c r="DH19" s="328"/>
      <c r="DI19" s="328"/>
      <c r="DJ19" s="328"/>
      <c r="DK19" s="328"/>
      <c r="DL19" s="328"/>
      <c r="DM19" s="328"/>
      <c r="DN19" s="328"/>
      <c r="DO19" s="328"/>
      <c r="DP19" s="328"/>
      <c r="DQ19" s="328"/>
      <c r="DR19" s="328"/>
      <c r="DS19" s="328"/>
      <c r="DT19" s="328"/>
      <c r="DU19" s="328"/>
      <c r="DV19" s="328"/>
      <c r="DW19" s="328"/>
      <c r="DX19" s="328"/>
      <c r="DZ19" s="329" t="s">
        <v>116</v>
      </c>
      <c r="EA19" s="329"/>
      <c r="EB19" s="329"/>
      <c r="EC19" s="329"/>
      <c r="ED19" s="329"/>
      <c r="EE19" s="329"/>
      <c r="EF19" s="329"/>
      <c r="EG19" s="329"/>
      <c r="EH19" s="329"/>
      <c r="EI19" s="329"/>
      <c r="EJ19" s="329"/>
      <c r="EK19" s="329"/>
      <c r="EL19" s="329"/>
      <c r="EM19" s="329"/>
      <c r="EN19" s="329"/>
      <c r="EO19" s="329"/>
      <c r="EP19" s="329"/>
      <c r="EQ19" s="329"/>
      <c r="ER19" s="329"/>
      <c r="ES19" s="329"/>
      <c r="ET19" s="329"/>
      <c r="EU19" s="329"/>
      <c r="EV19" s="329"/>
      <c r="EW19" s="329"/>
      <c r="EX19" s="329"/>
      <c r="EY19" s="329"/>
      <c r="EZ19" s="329"/>
      <c r="FA19" s="329"/>
      <c r="FB19" s="329"/>
      <c r="FC19" s="329"/>
      <c r="FD19" s="329"/>
      <c r="FE19" s="329"/>
      <c r="FF19" s="329"/>
      <c r="FG19" s="329"/>
      <c r="FH19" s="329"/>
      <c r="FI19" s="329"/>
      <c r="FJ19" s="329"/>
      <c r="FK19" s="329"/>
      <c r="FL19" s="329"/>
      <c r="FM19" s="329"/>
      <c r="FN19" s="329"/>
      <c r="FO19" s="329"/>
      <c r="FP19" s="329"/>
      <c r="FQ19" s="329"/>
      <c r="FR19" s="329"/>
      <c r="FS19" s="329"/>
      <c r="FT19" s="329"/>
      <c r="FU19" s="329"/>
      <c r="FV19" s="329"/>
      <c r="FW19" s="329"/>
      <c r="FX19" s="329"/>
      <c r="FY19" s="329"/>
      <c r="FZ19" s="329"/>
      <c r="GA19" s="329"/>
      <c r="GB19" s="329"/>
    </row>
    <row r="20" spans="1:184" ht="18" customHeight="1" x14ac:dyDescent="0.5">
      <c r="A20" s="88"/>
      <c r="B20" s="112" t="s">
        <v>117</v>
      </c>
      <c r="C20" s="113"/>
      <c r="D20" s="130">
        <f>D18+D19-1</f>
        <v>4</v>
      </c>
      <c r="E20" s="131">
        <f>E18+E19-1</f>
        <v>4</v>
      </c>
      <c r="F20" s="132">
        <f>F18+F19-1</f>
        <v>4</v>
      </c>
      <c r="G20" s="19"/>
      <c r="H20" s="19"/>
      <c r="I20" s="19"/>
      <c r="J20" s="19"/>
      <c r="K20" s="19"/>
      <c r="L20" s="330" t="s">
        <v>118</v>
      </c>
      <c r="M20" s="330"/>
      <c r="N20" s="133" t="s">
        <v>99</v>
      </c>
      <c r="R20" s="134" t="s">
        <v>119</v>
      </c>
      <c r="S20" s="43">
        <v>0</v>
      </c>
      <c r="T20" s="43">
        <v>1</v>
      </c>
      <c r="U20" s="43">
        <v>2</v>
      </c>
      <c r="V20" s="43">
        <v>3</v>
      </c>
      <c r="W20" s="43">
        <v>4</v>
      </c>
      <c r="X20" s="43">
        <v>5</v>
      </c>
      <c r="Y20" s="43">
        <v>6</v>
      </c>
      <c r="Z20" s="43">
        <v>7</v>
      </c>
      <c r="AA20" s="43">
        <v>8</v>
      </c>
      <c r="AB20" s="43">
        <v>9</v>
      </c>
      <c r="AC20" s="43">
        <v>10</v>
      </c>
      <c r="AD20" s="43">
        <v>11</v>
      </c>
      <c r="AE20" s="43">
        <v>12</v>
      </c>
      <c r="AF20" s="43">
        <v>13</v>
      </c>
      <c r="AG20" s="43">
        <v>14</v>
      </c>
      <c r="AH20" s="43">
        <v>15</v>
      </c>
      <c r="AI20" s="43">
        <v>16</v>
      </c>
      <c r="AJ20" s="43">
        <v>17</v>
      </c>
      <c r="AK20" s="43">
        <v>18</v>
      </c>
      <c r="AL20" s="43">
        <v>19</v>
      </c>
      <c r="AM20" s="43">
        <v>20</v>
      </c>
      <c r="AN20" s="43">
        <v>21</v>
      </c>
      <c r="AO20" s="43">
        <v>22</v>
      </c>
      <c r="AP20" s="43">
        <v>23</v>
      </c>
      <c r="AQ20" s="43">
        <v>24</v>
      </c>
      <c r="AR20" s="43">
        <v>25</v>
      </c>
      <c r="AS20" s="43">
        <v>26</v>
      </c>
      <c r="AT20" s="43">
        <v>27</v>
      </c>
      <c r="AU20" s="43">
        <v>28</v>
      </c>
      <c r="AV20" s="43">
        <v>29</v>
      </c>
      <c r="AW20" s="43">
        <v>30</v>
      </c>
      <c r="AX20" s="43">
        <v>31</v>
      </c>
      <c r="AY20" s="43">
        <v>32</v>
      </c>
      <c r="AZ20" s="43">
        <v>33</v>
      </c>
      <c r="BA20" s="43">
        <v>34</v>
      </c>
      <c r="BB20" s="43">
        <v>35</v>
      </c>
      <c r="BC20" s="43">
        <v>36</v>
      </c>
      <c r="BD20" s="43">
        <v>37</v>
      </c>
      <c r="BE20" s="43">
        <v>38</v>
      </c>
      <c r="BF20" s="43">
        <v>39</v>
      </c>
      <c r="BG20" s="43">
        <v>40</v>
      </c>
      <c r="BH20" s="43">
        <v>41</v>
      </c>
      <c r="BI20" s="43">
        <v>42</v>
      </c>
      <c r="BJ20" s="43">
        <v>43</v>
      </c>
      <c r="BK20" s="43">
        <v>44</v>
      </c>
      <c r="BL20" s="43">
        <v>45</v>
      </c>
      <c r="BM20" s="43">
        <v>46</v>
      </c>
      <c r="BN20" s="43">
        <v>47</v>
      </c>
      <c r="BO20" s="43">
        <v>48</v>
      </c>
      <c r="BP20" s="43">
        <v>49</v>
      </c>
      <c r="BQ20" s="43">
        <v>50</v>
      </c>
      <c r="BR20" s="43">
        <v>51</v>
      </c>
      <c r="BS20" s="43">
        <v>52</v>
      </c>
      <c r="BT20" s="44">
        <v>53</v>
      </c>
      <c r="BV20" s="134" t="s">
        <v>119</v>
      </c>
      <c r="BW20" s="43">
        <v>0</v>
      </c>
      <c r="BX20" s="43">
        <v>1</v>
      </c>
      <c r="BY20" s="43">
        <v>2</v>
      </c>
      <c r="BZ20" s="43">
        <v>3</v>
      </c>
      <c r="CA20" s="43">
        <v>4</v>
      </c>
      <c r="CB20" s="43">
        <v>5</v>
      </c>
      <c r="CC20" s="43">
        <v>6</v>
      </c>
      <c r="CD20" s="43">
        <v>7</v>
      </c>
      <c r="CE20" s="43">
        <v>8</v>
      </c>
      <c r="CF20" s="43">
        <v>9</v>
      </c>
      <c r="CG20" s="43">
        <v>10</v>
      </c>
      <c r="CH20" s="43">
        <v>11</v>
      </c>
      <c r="CI20" s="43">
        <v>12</v>
      </c>
      <c r="CJ20" s="43">
        <v>13</v>
      </c>
      <c r="CK20" s="43">
        <v>14</v>
      </c>
      <c r="CL20" s="43">
        <v>15</v>
      </c>
      <c r="CM20" s="43">
        <v>16</v>
      </c>
      <c r="CN20" s="43">
        <v>17</v>
      </c>
      <c r="CO20" s="43">
        <v>18</v>
      </c>
      <c r="CP20" s="43">
        <v>19</v>
      </c>
      <c r="CQ20" s="43">
        <v>20</v>
      </c>
      <c r="CR20" s="43">
        <v>21</v>
      </c>
      <c r="CS20" s="43">
        <v>22</v>
      </c>
      <c r="CT20" s="43">
        <v>23</v>
      </c>
      <c r="CU20" s="43">
        <v>24</v>
      </c>
      <c r="CV20" s="43">
        <v>25</v>
      </c>
      <c r="CW20" s="43">
        <v>26</v>
      </c>
      <c r="CX20" s="43">
        <v>27</v>
      </c>
      <c r="CY20" s="43">
        <v>28</v>
      </c>
      <c r="CZ20" s="43">
        <v>29</v>
      </c>
      <c r="DA20" s="43">
        <v>30</v>
      </c>
      <c r="DB20" s="43">
        <v>31</v>
      </c>
      <c r="DC20" s="43">
        <v>32</v>
      </c>
      <c r="DD20" s="43">
        <v>33</v>
      </c>
      <c r="DE20" s="43">
        <v>34</v>
      </c>
      <c r="DF20" s="43">
        <v>35</v>
      </c>
      <c r="DG20" s="43">
        <v>36</v>
      </c>
      <c r="DH20" s="43">
        <v>37</v>
      </c>
      <c r="DI20" s="43">
        <v>38</v>
      </c>
      <c r="DJ20" s="43">
        <v>39</v>
      </c>
      <c r="DK20" s="43">
        <v>40</v>
      </c>
      <c r="DL20" s="43">
        <v>41</v>
      </c>
      <c r="DM20" s="43">
        <v>42</v>
      </c>
      <c r="DN20" s="43">
        <v>43</v>
      </c>
      <c r="DO20" s="43">
        <v>44</v>
      </c>
      <c r="DP20" s="43">
        <v>45</v>
      </c>
      <c r="DQ20" s="43">
        <v>46</v>
      </c>
      <c r="DR20" s="43">
        <v>47</v>
      </c>
      <c r="DS20" s="43">
        <v>48</v>
      </c>
      <c r="DT20" s="43">
        <v>49</v>
      </c>
      <c r="DU20" s="43">
        <v>50</v>
      </c>
      <c r="DV20" s="43">
        <v>51</v>
      </c>
      <c r="DW20" s="43">
        <v>52</v>
      </c>
      <c r="DX20" s="44">
        <v>53</v>
      </c>
      <c r="DZ20" s="134" t="s">
        <v>119</v>
      </c>
      <c r="EA20" s="43">
        <v>0</v>
      </c>
      <c r="EB20" s="43">
        <v>1</v>
      </c>
      <c r="EC20" s="43">
        <v>2</v>
      </c>
      <c r="ED20" s="43">
        <v>3</v>
      </c>
      <c r="EE20" s="43">
        <v>4</v>
      </c>
      <c r="EF20" s="43">
        <v>5</v>
      </c>
      <c r="EG20" s="43">
        <v>6</v>
      </c>
      <c r="EH20" s="43">
        <v>7</v>
      </c>
      <c r="EI20" s="43">
        <v>8</v>
      </c>
      <c r="EJ20" s="43">
        <v>9</v>
      </c>
      <c r="EK20" s="43">
        <v>10</v>
      </c>
      <c r="EL20" s="43">
        <v>11</v>
      </c>
      <c r="EM20" s="43">
        <v>12</v>
      </c>
      <c r="EN20" s="43">
        <v>13</v>
      </c>
      <c r="EO20" s="43">
        <v>14</v>
      </c>
      <c r="EP20" s="43">
        <v>15</v>
      </c>
      <c r="EQ20" s="43">
        <v>16</v>
      </c>
      <c r="ER20" s="43">
        <v>17</v>
      </c>
      <c r="ES20" s="43">
        <v>18</v>
      </c>
      <c r="ET20" s="43">
        <v>19</v>
      </c>
      <c r="EU20" s="43">
        <v>20</v>
      </c>
      <c r="EV20" s="43">
        <v>21</v>
      </c>
      <c r="EW20" s="43">
        <v>22</v>
      </c>
      <c r="EX20" s="43">
        <v>23</v>
      </c>
      <c r="EY20" s="43">
        <v>24</v>
      </c>
      <c r="EZ20" s="43">
        <v>25</v>
      </c>
      <c r="FA20" s="43">
        <v>26</v>
      </c>
      <c r="FB20" s="43">
        <v>27</v>
      </c>
      <c r="FC20" s="43">
        <v>28</v>
      </c>
      <c r="FD20" s="43">
        <v>29</v>
      </c>
      <c r="FE20" s="43">
        <v>30</v>
      </c>
      <c r="FF20" s="43">
        <v>31</v>
      </c>
      <c r="FG20" s="43">
        <v>32</v>
      </c>
      <c r="FH20" s="43">
        <v>33</v>
      </c>
      <c r="FI20" s="43">
        <v>34</v>
      </c>
      <c r="FJ20" s="43">
        <v>35</v>
      </c>
      <c r="FK20" s="43">
        <v>36</v>
      </c>
      <c r="FL20" s="43">
        <v>37</v>
      </c>
      <c r="FM20" s="43">
        <v>38</v>
      </c>
      <c r="FN20" s="43">
        <v>39</v>
      </c>
      <c r="FO20" s="43">
        <v>40</v>
      </c>
      <c r="FP20" s="43">
        <v>41</v>
      </c>
      <c r="FQ20" s="43">
        <v>42</v>
      </c>
      <c r="FR20" s="43">
        <v>43</v>
      </c>
      <c r="FS20" s="43">
        <v>44</v>
      </c>
      <c r="FT20" s="43">
        <v>45</v>
      </c>
      <c r="FU20" s="43">
        <v>46</v>
      </c>
      <c r="FV20" s="43">
        <v>47</v>
      </c>
      <c r="FW20" s="43">
        <v>48</v>
      </c>
      <c r="FX20" s="43">
        <v>49</v>
      </c>
      <c r="FY20" s="43">
        <v>50</v>
      </c>
      <c r="FZ20" s="43">
        <v>51</v>
      </c>
      <c r="GA20" s="43">
        <v>52</v>
      </c>
      <c r="GB20" s="44">
        <v>53</v>
      </c>
    </row>
    <row r="21" spans="1:184" ht="18" customHeight="1" x14ac:dyDescent="0.5">
      <c r="A21" s="88"/>
      <c r="B21" s="18"/>
      <c r="C21" s="19"/>
      <c r="D21" s="19"/>
      <c r="E21" s="19"/>
      <c r="F21" s="19"/>
      <c r="G21" s="135" t="s">
        <v>120</v>
      </c>
      <c r="H21" s="19"/>
      <c r="I21" s="331" t="s">
        <v>121</v>
      </c>
      <c r="J21" s="331"/>
      <c r="K21" s="331"/>
      <c r="L21" s="332" t="s">
        <v>122</v>
      </c>
      <c r="M21" s="332"/>
      <c r="N21" s="332"/>
      <c r="R21" s="101" t="s">
        <v>123</v>
      </c>
      <c r="S21" s="136">
        <f t="shared" ref="S21:AX21" si="0">IF($E$20&gt;=S20,1,0)</f>
        <v>1</v>
      </c>
      <c r="T21" s="136">
        <f t="shared" si="0"/>
        <v>1</v>
      </c>
      <c r="U21" s="136">
        <f t="shared" si="0"/>
        <v>1</v>
      </c>
      <c r="V21" s="136">
        <f t="shared" si="0"/>
        <v>1</v>
      </c>
      <c r="W21" s="136">
        <f t="shared" si="0"/>
        <v>1</v>
      </c>
      <c r="X21" s="136">
        <f t="shared" si="0"/>
        <v>0</v>
      </c>
      <c r="Y21" s="136">
        <f t="shared" si="0"/>
        <v>0</v>
      </c>
      <c r="Z21" s="136">
        <f t="shared" si="0"/>
        <v>0</v>
      </c>
      <c r="AA21" s="136">
        <f t="shared" si="0"/>
        <v>0</v>
      </c>
      <c r="AB21" s="136">
        <f t="shared" si="0"/>
        <v>0</v>
      </c>
      <c r="AC21" s="136">
        <f t="shared" si="0"/>
        <v>0</v>
      </c>
      <c r="AD21" s="136">
        <f t="shared" si="0"/>
        <v>0</v>
      </c>
      <c r="AE21" s="136">
        <f t="shared" si="0"/>
        <v>0</v>
      </c>
      <c r="AF21" s="136">
        <f t="shared" si="0"/>
        <v>0</v>
      </c>
      <c r="AG21" s="136">
        <f t="shared" si="0"/>
        <v>0</v>
      </c>
      <c r="AH21" s="136">
        <f t="shared" si="0"/>
        <v>0</v>
      </c>
      <c r="AI21" s="136">
        <f t="shared" si="0"/>
        <v>0</v>
      </c>
      <c r="AJ21" s="136">
        <f t="shared" si="0"/>
        <v>0</v>
      </c>
      <c r="AK21" s="136">
        <f t="shared" si="0"/>
        <v>0</v>
      </c>
      <c r="AL21" s="136">
        <f t="shared" si="0"/>
        <v>0</v>
      </c>
      <c r="AM21" s="136">
        <f t="shared" si="0"/>
        <v>0</v>
      </c>
      <c r="AN21" s="136">
        <f t="shared" si="0"/>
        <v>0</v>
      </c>
      <c r="AO21" s="136">
        <f t="shared" si="0"/>
        <v>0</v>
      </c>
      <c r="AP21" s="136">
        <f t="shared" si="0"/>
        <v>0</v>
      </c>
      <c r="AQ21" s="136">
        <f t="shared" si="0"/>
        <v>0</v>
      </c>
      <c r="AR21" s="136">
        <f t="shared" si="0"/>
        <v>0</v>
      </c>
      <c r="AS21" s="136">
        <f t="shared" si="0"/>
        <v>0</v>
      </c>
      <c r="AT21" s="136">
        <f t="shared" si="0"/>
        <v>0</v>
      </c>
      <c r="AU21" s="136">
        <f t="shared" si="0"/>
        <v>0</v>
      </c>
      <c r="AV21" s="136">
        <f t="shared" si="0"/>
        <v>0</v>
      </c>
      <c r="AW21" s="136">
        <f t="shared" si="0"/>
        <v>0</v>
      </c>
      <c r="AX21" s="136">
        <f t="shared" si="0"/>
        <v>0</v>
      </c>
      <c r="AY21" s="136">
        <f t="shared" ref="AY21:BT21" si="1">IF($E$20&gt;=AY20,1,0)</f>
        <v>0</v>
      </c>
      <c r="AZ21" s="136">
        <f t="shared" si="1"/>
        <v>0</v>
      </c>
      <c r="BA21" s="136">
        <f t="shared" si="1"/>
        <v>0</v>
      </c>
      <c r="BB21" s="136">
        <f t="shared" si="1"/>
        <v>0</v>
      </c>
      <c r="BC21" s="136">
        <f t="shared" si="1"/>
        <v>0</v>
      </c>
      <c r="BD21" s="136">
        <f t="shared" si="1"/>
        <v>0</v>
      </c>
      <c r="BE21" s="136">
        <f t="shared" si="1"/>
        <v>0</v>
      </c>
      <c r="BF21" s="136">
        <f t="shared" si="1"/>
        <v>0</v>
      </c>
      <c r="BG21" s="136">
        <f t="shared" si="1"/>
        <v>0</v>
      </c>
      <c r="BH21" s="136">
        <f t="shared" si="1"/>
        <v>0</v>
      </c>
      <c r="BI21" s="136">
        <f t="shared" si="1"/>
        <v>0</v>
      </c>
      <c r="BJ21" s="136">
        <f t="shared" si="1"/>
        <v>0</v>
      </c>
      <c r="BK21" s="136">
        <f t="shared" si="1"/>
        <v>0</v>
      </c>
      <c r="BL21" s="136">
        <f t="shared" si="1"/>
        <v>0</v>
      </c>
      <c r="BM21" s="136">
        <f t="shared" si="1"/>
        <v>0</v>
      </c>
      <c r="BN21" s="136">
        <f t="shared" si="1"/>
        <v>0</v>
      </c>
      <c r="BO21" s="136">
        <f t="shared" si="1"/>
        <v>0</v>
      </c>
      <c r="BP21" s="136">
        <f t="shared" si="1"/>
        <v>0</v>
      </c>
      <c r="BQ21" s="136">
        <f t="shared" si="1"/>
        <v>0</v>
      </c>
      <c r="BR21" s="136">
        <f t="shared" si="1"/>
        <v>0</v>
      </c>
      <c r="BS21" s="136">
        <f t="shared" si="1"/>
        <v>0</v>
      </c>
      <c r="BT21" s="137">
        <f t="shared" si="1"/>
        <v>0</v>
      </c>
      <c r="BV21" s="101" t="s">
        <v>123</v>
      </c>
      <c r="BW21" s="136">
        <f t="shared" ref="BW21:DB21" si="2">IF($D$20&gt;=BW20,1,0)</f>
        <v>1</v>
      </c>
      <c r="BX21" s="136">
        <f t="shared" si="2"/>
        <v>1</v>
      </c>
      <c r="BY21" s="136">
        <f t="shared" si="2"/>
        <v>1</v>
      </c>
      <c r="BZ21" s="136">
        <f t="shared" si="2"/>
        <v>1</v>
      </c>
      <c r="CA21" s="136">
        <f t="shared" si="2"/>
        <v>1</v>
      </c>
      <c r="CB21" s="136">
        <f t="shared" si="2"/>
        <v>0</v>
      </c>
      <c r="CC21" s="136">
        <f t="shared" si="2"/>
        <v>0</v>
      </c>
      <c r="CD21" s="136">
        <f t="shared" si="2"/>
        <v>0</v>
      </c>
      <c r="CE21" s="136">
        <f t="shared" si="2"/>
        <v>0</v>
      </c>
      <c r="CF21" s="136">
        <f t="shared" si="2"/>
        <v>0</v>
      </c>
      <c r="CG21" s="136">
        <f t="shared" si="2"/>
        <v>0</v>
      </c>
      <c r="CH21" s="136">
        <f t="shared" si="2"/>
        <v>0</v>
      </c>
      <c r="CI21" s="136">
        <f t="shared" si="2"/>
        <v>0</v>
      </c>
      <c r="CJ21" s="136">
        <f t="shared" si="2"/>
        <v>0</v>
      </c>
      <c r="CK21" s="136">
        <f t="shared" si="2"/>
        <v>0</v>
      </c>
      <c r="CL21" s="136">
        <f t="shared" si="2"/>
        <v>0</v>
      </c>
      <c r="CM21" s="136">
        <f t="shared" si="2"/>
        <v>0</v>
      </c>
      <c r="CN21" s="136">
        <f t="shared" si="2"/>
        <v>0</v>
      </c>
      <c r="CO21" s="136">
        <f t="shared" si="2"/>
        <v>0</v>
      </c>
      <c r="CP21" s="136">
        <f t="shared" si="2"/>
        <v>0</v>
      </c>
      <c r="CQ21" s="136">
        <f t="shared" si="2"/>
        <v>0</v>
      </c>
      <c r="CR21" s="136">
        <f t="shared" si="2"/>
        <v>0</v>
      </c>
      <c r="CS21" s="136">
        <f t="shared" si="2"/>
        <v>0</v>
      </c>
      <c r="CT21" s="136">
        <f t="shared" si="2"/>
        <v>0</v>
      </c>
      <c r="CU21" s="136">
        <f t="shared" si="2"/>
        <v>0</v>
      </c>
      <c r="CV21" s="136">
        <f t="shared" si="2"/>
        <v>0</v>
      </c>
      <c r="CW21" s="136">
        <f t="shared" si="2"/>
        <v>0</v>
      </c>
      <c r="CX21" s="136">
        <f t="shared" si="2"/>
        <v>0</v>
      </c>
      <c r="CY21" s="136">
        <f t="shared" si="2"/>
        <v>0</v>
      </c>
      <c r="CZ21" s="136">
        <f t="shared" si="2"/>
        <v>0</v>
      </c>
      <c r="DA21" s="136">
        <f t="shared" si="2"/>
        <v>0</v>
      </c>
      <c r="DB21" s="136">
        <f t="shared" si="2"/>
        <v>0</v>
      </c>
      <c r="DC21" s="136">
        <f t="shared" ref="DC21:DX21" si="3">IF($D$20&gt;=DC20,1,0)</f>
        <v>0</v>
      </c>
      <c r="DD21" s="136">
        <f t="shared" si="3"/>
        <v>0</v>
      </c>
      <c r="DE21" s="136">
        <f t="shared" si="3"/>
        <v>0</v>
      </c>
      <c r="DF21" s="136">
        <f t="shared" si="3"/>
        <v>0</v>
      </c>
      <c r="DG21" s="136">
        <f t="shared" si="3"/>
        <v>0</v>
      </c>
      <c r="DH21" s="136">
        <f t="shared" si="3"/>
        <v>0</v>
      </c>
      <c r="DI21" s="136">
        <f t="shared" si="3"/>
        <v>0</v>
      </c>
      <c r="DJ21" s="136">
        <f t="shared" si="3"/>
        <v>0</v>
      </c>
      <c r="DK21" s="136">
        <f t="shared" si="3"/>
        <v>0</v>
      </c>
      <c r="DL21" s="136">
        <f t="shared" si="3"/>
        <v>0</v>
      </c>
      <c r="DM21" s="136">
        <f t="shared" si="3"/>
        <v>0</v>
      </c>
      <c r="DN21" s="136">
        <f t="shared" si="3"/>
        <v>0</v>
      </c>
      <c r="DO21" s="136">
        <f t="shared" si="3"/>
        <v>0</v>
      </c>
      <c r="DP21" s="136">
        <f t="shared" si="3"/>
        <v>0</v>
      </c>
      <c r="DQ21" s="136">
        <f t="shared" si="3"/>
        <v>0</v>
      </c>
      <c r="DR21" s="136">
        <f t="shared" si="3"/>
        <v>0</v>
      </c>
      <c r="DS21" s="136">
        <f t="shared" si="3"/>
        <v>0</v>
      </c>
      <c r="DT21" s="136">
        <f t="shared" si="3"/>
        <v>0</v>
      </c>
      <c r="DU21" s="136">
        <f t="shared" si="3"/>
        <v>0</v>
      </c>
      <c r="DV21" s="136">
        <f t="shared" si="3"/>
        <v>0</v>
      </c>
      <c r="DW21" s="136">
        <f t="shared" si="3"/>
        <v>0</v>
      </c>
      <c r="DX21" s="137">
        <f t="shared" si="3"/>
        <v>0</v>
      </c>
      <c r="DZ21" s="101" t="s">
        <v>123</v>
      </c>
      <c r="EA21" s="136">
        <f t="shared" ref="EA21:FF21" si="4">IF($F$20&gt;=EA20,1,0)</f>
        <v>1</v>
      </c>
      <c r="EB21" s="136">
        <f t="shared" si="4"/>
        <v>1</v>
      </c>
      <c r="EC21" s="136">
        <f t="shared" si="4"/>
        <v>1</v>
      </c>
      <c r="ED21" s="136">
        <f t="shared" si="4"/>
        <v>1</v>
      </c>
      <c r="EE21" s="136">
        <f t="shared" si="4"/>
        <v>1</v>
      </c>
      <c r="EF21" s="136">
        <f t="shared" si="4"/>
        <v>0</v>
      </c>
      <c r="EG21" s="136">
        <f t="shared" si="4"/>
        <v>0</v>
      </c>
      <c r="EH21" s="136">
        <f t="shared" si="4"/>
        <v>0</v>
      </c>
      <c r="EI21" s="136">
        <f t="shared" si="4"/>
        <v>0</v>
      </c>
      <c r="EJ21" s="136">
        <f t="shared" si="4"/>
        <v>0</v>
      </c>
      <c r="EK21" s="136">
        <f t="shared" si="4"/>
        <v>0</v>
      </c>
      <c r="EL21" s="136">
        <f t="shared" si="4"/>
        <v>0</v>
      </c>
      <c r="EM21" s="136">
        <f t="shared" si="4"/>
        <v>0</v>
      </c>
      <c r="EN21" s="136">
        <f t="shared" si="4"/>
        <v>0</v>
      </c>
      <c r="EO21" s="136">
        <f t="shared" si="4"/>
        <v>0</v>
      </c>
      <c r="EP21" s="136">
        <f t="shared" si="4"/>
        <v>0</v>
      </c>
      <c r="EQ21" s="136">
        <f t="shared" si="4"/>
        <v>0</v>
      </c>
      <c r="ER21" s="136">
        <f t="shared" si="4"/>
        <v>0</v>
      </c>
      <c r="ES21" s="136">
        <f t="shared" si="4"/>
        <v>0</v>
      </c>
      <c r="ET21" s="136">
        <f t="shared" si="4"/>
        <v>0</v>
      </c>
      <c r="EU21" s="136">
        <f t="shared" si="4"/>
        <v>0</v>
      </c>
      <c r="EV21" s="136">
        <f t="shared" si="4"/>
        <v>0</v>
      </c>
      <c r="EW21" s="136">
        <f t="shared" si="4"/>
        <v>0</v>
      </c>
      <c r="EX21" s="136">
        <f t="shared" si="4"/>
        <v>0</v>
      </c>
      <c r="EY21" s="136">
        <f t="shared" si="4"/>
        <v>0</v>
      </c>
      <c r="EZ21" s="136">
        <f t="shared" si="4"/>
        <v>0</v>
      </c>
      <c r="FA21" s="136">
        <f t="shared" si="4"/>
        <v>0</v>
      </c>
      <c r="FB21" s="136">
        <f t="shared" si="4"/>
        <v>0</v>
      </c>
      <c r="FC21" s="136">
        <f t="shared" si="4"/>
        <v>0</v>
      </c>
      <c r="FD21" s="136">
        <f t="shared" si="4"/>
        <v>0</v>
      </c>
      <c r="FE21" s="136">
        <f t="shared" si="4"/>
        <v>0</v>
      </c>
      <c r="FF21" s="136">
        <f t="shared" si="4"/>
        <v>0</v>
      </c>
      <c r="FG21" s="136">
        <f t="shared" ref="FG21:GB21" si="5">IF($F$20&gt;=FG20,1,0)</f>
        <v>0</v>
      </c>
      <c r="FH21" s="136">
        <f t="shared" si="5"/>
        <v>0</v>
      </c>
      <c r="FI21" s="136">
        <f t="shared" si="5"/>
        <v>0</v>
      </c>
      <c r="FJ21" s="136">
        <f t="shared" si="5"/>
        <v>0</v>
      </c>
      <c r="FK21" s="136">
        <f t="shared" si="5"/>
        <v>0</v>
      </c>
      <c r="FL21" s="136">
        <f t="shared" si="5"/>
        <v>0</v>
      </c>
      <c r="FM21" s="136">
        <f t="shared" si="5"/>
        <v>0</v>
      </c>
      <c r="FN21" s="136">
        <f t="shared" si="5"/>
        <v>0</v>
      </c>
      <c r="FO21" s="136">
        <f t="shared" si="5"/>
        <v>0</v>
      </c>
      <c r="FP21" s="136">
        <f t="shared" si="5"/>
        <v>0</v>
      </c>
      <c r="FQ21" s="136">
        <f t="shared" si="5"/>
        <v>0</v>
      </c>
      <c r="FR21" s="136">
        <f t="shared" si="5"/>
        <v>0</v>
      </c>
      <c r="FS21" s="136">
        <f t="shared" si="5"/>
        <v>0</v>
      </c>
      <c r="FT21" s="136">
        <f t="shared" si="5"/>
        <v>0</v>
      </c>
      <c r="FU21" s="136">
        <f t="shared" si="5"/>
        <v>0</v>
      </c>
      <c r="FV21" s="136">
        <f t="shared" si="5"/>
        <v>0</v>
      </c>
      <c r="FW21" s="136">
        <f t="shared" si="5"/>
        <v>0</v>
      </c>
      <c r="FX21" s="136">
        <f t="shared" si="5"/>
        <v>0</v>
      </c>
      <c r="FY21" s="136">
        <f t="shared" si="5"/>
        <v>0</v>
      </c>
      <c r="FZ21" s="136">
        <f t="shared" si="5"/>
        <v>0</v>
      </c>
      <c r="GA21" s="136">
        <f t="shared" si="5"/>
        <v>0</v>
      </c>
      <c r="GB21" s="137">
        <f t="shared" si="5"/>
        <v>0</v>
      </c>
    </row>
    <row r="22" spans="1:184" ht="18" customHeight="1" x14ac:dyDescent="0.5">
      <c r="A22" s="88"/>
      <c r="B22" s="96"/>
      <c r="C22" s="119"/>
      <c r="D22" s="119" t="s">
        <v>68</v>
      </c>
      <c r="E22" s="119" t="s">
        <v>91</v>
      </c>
      <c r="F22" s="138" t="s">
        <v>69</v>
      </c>
      <c r="G22" s="96" t="s">
        <v>124</v>
      </c>
      <c r="H22" s="98" t="s">
        <v>125</v>
      </c>
      <c r="I22" s="118" t="s">
        <v>68</v>
      </c>
      <c r="J22" s="119" t="s">
        <v>91</v>
      </c>
      <c r="K22" s="138" t="s">
        <v>69</v>
      </c>
      <c r="L22" s="96" t="s">
        <v>68</v>
      </c>
      <c r="M22" s="97" t="s">
        <v>91</v>
      </c>
      <c r="N22" s="98" t="s">
        <v>69</v>
      </c>
      <c r="R22" s="139" t="s">
        <v>126</v>
      </c>
      <c r="S22" s="140">
        <f t="shared" ref="S22:AX22" si="6">IF(AND(S20&gt;=$E$18,S20&lt;=$E$20),1,0)</f>
        <v>1</v>
      </c>
      <c r="T22" s="140">
        <f t="shared" si="6"/>
        <v>1</v>
      </c>
      <c r="U22" s="140">
        <f t="shared" si="6"/>
        <v>1</v>
      </c>
      <c r="V22" s="140">
        <f t="shared" si="6"/>
        <v>1</v>
      </c>
      <c r="W22" s="140">
        <f t="shared" si="6"/>
        <v>1</v>
      </c>
      <c r="X22" s="140">
        <f t="shared" si="6"/>
        <v>0</v>
      </c>
      <c r="Y22" s="140">
        <f t="shared" si="6"/>
        <v>0</v>
      </c>
      <c r="Z22" s="140">
        <f t="shared" si="6"/>
        <v>0</v>
      </c>
      <c r="AA22" s="140">
        <f t="shared" si="6"/>
        <v>0</v>
      </c>
      <c r="AB22" s="140">
        <f t="shared" si="6"/>
        <v>0</v>
      </c>
      <c r="AC22" s="140">
        <f t="shared" si="6"/>
        <v>0</v>
      </c>
      <c r="AD22" s="140">
        <f t="shared" si="6"/>
        <v>0</v>
      </c>
      <c r="AE22" s="140">
        <f t="shared" si="6"/>
        <v>0</v>
      </c>
      <c r="AF22" s="140">
        <f t="shared" si="6"/>
        <v>0</v>
      </c>
      <c r="AG22" s="140">
        <f t="shared" si="6"/>
        <v>0</v>
      </c>
      <c r="AH22" s="140">
        <f t="shared" si="6"/>
        <v>0</v>
      </c>
      <c r="AI22" s="140">
        <f t="shared" si="6"/>
        <v>0</v>
      </c>
      <c r="AJ22" s="140">
        <f t="shared" si="6"/>
        <v>0</v>
      </c>
      <c r="AK22" s="140">
        <f t="shared" si="6"/>
        <v>0</v>
      </c>
      <c r="AL22" s="140">
        <f t="shared" si="6"/>
        <v>0</v>
      </c>
      <c r="AM22" s="140">
        <f t="shared" si="6"/>
        <v>0</v>
      </c>
      <c r="AN22" s="140">
        <f t="shared" si="6"/>
        <v>0</v>
      </c>
      <c r="AO22" s="140">
        <f t="shared" si="6"/>
        <v>0</v>
      </c>
      <c r="AP22" s="140">
        <f t="shared" si="6"/>
        <v>0</v>
      </c>
      <c r="AQ22" s="140">
        <f t="shared" si="6"/>
        <v>0</v>
      </c>
      <c r="AR22" s="140">
        <f t="shared" si="6"/>
        <v>0</v>
      </c>
      <c r="AS22" s="140">
        <f t="shared" si="6"/>
        <v>0</v>
      </c>
      <c r="AT22" s="140">
        <f t="shared" si="6"/>
        <v>0</v>
      </c>
      <c r="AU22" s="140">
        <f t="shared" si="6"/>
        <v>0</v>
      </c>
      <c r="AV22" s="140">
        <f t="shared" si="6"/>
        <v>0</v>
      </c>
      <c r="AW22" s="140">
        <f t="shared" si="6"/>
        <v>0</v>
      </c>
      <c r="AX22" s="140">
        <f t="shared" si="6"/>
        <v>0</v>
      </c>
      <c r="AY22" s="140">
        <f t="shared" ref="AY22:BT22" si="7">IF(AND(AY20&gt;=$E$18,AY20&lt;=$E$20),1,0)</f>
        <v>0</v>
      </c>
      <c r="AZ22" s="140">
        <f t="shared" si="7"/>
        <v>0</v>
      </c>
      <c r="BA22" s="140">
        <f t="shared" si="7"/>
        <v>0</v>
      </c>
      <c r="BB22" s="140">
        <f t="shared" si="7"/>
        <v>0</v>
      </c>
      <c r="BC22" s="140">
        <f t="shared" si="7"/>
        <v>0</v>
      </c>
      <c r="BD22" s="140">
        <f t="shared" si="7"/>
        <v>0</v>
      </c>
      <c r="BE22" s="140">
        <f t="shared" si="7"/>
        <v>0</v>
      </c>
      <c r="BF22" s="140">
        <f t="shared" si="7"/>
        <v>0</v>
      </c>
      <c r="BG22" s="140">
        <f t="shared" si="7"/>
        <v>0</v>
      </c>
      <c r="BH22" s="140">
        <f t="shared" si="7"/>
        <v>0</v>
      </c>
      <c r="BI22" s="140">
        <f t="shared" si="7"/>
        <v>0</v>
      </c>
      <c r="BJ22" s="140">
        <f t="shared" si="7"/>
        <v>0</v>
      </c>
      <c r="BK22" s="140">
        <f t="shared" si="7"/>
        <v>0</v>
      </c>
      <c r="BL22" s="140">
        <f t="shared" si="7"/>
        <v>0</v>
      </c>
      <c r="BM22" s="140">
        <f t="shared" si="7"/>
        <v>0</v>
      </c>
      <c r="BN22" s="140">
        <f t="shared" si="7"/>
        <v>0</v>
      </c>
      <c r="BO22" s="140">
        <f t="shared" si="7"/>
        <v>0</v>
      </c>
      <c r="BP22" s="140">
        <f t="shared" si="7"/>
        <v>0</v>
      </c>
      <c r="BQ22" s="140">
        <f t="shared" si="7"/>
        <v>0</v>
      </c>
      <c r="BR22" s="140">
        <f t="shared" si="7"/>
        <v>0</v>
      </c>
      <c r="BS22" s="140">
        <f t="shared" si="7"/>
        <v>0</v>
      </c>
      <c r="BT22" s="141">
        <f t="shared" si="7"/>
        <v>0</v>
      </c>
      <c r="BV22" s="139" t="s">
        <v>126</v>
      </c>
      <c r="BW22" s="140">
        <f t="shared" ref="BW22:DB22" si="8">IF(AND(BW20&gt;=$D$18,BW20&lt;=$D$20),1,0)</f>
        <v>1</v>
      </c>
      <c r="BX22" s="140">
        <f t="shared" si="8"/>
        <v>1</v>
      </c>
      <c r="BY22" s="140">
        <f t="shared" si="8"/>
        <v>1</v>
      </c>
      <c r="BZ22" s="140">
        <f t="shared" si="8"/>
        <v>1</v>
      </c>
      <c r="CA22" s="140">
        <f t="shared" si="8"/>
        <v>1</v>
      </c>
      <c r="CB22" s="140">
        <f t="shared" si="8"/>
        <v>0</v>
      </c>
      <c r="CC22" s="140">
        <f t="shared" si="8"/>
        <v>0</v>
      </c>
      <c r="CD22" s="140">
        <f t="shared" si="8"/>
        <v>0</v>
      </c>
      <c r="CE22" s="140">
        <f t="shared" si="8"/>
        <v>0</v>
      </c>
      <c r="CF22" s="140">
        <f t="shared" si="8"/>
        <v>0</v>
      </c>
      <c r="CG22" s="140">
        <f t="shared" si="8"/>
        <v>0</v>
      </c>
      <c r="CH22" s="140">
        <f t="shared" si="8"/>
        <v>0</v>
      </c>
      <c r="CI22" s="140">
        <f t="shared" si="8"/>
        <v>0</v>
      </c>
      <c r="CJ22" s="140">
        <f t="shared" si="8"/>
        <v>0</v>
      </c>
      <c r="CK22" s="140">
        <f t="shared" si="8"/>
        <v>0</v>
      </c>
      <c r="CL22" s="140">
        <f t="shared" si="8"/>
        <v>0</v>
      </c>
      <c r="CM22" s="140">
        <f t="shared" si="8"/>
        <v>0</v>
      </c>
      <c r="CN22" s="140">
        <f t="shared" si="8"/>
        <v>0</v>
      </c>
      <c r="CO22" s="140">
        <f t="shared" si="8"/>
        <v>0</v>
      </c>
      <c r="CP22" s="140">
        <f t="shared" si="8"/>
        <v>0</v>
      </c>
      <c r="CQ22" s="140">
        <f t="shared" si="8"/>
        <v>0</v>
      </c>
      <c r="CR22" s="140">
        <f t="shared" si="8"/>
        <v>0</v>
      </c>
      <c r="CS22" s="140">
        <f t="shared" si="8"/>
        <v>0</v>
      </c>
      <c r="CT22" s="140">
        <f t="shared" si="8"/>
        <v>0</v>
      </c>
      <c r="CU22" s="140">
        <f t="shared" si="8"/>
        <v>0</v>
      </c>
      <c r="CV22" s="140">
        <f t="shared" si="8"/>
        <v>0</v>
      </c>
      <c r="CW22" s="140">
        <f t="shared" si="8"/>
        <v>0</v>
      </c>
      <c r="CX22" s="140">
        <f t="shared" si="8"/>
        <v>0</v>
      </c>
      <c r="CY22" s="140">
        <f t="shared" si="8"/>
        <v>0</v>
      </c>
      <c r="CZ22" s="140">
        <f t="shared" si="8"/>
        <v>0</v>
      </c>
      <c r="DA22" s="140">
        <f t="shared" si="8"/>
        <v>0</v>
      </c>
      <c r="DB22" s="140">
        <f t="shared" si="8"/>
        <v>0</v>
      </c>
      <c r="DC22" s="140">
        <f t="shared" ref="DC22:DX22" si="9">IF(AND(DC20&gt;=$D$18,DC20&lt;=$D$20),1,0)</f>
        <v>0</v>
      </c>
      <c r="DD22" s="140">
        <f t="shared" si="9"/>
        <v>0</v>
      </c>
      <c r="DE22" s="140">
        <f t="shared" si="9"/>
        <v>0</v>
      </c>
      <c r="DF22" s="140">
        <f t="shared" si="9"/>
        <v>0</v>
      </c>
      <c r="DG22" s="140">
        <f t="shared" si="9"/>
        <v>0</v>
      </c>
      <c r="DH22" s="140">
        <f t="shared" si="9"/>
        <v>0</v>
      </c>
      <c r="DI22" s="140">
        <f t="shared" si="9"/>
        <v>0</v>
      </c>
      <c r="DJ22" s="140">
        <f t="shared" si="9"/>
        <v>0</v>
      </c>
      <c r="DK22" s="140">
        <f t="shared" si="9"/>
        <v>0</v>
      </c>
      <c r="DL22" s="140">
        <f t="shared" si="9"/>
        <v>0</v>
      </c>
      <c r="DM22" s="140">
        <f t="shared" si="9"/>
        <v>0</v>
      </c>
      <c r="DN22" s="140">
        <f t="shared" si="9"/>
        <v>0</v>
      </c>
      <c r="DO22" s="140">
        <f t="shared" si="9"/>
        <v>0</v>
      </c>
      <c r="DP22" s="140">
        <f t="shared" si="9"/>
        <v>0</v>
      </c>
      <c r="DQ22" s="140">
        <f t="shared" si="9"/>
        <v>0</v>
      </c>
      <c r="DR22" s="140">
        <f t="shared" si="9"/>
        <v>0</v>
      </c>
      <c r="DS22" s="140">
        <f t="shared" si="9"/>
        <v>0</v>
      </c>
      <c r="DT22" s="140">
        <f t="shared" si="9"/>
        <v>0</v>
      </c>
      <c r="DU22" s="140">
        <f t="shared" si="9"/>
        <v>0</v>
      </c>
      <c r="DV22" s="140">
        <f t="shared" si="9"/>
        <v>0</v>
      </c>
      <c r="DW22" s="140">
        <f t="shared" si="9"/>
        <v>0</v>
      </c>
      <c r="DX22" s="141">
        <f t="shared" si="9"/>
        <v>0</v>
      </c>
      <c r="DZ22" s="139" t="s">
        <v>126</v>
      </c>
      <c r="EA22" s="140">
        <f t="shared" ref="EA22:FF22" si="10">IF(AND(EA20&gt;=$F$18,EA20&lt;=$F$20),1,0)</f>
        <v>1</v>
      </c>
      <c r="EB22" s="140">
        <f t="shared" si="10"/>
        <v>1</v>
      </c>
      <c r="EC22" s="140">
        <f t="shared" si="10"/>
        <v>1</v>
      </c>
      <c r="ED22" s="140">
        <f t="shared" si="10"/>
        <v>1</v>
      </c>
      <c r="EE22" s="140">
        <f t="shared" si="10"/>
        <v>1</v>
      </c>
      <c r="EF22" s="140">
        <f t="shared" si="10"/>
        <v>0</v>
      </c>
      <c r="EG22" s="140">
        <f t="shared" si="10"/>
        <v>0</v>
      </c>
      <c r="EH22" s="140">
        <f t="shared" si="10"/>
        <v>0</v>
      </c>
      <c r="EI22" s="140">
        <f t="shared" si="10"/>
        <v>0</v>
      </c>
      <c r="EJ22" s="140">
        <f t="shared" si="10"/>
        <v>0</v>
      </c>
      <c r="EK22" s="140">
        <f t="shared" si="10"/>
        <v>0</v>
      </c>
      <c r="EL22" s="140">
        <f t="shared" si="10"/>
        <v>0</v>
      </c>
      <c r="EM22" s="140">
        <f t="shared" si="10"/>
        <v>0</v>
      </c>
      <c r="EN22" s="140">
        <f t="shared" si="10"/>
        <v>0</v>
      </c>
      <c r="EO22" s="140">
        <f t="shared" si="10"/>
        <v>0</v>
      </c>
      <c r="EP22" s="140">
        <f t="shared" si="10"/>
        <v>0</v>
      </c>
      <c r="EQ22" s="140">
        <f t="shared" si="10"/>
        <v>0</v>
      </c>
      <c r="ER22" s="140">
        <f t="shared" si="10"/>
        <v>0</v>
      </c>
      <c r="ES22" s="140">
        <f t="shared" si="10"/>
        <v>0</v>
      </c>
      <c r="ET22" s="140">
        <f t="shared" si="10"/>
        <v>0</v>
      </c>
      <c r="EU22" s="140">
        <f t="shared" si="10"/>
        <v>0</v>
      </c>
      <c r="EV22" s="140">
        <f t="shared" si="10"/>
        <v>0</v>
      </c>
      <c r="EW22" s="140">
        <f t="shared" si="10"/>
        <v>0</v>
      </c>
      <c r="EX22" s="140">
        <f t="shared" si="10"/>
        <v>0</v>
      </c>
      <c r="EY22" s="140">
        <f t="shared" si="10"/>
        <v>0</v>
      </c>
      <c r="EZ22" s="140">
        <f t="shared" si="10"/>
        <v>0</v>
      </c>
      <c r="FA22" s="140">
        <f t="shared" si="10"/>
        <v>0</v>
      </c>
      <c r="FB22" s="140">
        <f t="shared" si="10"/>
        <v>0</v>
      </c>
      <c r="FC22" s="140">
        <f t="shared" si="10"/>
        <v>0</v>
      </c>
      <c r="FD22" s="140">
        <f t="shared" si="10"/>
        <v>0</v>
      </c>
      <c r="FE22" s="140">
        <f t="shared" si="10"/>
        <v>0</v>
      </c>
      <c r="FF22" s="140">
        <f t="shared" si="10"/>
        <v>0</v>
      </c>
      <c r="FG22" s="140">
        <f t="shared" ref="FG22:GB22" si="11">IF(AND(FG20&gt;=$F$18,FG20&lt;=$F$20),1,0)</f>
        <v>0</v>
      </c>
      <c r="FH22" s="140">
        <f t="shared" si="11"/>
        <v>0</v>
      </c>
      <c r="FI22" s="140">
        <f t="shared" si="11"/>
        <v>0</v>
      </c>
      <c r="FJ22" s="140">
        <f t="shared" si="11"/>
        <v>0</v>
      </c>
      <c r="FK22" s="140">
        <f t="shared" si="11"/>
        <v>0</v>
      </c>
      <c r="FL22" s="140">
        <f t="shared" si="11"/>
        <v>0</v>
      </c>
      <c r="FM22" s="140">
        <f t="shared" si="11"/>
        <v>0</v>
      </c>
      <c r="FN22" s="140">
        <f t="shared" si="11"/>
        <v>0</v>
      </c>
      <c r="FO22" s="140">
        <f t="shared" si="11"/>
        <v>0</v>
      </c>
      <c r="FP22" s="140">
        <f t="shared" si="11"/>
        <v>0</v>
      </c>
      <c r="FQ22" s="140">
        <f t="shared" si="11"/>
        <v>0</v>
      </c>
      <c r="FR22" s="140">
        <f t="shared" si="11"/>
        <v>0</v>
      </c>
      <c r="FS22" s="140">
        <f t="shared" si="11"/>
        <v>0</v>
      </c>
      <c r="FT22" s="140">
        <f t="shared" si="11"/>
        <v>0</v>
      </c>
      <c r="FU22" s="140">
        <f t="shared" si="11"/>
        <v>0</v>
      </c>
      <c r="FV22" s="140">
        <f t="shared" si="11"/>
        <v>0</v>
      </c>
      <c r="FW22" s="140">
        <f t="shared" si="11"/>
        <v>0</v>
      </c>
      <c r="FX22" s="140">
        <f t="shared" si="11"/>
        <v>0</v>
      </c>
      <c r="FY22" s="140">
        <f t="shared" si="11"/>
        <v>0</v>
      </c>
      <c r="FZ22" s="140">
        <f t="shared" si="11"/>
        <v>0</v>
      </c>
      <c r="GA22" s="140">
        <f t="shared" si="11"/>
        <v>0</v>
      </c>
      <c r="GB22" s="141">
        <f t="shared" si="11"/>
        <v>0</v>
      </c>
    </row>
    <row r="23" spans="1:184" ht="17.25" customHeight="1" x14ac:dyDescent="0.5">
      <c r="A23" s="88"/>
      <c r="B23" s="322" t="s">
        <v>127</v>
      </c>
      <c r="C23" s="89" t="s">
        <v>226</v>
      </c>
      <c r="D23" s="142">
        <f>IF(D11&gt;G11,IFERROR((D11-G11)/D11,0),0)</f>
        <v>0.2</v>
      </c>
      <c r="E23" s="142">
        <f>IF(E11&gt;H11,IFERROR((E11-H11)/E11,0),0)</f>
        <v>0.2</v>
      </c>
      <c r="F23" s="142">
        <f>IF(F11&gt;I11,IFERROR((F11-I11)/F11,0),0)</f>
        <v>0.20000000000000009</v>
      </c>
      <c r="G23" s="1">
        <v>99</v>
      </c>
      <c r="H23" s="143">
        <v>99</v>
      </c>
      <c r="I23" s="144">
        <f>J23*2</f>
        <v>0</v>
      </c>
      <c r="J23" s="145">
        <v>0</v>
      </c>
      <c r="K23" s="146">
        <f>J23*0.5</f>
        <v>0</v>
      </c>
      <c r="L23" s="147">
        <f>'Allgemeine Unternehmensdaten'!$E$8</f>
        <v>0.04</v>
      </c>
      <c r="M23" s="148">
        <f>'Allgemeine Unternehmensdaten'!$F$8</f>
        <v>0.03</v>
      </c>
      <c r="N23" s="149">
        <f>'Allgemeine Unternehmensdaten'!$G$8</f>
        <v>0.02</v>
      </c>
      <c r="R23" s="150" t="s">
        <v>128</v>
      </c>
      <c r="S23" s="151">
        <f>'Allgemeine Unternehmensdaten'!$F$7*S22*$E11*$E23*($M23+1)^(S20)/((1+$J23)^(S$20))</f>
        <v>4360</v>
      </c>
      <c r="T23" s="151">
        <f>'Allgemeine Unternehmensdaten'!$F$7*T22*$E11*$E23*($M23+1)^(T20)/((1+$J23)^(T$20))</f>
        <v>4490.8</v>
      </c>
      <c r="U23" s="151">
        <f>'Allgemeine Unternehmensdaten'!$F$7*U22*$E11*$E23*($M23+1)^(U20)/((1+$J23)^(U$20))</f>
        <v>4625.5239999999994</v>
      </c>
      <c r="V23" s="151">
        <f>'Allgemeine Unternehmensdaten'!$F$7*V22*$E11*$E23*($M23+1)^(V20)/((1+$J23)^(V$20))</f>
        <v>4764.2897199999998</v>
      </c>
      <c r="W23" s="151">
        <f>'Allgemeine Unternehmensdaten'!$F$7*W22*$E11*$E23*($M23+1)^(W20)/((1+$J23)^(W$20))</f>
        <v>4907.2184115999999</v>
      </c>
      <c r="X23" s="151">
        <f>'Allgemeine Unternehmensdaten'!$F$7*X22*$E11*$E23*($M23+1)^(X20)/((1+$J23)^(X$20))</f>
        <v>0</v>
      </c>
      <c r="Y23" s="151">
        <f>'Allgemeine Unternehmensdaten'!$F$7*Y22*$E11*$E23*($M23+1)^(Y20)/((1+$J23)^(Y$20))</f>
        <v>0</v>
      </c>
      <c r="Z23" s="151">
        <f>'Allgemeine Unternehmensdaten'!$F$7*Z22*$E11*$E23*($M23+1)^(Z20)/((1+$J23)^(Z$20))</f>
        <v>0</v>
      </c>
      <c r="AA23" s="151">
        <f>'Allgemeine Unternehmensdaten'!$F$7*AA22*$E11*$E23*($M23+1)^(AA20)/((1+$J23)^(AA$20))</f>
        <v>0</v>
      </c>
      <c r="AB23" s="151">
        <f>'Allgemeine Unternehmensdaten'!$F$7*AB22*$E11*$E23*($M23+1)^(AB20)/((1+$J23)^(AB$20))</f>
        <v>0</v>
      </c>
      <c r="AC23" s="151">
        <f>'Allgemeine Unternehmensdaten'!$F$7*AC22*$E11*$E23*($M23+1)^(AC20)/((1+$J23)^(AC$20))</f>
        <v>0</v>
      </c>
      <c r="AD23" s="151">
        <f>'Allgemeine Unternehmensdaten'!$F$7*AD22*$E11*$E23*($M23+1)^(AD20)/((1+$J23)^(AD$20))</f>
        <v>0</v>
      </c>
      <c r="AE23" s="151">
        <f>'Allgemeine Unternehmensdaten'!$F$7*AE22*$E11*$E23*($M23+1)^(AE20)/((1+$J23)^(AE$20))</f>
        <v>0</v>
      </c>
      <c r="AF23" s="151">
        <f>'Allgemeine Unternehmensdaten'!$F$7*AF22*$E11*$E23*($M23+1)^(AF20)/((1+$J23)^(AF$20))</f>
        <v>0</v>
      </c>
      <c r="AG23" s="151">
        <f>'Allgemeine Unternehmensdaten'!$F$7*AG22*$E11*$E23*($M23+1)^(AG20)/((1+$J23)^(AG$20))</f>
        <v>0</v>
      </c>
      <c r="AH23" s="151">
        <f>'Allgemeine Unternehmensdaten'!$F$7*AH22*$E11*$E23*($M23+1)^(AH20)/((1+$J23)^(AH$20))</f>
        <v>0</v>
      </c>
      <c r="AI23" s="151">
        <f>'Allgemeine Unternehmensdaten'!$F$7*AI22*$E11*$E23*($M23+1)^(AI20)/((1+$J23)^(AI$20))</f>
        <v>0</v>
      </c>
      <c r="AJ23" s="151">
        <f>'Allgemeine Unternehmensdaten'!$F$7*AJ22*$E11*$E23*($M23+1)^(AJ20)/((1+$J23)^(AJ$20))</f>
        <v>0</v>
      </c>
      <c r="AK23" s="151">
        <f>'Allgemeine Unternehmensdaten'!$F$7*AK22*$E11*$E23*($M23+1)^(AK20)/((1+$J23)^(AK$20))</f>
        <v>0</v>
      </c>
      <c r="AL23" s="151">
        <f>'Allgemeine Unternehmensdaten'!$F$7*AL22*$E11*$E23*($M23+1)^(AL20)/((1+$J23)^(AL$20))</f>
        <v>0</v>
      </c>
      <c r="AM23" s="151">
        <f>'Allgemeine Unternehmensdaten'!$F$7*AM22*$E11*$E23*($M23+1)^(AM20)/((1+$J23)^(AM$20))</f>
        <v>0</v>
      </c>
      <c r="AN23" s="151">
        <f>'Allgemeine Unternehmensdaten'!$F$7*AN22*$E11*$E23*($M23+1)^(AN20)/((1+$J23)^(AN$20))</f>
        <v>0</v>
      </c>
      <c r="AO23" s="151">
        <f>'Allgemeine Unternehmensdaten'!$F$7*AO22*$E11*$E23*($M23+1)^(AO20)/((1+$J23)^(AO$20))</f>
        <v>0</v>
      </c>
      <c r="AP23" s="151">
        <f>'Allgemeine Unternehmensdaten'!$F$7*AP22*$E11*$E23*($M23+1)^(AP20)/((1+$J23)^(AP$20))</f>
        <v>0</v>
      </c>
      <c r="AQ23" s="151">
        <f>'Allgemeine Unternehmensdaten'!$F$7*AQ22*$E11*$E23*($M23+1)^(AQ20)/((1+$J23)^(AQ$20))</f>
        <v>0</v>
      </c>
      <c r="AR23" s="151">
        <f>'Allgemeine Unternehmensdaten'!$F$7*AR22*$E11*$E23*($M23+1)^(AR20)/((1+$J23)^(AR$20))</f>
        <v>0</v>
      </c>
      <c r="AS23" s="151">
        <f>'Allgemeine Unternehmensdaten'!$F$7*AS22*$E11*$E23*($M23+1)^(AS20)/((1+$J23)^(AS$20))</f>
        <v>0</v>
      </c>
      <c r="AT23" s="151">
        <f>'Allgemeine Unternehmensdaten'!$F$7*AT22*$E11*$E23*($M23+1)^(AT20)/((1+$J23)^(AT$20))</f>
        <v>0</v>
      </c>
      <c r="AU23" s="151">
        <f>'Allgemeine Unternehmensdaten'!$F$7*AU22*$E11*$E23*($M23+1)^(AU20)/((1+$J23)^(AU$20))</f>
        <v>0</v>
      </c>
      <c r="AV23" s="151">
        <f>'Allgemeine Unternehmensdaten'!$F$7*AV22*$E11*$E23*($M23+1)^(AV20)/((1+$J23)^(AV$20))</f>
        <v>0</v>
      </c>
      <c r="AW23" s="151">
        <f>'Allgemeine Unternehmensdaten'!$F$7*AW22*$E11*$E23*($M23+1)^(AW20)/((1+$J23)^(AW$20))</f>
        <v>0</v>
      </c>
      <c r="AX23" s="151">
        <f>'Allgemeine Unternehmensdaten'!$F$7*AX22*$E11*$E23*($M23+1)^(AX20)/((1+$J23)^(AX$20))</f>
        <v>0</v>
      </c>
      <c r="AY23" s="151">
        <f>'Allgemeine Unternehmensdaten'!$F$7*AY22*$E11*$E23*($M23+1)^(AY20)/((1+$J23)^(AY$20))</f>
        <v>0</v>
      </c>
      <c r="AZ23" s="151">
        <f>'Allgemeine Unternehmensdaten'!$F$7*AZ22*$E11*$E23*($M23+1)^(AZ20)/((1+$J23)^(AZ$20))</f>
        <v>0</v>
      </c>
      <c r="BA23" s="151">
        <f>'Allgemeine Unternehmensdaten'!$F$7*BA22*$E11*$E23*($M23+1)^(BA20)/((1+$J23)^(BA$20))</f>
        <v>0</v>
      </c>
      <c r="BB23" s="151">
        <f>'Allgemeine Unternehmensdaten'!$F$7*BB22*$E11*$E23*($M23+1)^(BB20)/((1+$J23)^(BB$20))</f>
        <v>0</v>
      </c>
      <c r="BC23" s="151">
        <f>'Allgemeine Unternehmensdaten'!$F$7*BC22*$E11*$E23*($M23+1)^(BC20)/((1+$J23)^(BC$20))</f>
        <v>0</v>
      </c>
      <c r="BD23" s="151">
        <f>'Allgemeine Unternehmensdaten'!$F$7*BD22*$E11*$E23*($M23+1)^(BD20)/((1+$J23)^(BD$20))</f>
        <v>0</v>
      </c>
      <c r="BE23" s="151">
        <f>'Allgemeine Unternehmensdaten'!$F$7*BE22*$E11*$E23*($M23+1)^(BE20)/((1+$J23)^(BE$20))</f>
        <v>0</v>
      </c>
      <c r="BF23" s="151">
        <f>'Allgemeine Unternehmensdaten'!$F$7*BF22*$E11*$E23*($M23+1)^(BF20)/((1+$J23)^(BF$20))</f>
        <v>0</v>
      </c>
      <c r="BG23" s="151">
        <f>'Allgemeine Unternehmensdaten'!$F$7*BG22*$E11*$E23*($M23+1)^(BG20)/((1+$J23)^(BG$20))</f>
        <v>0</v>
      </c>
      <c r="BH23" s="151">
        <f>'Allgemeine Unternehmensdaten'!$F$7*BH22*$E11*$E23*($M23+1)^(BH20)/((1+$J23)^(BH$20))</f>
        <v>0</v>
      </c>
      <c r="BI23" s="151">
        <f>'Allgemeine Unternehmensdaten'!$F$7*BI22*$E11*$E23*($M23+1)^(BI20)/((1+$J23)^(BI$20))</f>
        <v>0</v>
      </c>
      <c r="BJ23" s="151">
        <f>'Allgemeine Unternehmensdaten'!$F$7*BJ22*$E11*$E23*($M23+1)^(BJ20)/((1+$J23)^(BJ$20))</f>
        <v>0</v>
      </c>
      <c r="BK23" s="151">
        <f>'Allgemeine Unternehmensdaten'!$F$7*BK22*$E11*$E23*($M23+1)^(BK20)/((1+$J23)^(BK$20))</f>
        <v>0</v>
      </c>
      <c r="BL23" s="151">
        <f>'Allgemeine Unternehmensdaten'!$F$7*BL22*$E11*$E23*($M23+1)^(BL20)/((1+$J23)^(BL$20))</f>
        <v>0</v>
      </c>
      <c r="BM23" s="151">
        <f>'Allgemeine Unternehmensdaten'!$F$7*BM22*$E11*$E23*($M23+1)^(BM20)/((1+$J23)^(BM$20))</f>
        <v>0</v>
      </c>
      <c r="BN23" s="151">
        <f>'Allgemeine Unternehmensdaten'!$F$7*BN22*$E11*$E23*($M23+1)^(BN20)/((1+$J23)^(BN$20))</f>
        <v>0</v>
      </c>
      <c r="BO23" s="151">
        <f>'Allgemeine Unternehmensdaten'!$F$7*BO22*$E11*$E23*($M23+1)^(BO20)/((1+$J23)^(BO$20))</f>
        <v>0</v>
      </c>
      <c r="BP23" s="151">
        <f>'Allgemeine Unternehmensdaten'!$F$7*BP22*$E11*$E23*($M23+1)^(BP20)/((1+$J23)^(BP$20))</f>
        <v>0</v>
      </c>
      <c r="BQ23" s="151">
        <f>'Allgemeine Unternehmensdaten'!$F$7*BQ22*$E11*$E23*($M23+1)^(BQ20)/((1+$J23)^(BQ$20))</f>
        <v>0</v>
      </c>
      <c r="BR23" s="151">
        <f>'Allgemeine Unternehmensdaten'!$F$7*BR22*$E11*$E23*($M23+1)^(BR20)/((1+$J23)^(BR$20))</f>
        <v>0</v>
      </c>
      <c r="BS23" s="151">
        <f>'Allgemeine Unternehmensdaten'!$F$7*BS22*$E11*$E23*($M23+1)^(BS20)/((1+$J23)^(BS$20))</f>
        <v>0</v>
      </c>
      <c r="BT23" s="151">
        <f>'Allgemeine Unternehmensdaten'!$F$7*BT22*$E11*$E23*($M23+1)^(BT20)/((1+$J23)^(BT$20))</f>
        <v>0</v>
      </c>
      <c r="BV23" s="150" t="s">
        <v>128</v>
      </c>
      <c r="BW23" s="151">
        <f>'Allgemeine Unternehmensdaten'!$E$7*BW22*$D11*$D23*($L23+1)^(BW20)/((1+$I23)^(BW$20))</f>
        <v>3096</v>
      </c>
      <c r="BX23" s="151">
        <f>'Allgemeine Unternehmensdaten'!$E$7*BX22*$D11*$D23*($L23+1)^(BX20)/((1+$I23)^(BX$20))</f>
        <v>3219.84</v>
      </c>
      <c r="BY23" s="151">
        <f>'Allgemeine Unternehmensdaten'!$E$7*BY22*$D11*$D23*($L23+1)^(BY20)/((1+$I23)^(BY$20))</f>
        <v>3348.6336000000006</v>
      </c>
      <c r="BZ23" s="151">
        <f>'Allgemeine Unternehmensdaten'!$E$7*BZ22*$D11*$D23*($L23+1)^(BZ20)/((1+$I23)^(BZ$20))</f>
        <v>3482.5789440000003</v>
      </c>
      <c r="CA23" s="151">
        <f>'Allgemeine Unternehmensdaten'!$E$7*CA22*$D11*$D23*($L23+1)^(CA20)/((1+$I23)^(CA$20))</f>
        <v>3621.8821017600008</v>
      </c>
      <c r="CB23" s="151">
        <f>'Allgemeine Unternehmensdaten'!$E$7*CB22*$D11*$D23*($L23+1)^(CB20)/((1+$I23)^(CB$20))</f>
        <v>0</v>
      </c>
      <c r="CC23" s="151">
        <f>'Allgemeine Unternehmensdaten'!$E$7*CC22*$D11*$D23*($L23+1)^(CC20)/((1+$I23)^(CC$20))</f>
        <v>0</v>
      </c>
      <c r="CD23" s="151">
        <f>'Allgemeine Unternehmensdaten'!$E$7*CD22*$D11*$D23*($L23+1)^(CD20)/((1+$I23)^(CD$20))</f>
        <v>0</v>
      </c>
      <c r="CE23" s="151">
        <f>'Allgemeine Unternehmensdaten'!$E$7*CE22*$D11*$D23*($L23+1)^(CE20)/((1+$I23)^(CE$20))</f>
        <v>0</v>
      </c>
      <c r="CF23" s="151">
        <f>'Allgemeine Unternehmensdaten'!$E$7*CF22*$D11*$D23*($L23+1)^(CF20)/((1+$I23)^(CF$20))</f>
        <v>0</v>
      </c>
      <c r="CG23" s="151">
        <f>'Allgemeine Unternehmensdaten'!$E$7*CG22*$D11*$D23*($L23+1)^(CG20)/((1+$I23)^(CG$20))</f>
        <v>0</v>
      </c>
      <c r="CH23" s="151">
        <f>'Allgemeine Unternehmensdaten'!$E$7*CH22*$D11*$D23*($L23+1)^(CH20)/((1+$I23)^(CH$20))</f>
        <v>0</v>
      </c>
      <c r="CI23" s="151">
        <f>'Allgemeine Unternehmensdaten'!$E$7*CI22*$D11*$D23*($L23+1)^(CI20)/((1+$I23)^(CI$20))</f>
        <v>0</v>
      </c>
      <c r="CJ23" s="151">
        <f>'Allgemeine Unternehmensdaten'!$E$7*CJ22*$D11*$D23*($L23+1)^(CJ20)/((1+$I23)^(CJ$20))</f>
        <v>0</v>
      </c>
      <c r="CK23" s="151">
        <f>'Allgemeine Unternehmensdaten'!$E$7*CK22*$D11*$D23*($L23+1)^(CK20)/((1+$I23)^(CK$20))</f>
        <v>0</v>
      </c>
      <c r="CL23" s="151">
        <f>'Allgemeine Unternehmensdaten'!$E$7*CL22*$D11*$D23*($L23+1)^(CL20)/((1+$I23)^(CL$20))</f>
        <v>0</v>
      </c>
      <c r="CM23" s="151">
        <f>'Allgemeine Unternehmensdaten'!$E$7*CM22*$D11*$D23*($L23+1)^(CM20)/((1+$I23)^(CM$20))</f>
        <v>0</v>
      </c>
      <c r="CN23" s="151">
        <f>'Allgemeine Unternehmensdaten'!$E$7*CN22*$D11*$D23*($L23+1)^(CN20)/((1+$I23)^(CN$20))</f>
        <v>0</v>
      </c>
      <c r="CO23" s="151">
        <f>'Allgemeine Unternehmensdaten'!$E$7*CO22*$D11*$D23*($L23+1)^(CO20)/((1+$I23)^(CO$20))</f>
        <v>0</v>
      </c>
      <c r="CP23" s="151">
        <f>'Allgemeine Unternehmensdaten'!$E$7*CP22*$D11*$D23*($L23+1)^(CP20)/((1+$I23)^(CP$20))</f>
        <v>0</v>
      </c>
      <c r="CQ23" s="151">
        <f>'Allgemeine Unternehmensdaten'!$E$7*CQ22*$D11*$D23*($L23+1)^(CQ20)/((1+$I23)^(CQ$20))</f>
        <v>0</v>
      </c>
      <c r="CR23" s="151">
        <f>'Allgemeine Unternehmensdaten'!$E$7*CR22*$D11*$D23*($L23+1)^(CR20)/((1+$I23)^(CR$20))</f>
        <v>0</v>
      </c>
      <c r="CS23" s="151">
        <f>'Allgemeine Unternehmensdaten'!$E$7*CS22*$D11*$D23*($L23+1)^(CS20)/((1+$I23)^(CS$20))</f>
        <v>0</v>
      </c>
      <c r="CT23" s="151">
        <f>'Allgemeine Unternehmensdaten'!$E$7*CT22*$D11*$D23*($L23+1)^(CT20)/((1+$I23)^(CT$20))</f>
        <v>0</v>
      </c>
      <c r="CU23" s="151">
        <f>'Allgemeine Unternehmensdaten'!$E$7*CU22*$D11*$D23*($L23+1)^(CU20)/((1+$I23)^(CU$20))</f>
        <v>0</v>
      </c>
      <c r="CV23" s="151">
        <f>'Allgemeine Unternehmensdaten'!$E$7*CV22*$D11*$D23*($L23+1)^(CV20)/((1+$I23)^(CV$20))</f>
        <v>0</v>
      </c>
      <c r="CW23" s="151">
        <f>'Allgemeine Unternehmensdaten'!$E$7*CW22*$D11*$D23*($L23+1)^(CW20)/((1+$I23)^(CW$20))</f>
        <v>0</v>
      </c>
      <c r="CX23" s="151">
        <f>'Allgemeine Unternehmensdaten'!$E$7*CX22*$D11*$D23*($L23+1)^(CX20)/((1+$I23)^(CX$20))</f>
        <v>0</v>
      </c>
      <c r="CY23" s="151">
        <f>'Allgemeine Unternehmensdaten'!$E$7*CY22*$D11*$D23*($L23+1)^(CY20)/((1+$I23)^(CY$20))</f>
        <v>0</v>
      </c>
      <c r="CZ23" s="151">
        <f>'Allgemeine Unternehmensdaten'!$E$7*CZ22*$D11*$D23*($L23+1)^(CZ20)/((1+$I23)^(CZ$20))</f>
        <v>0</v>
      </c>
      <c r="DA23" s="151">
        <f>'Allgemeine Unternehmensdaten'!$E$7*DA22*$D11*$D23*($L23+1)^(DA20)/((1+$I23)^(DA$20))</f>
        <v>0</v>
      </c>
      <c r="DB23" s="151">
        <f>'Allgemeine Unternehmensdaten'!$E$7*DB22*$D11*$D23*($L23+1)^(DB20)/((1+$I23)^(DB$20))</f>
        <v>0</v>
      </c>
      <c r="DC23" s="151">
        <f>'Allgemeine Unternehmensdaten'!$E$7*DC22*$D11*$D23*($L23+1)^(DC20)/((1+$I23)^(DC$20))</f>
        <v>0</v>
      </c>
      <c r="DD23" s="151">
        <f>'Allgemeine Unternehmensdaten'!$E$7*DD22*$D11*$D23*($L23+1)^(DD20)/((1+$I23)^(DD$20))</f>
        <v>0</v>
      </c>
      <c r="DE23" s="151">
        <f>'Allgemeine Unternehmensdaten'!$E$7*DE22*$D11*$D23*($L23+1)^(DE20)/((1+$I23)^(DE$20))</f>
        <v>0</v>
      </c>
      <c r="DF23" s="151">
        <f>'Allgemeine Unternehmensdaten'!$E$7*DF22*$D11*$D23*($L23+1)^(DF20)/((1+$I23)^(DF$20))</f>
        <v>0</v>
      </c>
      <c r="DG23" s="151">
        <f>'Allgemeine Unternehmensdaten'!$E$7*DG22*$D11*$D23*($L23+1)^(DG20)/((1+$I23)^(DG$20))</f>
        <v>0</v>
      </c>
      <c r="DH23" s="151">
        <f>'Allgemeine Unternehmensdaten'!$E$7*DH22*$D11*$D23*($L23+1)^(DH20)/((1+$I23)^(DH$20))</f>
        <v>0</v>
      </c>
      <c r="DI23" s="151">
        <f>'Allgemeine Unternehmensdaten'!$E$7*DI22*$D11*$D23*($L23+1)^(DI20)/((1+$I23)^(DI$20))</f>
        <v>0</v>
      </c>
      <c r="DJ23" s="151">
        <f>'Allgemeine Unternehmensdaten'!$E$7*DJ22*$D11*$D23*($L23+1)^(DJ20)/((1+$I23)^(DJ$20))</f>
        <v>0</v>
      </c>
      <c r="DK23" s="151">
        <f>'Allgemeine Unternehmensdaten'!$E$7*DK22*$D11*$D23*($L23+1)^(DK20)/((1+$I23)^(DK$20))</f>
        <v>0</v>
      </c>
      <c r="DL23" s="151">
        <f>'Allgemeine Unternehmensdaten'!$E$7*DL22*$D11*$D23*($L23+1)^(DL20)/((1+$I23)^(DL$20))</f>
        <v>0</v>
      </c>
      <c r="DM23" s="151">
        <f>'Allgemeine Unternehmensdaten'!$E$7*DM22*$D11*$D23*($L23+1)^(DM20)/((1+$I23)^(DM$20))</f>
        <v>0</v>
      </c>
      <c r="DN23" s="151">
        <f>'Allgemeine Unternehmensdaten'!$E$7*DN22*$D11*$D23*($L23+1)^(DN20)/((1+$I23)^(DN$20))</f>
        <v>0</v>
      </c>
      <c r="DO23" s="151">
        <f>'Allgemeine Unternehmensdaten'!$E$7*DO22*$D11*$D23*($L23+1)^(DO20)/((1+$I23)^(DO$20))</f>
        <v>0</v>
      </c>
      <c r="DP23" s="151">
        <f>'Allgemeine Unternehmensdaten'!$E$7*DP22*$D11*$D23*($L23+1)^(DP20)/((1+$I23)^(DP$20))</f>
        <v>0</v>
      </c>
      <c r="DQ23" s="151">
        <f>'Allgemeine Unternehmensdaten'!$E$7*DQ22*$D11*$D23*($L23+1)^(DQ20)/((1+$I23)^(DQ$20))</f>
        <v>0</v>
      </c>
      <c r="DR23" s="151">
        <f>'Allgemeine Unternehmensdaten'!$E$7*DR22*$D11*$D23*($L23+1)^(DR20)/((1+$I23)^(DR$20))</f>
        <v>0</v>
      </c>
      <c r="DS23" s="151">
        <f>'Allgemeine Unternehmensdaten'!$E$7*DS22*$D11*$D23*($L23+1)^(DS20)/((1+$I23)^(DS$20))</f>
        <v>0</v>
      </c>
      <c r="DT23" s="151">
        <f>'Allgemeine Unternehmensdaten'!$E$7*DT22*$D11*$D23*($L23+1)^(DT20)/((1+$I23)^(DT$20))</f>
        <v>0</v>
      </c>
      <c r="DU23" s="151">
        <f>'Allgemeine Unternehmensdaten'!$E$7*DU22*$D11*$D23*($L23+1)^(DU20)/((1+$I23)^(DU$20))</f>
        <v>0</v>
      </c>
      <c r="DV23" s="151">
        <f>'Allgemeine Unternehmensdaten'!$E$7*DV22*$D11*$D23*($L23+1)^(DV20)/((1+$I23)^(DV$20))</f>
        <v>0</v>
      </c>
      <c r="DW23" s="151">
        <f>'Allgemeine Unternehmensdaten'!$E$7*DW22*$D11*$D23*($L23+1)^(DW20)/((1+$I23)^(DW$20))</f>
        <v>0</v>
      </c>
      <c r="DX23" s="151">
        <f>'Allgemeine Unternehmensdaten'!$E$7*DX22*$D11*$D23*($L23+1)^(DX20)/((1+$I23)^(DX$20))</f>
        <v>0</v>
      </c>
      <c r="DZ23" s="150" t="s">
        <v>128</v>
      </c>
      <c r="EA23" s="151">
        <f>'Allgemeine Unternehmensdaten'!$G$7*EA22*$F11*$F23*($N23+1)^(EA20)/((1+$K23)^(EA$20))</f>
        <v>5500.0000000000036</v>
      </c>
      <c r="EB23" s="151">
        <f>'Allgemeine Unternehmensdaten'!$G$7*EB22*$F11*$F23*($N23+1)^(EB20)/((1+$K23)^(EB$20))</f>
        <v>5610.0000000000036</v>
      </c>
      <c r="EC23" s="151">
        <f>'Allgemeine Unternehmensdaten'!$G$7*EC22*$F11*$F23*($N23+1)^(EC20)/((1+$K23)^(EC$20))</f>
        <v>5722.2000000000035</v>
      </c>
      <c r="ED23" s="151">
        <f>'Allgemeine Unternehmensdaten'!$G$7*ED22*$F11*$F23*($N23+1)^(ED20)/((1+$K23)^(ED$20))</f>
        <v>5836.6440000000039</v>
      </c>
      <c r="EE23" s="151">
        <f>'Allgemeine Unternehmensdaten'!$G$7*EE22*$F11*$F23*($N23+1)^(EE20)/((1+$K23)^(EE$20))</f>
        <v>5953.3768800000034</v>
      </c>
      <c r="EF23" s="151">
        <f>'Allgemeine Unternehmensdaten'!$G$7*EF22*$F11*$F23*($N23+1)^(EF20)/((1+$K23)^(EF$20))</f>
        <v>0</v>
      </c>
      <c r="EG23" s="151">
        <f>'Allgemeine Unternehmensdaten'!$G$7*EG22*$F11*$F23*($N23+1)^(EG20)/((1+$K23)^(EG$20))</f>
        <v>0</v>
      </c>
      <c r="EH23" s="151">
        <f>'Allgemeine Unternehmensdaten'!$G$7*EH22*$F11*$F23*($N23+1)^(EH20)/((1+$K23)^(EH$20))</f>
        <v>0</v>
      </c>
      <c r="EI23" s="151">
        <f>'Allgemeine Unternehmensdaten'!$G$7*EI22*$F11*$F23*($N23+1)^(EI20)/((1+$K23)^(EI$20))</f>
        <v>0</v>
      </c>
      <c r="EJ23" s="151">
        <f>'Allgemeine Unternehmensdaten'!$G$7*EJ22*$F11*$F23*($N23+1)^(EJ20)/((1+$K23)^(EJ$20))</f>
        <v>0</v>
      </c>
      <c r="EK23" s="151">
        <f>'Allgemeine Unternehmensdaten'!$G$7*EK22*$F11*$F23*($N23+1)^(EK20)/((1+$K23)^(EK$20))</f>
        <v>0</v>
      </c>
      <c r="EL23" s="151">
        <f>'Allgemeine Unternehmensdaten'!$G$7*EL22*$F11*$F23*($N23+1)^(EL20)/((1+$K23)^(EL$20))</f>
        <v>0</v>
      </c>
      <c r="EM23" s="151">
        <f>'Allgemeine Unternehmensdaten'!$G$7*EM22*$F11*$F23*($N23+1)^(EM20)/((1+$K23)^(EM$20))</f>
        <v>0</v>
      </c>
      <c r="EN23" s="151">
        <f>'Allgemeine Unternehmensdaten'!$G$7*EN22*$F11*$F23*($N23+1)^(EN20)/((1+$K23)^(EN$20))</f>
        <v>0</v>
      </c>
      <c r="EO23" s="151">
        <f>'Allgemeine Unternehmensdaten'!$G$7*EO22*$F11*$F23*($N23+1)^(EO20)/((1+$K23)^(EO$20))</f>
        <v>0</v>
      </c>
      <c r="EP23" s="151">
        <f>'Allgemeine Unternehmensdaten'!$G$7*EP22*$F11*$F23*($N23+1)^(EP20)/((1+$K23)^(EP$20))</f>
        <v>0</v>
      </c>
      <c r="EQ23" s="151">
        <f>'Allgemeine Unternehmensdaten'!$G$7*EQ22*$F11*$F23*($N23+1)^(EQ20)/((1+$K23)^(EQ$20))</f>
        <v>0</v>
      </c>
      <c r="ER23" s="151">
        <f>'Allgemeine Unternehmensdaten'!$G$7*ER22*$F11*$F23*($N23+1)^(ER20)/((1+$K23)^(ER$20))</f>
        <v>0</v>
      </c>
      <c r="ES23" s="151">
        <f>'Allgemeine Unternehmensdaten'!$G$7*ES22*$F11*$F23*($N23+1)^(ES20)/((1+$K23)^(ES$20))</f>
        <v>0</v>
      </c>
      <c r="ET23" s="151">
        <f>'Allgemeine Unternehmensdaten'!$G$7*ET22*$F11*$F23*($N23+1)^(ET20)/((1+$K23)^(ET$20))</f>
        <v>0</v>
      </c>
      <c r="EU23" s="151">
        <f>'Allgemeine Unternehmensdaten'!$G$7*EU22*$F11*$F23*($N23+1)^(EU20)/((1+$K23)^(EU$20))</f>
        <v>0</v>
      </c>
      <c r="EV23" s="151">
        <f>'Allgemeine Unternehmensdaten'!$G$7*EV22*$F11*$F23*($N23+1)^(EV20)/((1+$K23)^(EV$20))</f>
        <v>0</v>
      </c>
      <c r="EW23" s="151">
        <f>'Allgemeine Unternehmensdaten'!$G$7*EW22*$F11*$F23*($N23+1)^(EW20)/((1+$K23)^(EW$20))</f>
        <v>0</v>
      </c>
      <c r="EX23" s="151">
        <f>'Allgemeine Unternehmensdaten'!$G$7*EX22*$F11*$F23*($N23+1)^(EX20)/((1+$K23)^(EX$20))</f>
        <v>0</v>
      </c>
      <c r="EY23" s="151">
        <f>'Allgemeine Unternehmensdaten'!$G$7*EY22*$F11*$F23*($N23+1)^(EY20)/((1+$K23)^(EY$20))</f>
        <v>0</v>
      </c>
      <c r="EZ23" s="151">
        <f>'Allgemeine Unternehmensdaten'!$G$7*EZ22*$F11*$F23*($N23+1)^(EZ20)/((1+$K23)^(EZ$20))</f>
        <v>0</v>
      </c>
      <c r="FA23" s="151">
        <f>'Allgemeine Unternehmensdaten'!$G$7*FA22*$F11*$F23*($N23+1)^(FA20)/((1+$K23)^(FA$20))</f>
        <v>0</v>
      </c>
      <c r="FB23" s="151">
        <f>'Allgemeine Unternehmensdaten'!$G$7*FB22*$F11*$F23*($N23+1)^(FB20)/((1+$K23)^(FB$20))</f>
        <v>0</v>
      </c>
      <c r="FC23" s="151">
        <f>'Allgemeine Unternehmensdaten'!$G$7*FC22*$F11*$F23*($N23+1)^(FC20)/((1+$K23)^(FC$20))</f>
        <v>0</v>
      </c>
      <c r="FD23" s="151">
        <f>'Allgemeine Unternehmensdaten'!$G$7*FD22*$F11*$F23*($N23+1)^(FD20)/((1+$K23)^(FD$20))</f>
        <v>0</v>
      </c>
      <c r="FE23" s="151">
        <f>'Allgemeine Unternehmensdaten'!$G$7*FE22*$F11*$F23*($N23+1)^(FE20)/((1+$K23)^(FE$20))</f>
        <v>0</v>
      </c>
      <c r="FF23" s="151">
        <f>'Allgemeine Unternehmensdaten'!$G$7*FF22*$F11*$F23*($N23+1)^(FF20)/((1+$K23)^(FF$20))</f>
        <v>0</v>
      </c>
      <c r="FG23" s="151">
        <f>'Allgemeine Unternehmensdaten'!$G$7*FG22*$F11*$F23*($N23+1)^(FG20)/((1+$K23)^(FG$20))</f>
        <v>0</v>
      </c>
      <c r="FH23" s="151">
        <f>'Allgemeine Unternehmensdaten'!$G$7*FH22*$F11*$F23*($N23+1)^(FH20)/((1+$K23)^(FH$20))</f>
        <v>0</v>
      </c>
      <c r="FI23" s="151">
        <f>'Allgemeine Unternehmensdaten'!$G$7*FI22*$F11*$F23*($N23+1)^(FI20)/((1+$K23)^(FI$20))</f>
        <v>0</v>
      </c>
      <c r="FJ23" s="151">
        <f>'Allgemeine Unternehmensdaten'!$G$7*FJ22*$F11*$F23*($N23+1)^(FJ20)/((1+$K23)^(FJ$20))</f>
        <v>0</v>
      </c>
      <c r="FK23" s="151">
        <f>'Allgemeine Unternehmensdaten'!$G$7*FK22*$F11*$F23*($N23+1)^(FK20)/((1+$K23)^(FK$20))</f>
        <v>0</v>
      </c>
      <c r="FL23" s="151">
        <f>'Allgemeine Unternehmensdaten'!$G$7*FL22*$F11*$F23*($N23+1)^(FL20)/((1+$K23)^(FL$20))</f>
        <v>0</v>
      </c>
      <c r="FM23" s="151">
        <f>'Allgemeine Unternehmensdaten'!$G$7*FM22*$F11*$F23*($N23+1)^(FM20)/((1+$K23)^(FM$20))</f>
        <v>0</v>
      </c>
      <c r="FN23" s="151">
        <f>'Allgemeine Unternehmensdaten'!$G$7*FN22*$F11*$F23*($N23+1)^(FN20)/((1+$K23)^(FN$20))</f>
        <v>0</v>
      </c>
      <c r="FO23" s="151">
        <f>'Allgemeine Unternehmensdaten'!$G$7*FO22*$F11*$F23*($N23+1)^(FO20)/((1+$K23)^(FO$20))</f>
        <v>0</v>
      </c>
      <c r="FP23" s="151">
        <f>'Allgemeine Unternehmensdaten'!$G$7*FP22*$F11*$F23*($N23+1)^(FP20)/((1+$K23)^(FP$20))</f>
        <v>0</v>
      </c>
      <c r="FQ23" s="151">
        <f>'Allgemeine Unternehmensdaten'!$G$7*FQ22*$F11*$F23*($N23+1)^(FQ20)/((1+$K23)^(FQ$20))</f>
        <v>0</v>
      </c>
      <c r="FR23" s="151">
        <f>'Allgemeine Unternehmensdaten'!$G$7*FR22*$F11*$F23*($N23+1)^(FR20)/((1+$K23)^(FR$20))</f>
        <v>0</v>
      </c>
      <c r="FS23" s="151">
        <f>'Allgemeine Unternehmensdaten'!$G$7*FS22*$F11*$F23*($N23+1)^(FS20)/((1+$K23)^(FS$20))</f>
        <v>0</v>
      </c>
      <c r="FT23" s="151">
        <f>'Allgemeine Unternehmensdaten'!$G$7*FT22*$F11*$F23*($N23+1)^(FT20)/((1+$K23)^(FT$20))</f>
        <v>0</v>
      </c>
      <c r="FU23" s="151">
        <f>'Allgemeine Unternehmensdaten'!$G$7*FU22*$F11*$F23*($N23+1)^(FU20)/((1+$K23)^(FU$20))</f>
        <v>0</v>
      </c>
      <c r="FV23" s="151">
        <f>'Allgemeine Unternehmensdaten'!$G$7*FV22*$F11*$F23*($N23+1)^(FV20)/((1+$K23)^(FV$20))</f>
        <v>0</v>
      </c>
      <c r="FW23" s="151">
        <f>'Allgemeine Unternehmensdaten'!$G$7*FW22*$F11*$F23*($N23+1)^(FW20)/((1+$K23)^(FW$20))</f>
        <v>0</v>
      </c>
      <c r="FX23" s="151">
        <f>'Allgemeine Unternehmensdaten'!$G$7*FX22*$F11*$F23*($N23+1)^(FX20)/((1+$K23)^(FX$20))</f>
        <v>0</v>
      </c>
      <c r="FY23" s="151">
        <f>'Allgemeine Unternehmensdaten'!$G$7*FY22*$F11*$F23*($N23+1)^(FY20)/((1+$K23)^(FY$20))</f>
        <v>0</v>
      </c>
      <c r="FZ23" s="151">
        <f>'Allgemeine Unternehmensdaten'!$G$7*FZ22*$F11*$F23*($N23+1)^(FZ20)/((1+$K23)^(FZ$20))</f>
        <v>0</v>
      </c>
      <c r="GA23" s="151">
        <f>'Allgemeine Unternehmensdaten'!$G$7*GA22*$F11*$F23*($N23+1)^(GA20)/((1+$K23)^(GA$20))</f>
        <v>0</v>
      </c>
      <c r="GB23" s="151">
        <f>'Allgemeine Unternehmensdaten'!$G$7*GB22*$F11*$F23*($N23+1)^(GB20)/((1+$K23)^(GB$20))</f>
        <v>0</v>
      </c>
    </row>
    <row r="24" spans="1:184" ht="17.25" customHeight="1" x14ac:dyDescent="0.5">
      <c r="A24" s="88"/>
      <c r="B24" s="322"/>
      <c r="C24" s="101" t="s">
        <v>129</v>
      </c>
      <c r="D24" s="152"/>
      <c r="E24" s="152"/>
      <c r="F24" s="153"/>
      <c r="G24" s="1">
        <v>99</v>
      </c>
      <c r="H24" s="143">
        <v>99</v>
      </c>
      <c r="I24" s="154">
        <v>0</v>
      </c>
      <c r="J24" s="155">
        <v>0</v>
      </c>
      <c r="K24" s="156">
        <v>0</v>
      </c>
      <c r="L24" s="147">
        <f>'Allgemeine Unternehmensdaten'!E8</f>
        <v>0.04</v>
      </c>
      <c r="M24" s="147">
        <f>'Allgemeine Unternehmensdaten'!F8</f>
        <v>0.03</v>
      </c>
      <c r="N24" s="157">
        <f>'Allgemeine Unternehmensdaten'!G8</f>
        <v>0.02</v>
      </c>
      <c r="R24" s="158" t="str">
        <f>$C$24</f>
        <v>Eigennutzung Strom in kWh/Jahr</v>
      </c>
      <c r="S24" s="151">
        <f>S$22*$E24*'Allgemeine Unternehmensdaten'!$F$37*(1+$M24)^(S$20)/((1+$J24)^(S$20))</f>
        <v>0</v>
      </c>
      <c r="T24" s="151">
        <f>T$22*$E24*'Allgemeine Unternehmensdaten'!$F$37*(1+$M24)^(T$20)/((1+$J24)^(T$20))</f>
        <v>0</v>
      </c>
      <c r="U24" s="151">
        <f>U$22*$E24*'Allgemeine Unternehmensdaten'!$F$37*(1+$M24)^(U$20)/((1+$J24)^(U$20))</f>
        <v>0</v>
      </c>
      <c r="V24" s="151">
        <f>V$22*$E24*'Allgemeine Unternehmensdaten'!$F$37*(1+$M24)^(V$20)/((1+$J24)^(V$20))</f>
        <v>0</v>
      </c>
      <c r="W24" s="151">
        <f>W$22*$E24*'Allgemeine Unternehmensdaten'!$F$37*(1+$M24)^(W$20)/((1+$J24)^(W$20))</f>
        <v>0</v>
      </c>
      <c r="X24" s="151">
        <f>X$22*$E24*'Allgemeine Unternehmensdaten'!$F$37*(1+$M24)^(X$20)/((1+$J24)^(X$20))</f>
        <v>0</v>
      </c>
      <c r="Y24" s="151">
        <f>Y$22*$E24*'Allgemeine Unternehmensdaten'!$F$37*(1+$M24)^(Y$20)/((1+$J24)^(Y$20))</f>
        <v>0</v>
      </c>
      <c r="Z24" s="151">
        <f>Z$22*$E24*'Allgemeine Unternehmensdaten'!$F$37*(1+$M24)^(Z$20)/((1+$J24)^(Z$20))</f>
        <v>0</v>
      </c>
      <c r="AA24" s="151">
        <f>AA$22*$E24*'Allgemeine Unternehmensdaten'!$F$37*(1+$M24)^(AA$20)/((1+$J24)^(AA$20))</f>
        <v>0</v>
      </c>
      <c r="AB24" s="151">
        <f>AB$22*$E24*'Allgemeine Unternehmensdaten'!$F$37*(1+$M24)^(AB$20)/((1+$J24)^(AB$20))</f>
        <v>0</v>
      </c>
      <c r="AC24" s="151">
        <f>AC$22*$E24*'Allgemeine Unternehmensdaten'!$F$37*(1+$M24)^(AC$20)/((1+$J24)^(AC$20))</f>
        <v>0</v>
      </c>
      <c r="AD24" s="151">
        <f>AD$22*$E24*'Allgemeine Unternehmensdaten'!$F$37*(1+$M24)^(AD$20)/((1+$J24)^(AD$20))</f>
        <v>0</v>
      </c>
      <c r="AE24" s="151">
        <f>AE$22*$E24*'Allgemeine Unternehmensdaten'!$F$37*(1+$M24)^(AE$20)/((1+$J24)^(AE$20))</f>
        <v>0</v>
      </c>
      <c r="AF24" s="151">
        <f>AF$22*$E24*'Allgemeine Unternehmensdaten'!$F$37*(1+$M24)^(AF$20)/((1+$J24)^(AF$20))</f>
        <v>0</v>
      </c>
      <c r="AG24" s="151">
        <f>AG$22*$E24*'Allgemeine Unternehmensdaten'!$F$37*(1+$M24)^(AG$20)/((1+$J24)^(AG$20))</f>
        <v>0</v>
      </c>
      <c r="AH24" s="151">
        <f>AH$22*$E24*'Allgemeine Unternehmensdaten'!$F$37*(1+$M24)^(AH$20)/((1+$J24)^(AH$20))</f>
        <v>0</v>
      </c>
      <c r="AI24" s="151">
        <f>AI$22*$E24*'Allgemeine Unternehmensdaten'!$F$37*(1+$M24)^(AI$20)/((1+$J24)^(AI$20))</f>
        <v>0</v>
      </c>
      <c r="AJ24" s="151">
        <f>AJ$22*$E24*'Allgemeine Unternehmensdaten'!$F$37*(1+$M24)^(AJ$20)/((1+$J24)^(AJ$20))</f>
        <v>0</v>
      </c>
      <c r="AK24" s="151">
        <f>AK$22*$E24*'Allgemeine Unternehmensdaten'!$F$37*(1+$M24)^(AK$20)/((1+$J24)^(AK$20))</f>
        <v>0</v>
      </c>
      <c r="AL24" s="151">
        <f>AL$22*$E24*'Allgemeine Unternehmensdaten'!$F$37*(1+$M24)^(AL$20)/((1+$J24)^(AL$20))</f>
        <v>0</v>
      </c>
      <c r="AM24" s="151">
        <f>AM$22*$E24*'Allgemeine Unternehmensdaten'!$F$37*(1+$M24)^(AM$20)/((1+$J24)^(AM$20))</f>
        <v>0</v>
      </c>
      <c r="AN24" s="151">
        <f>AN$22*$E24*'Allgemeine Unternehmensdaten'!$F$37*(1+$M24)^(AN$20)/((1+$J24)^(AN$20))</f>
        <v>0</v>
      </c>
      <c r="AO24" s="151">
        <f>AO$22*$E24*'Allgemeine Unternehmensdaten'!$F$37*(1+$M24)^(AO$20)/((1+$J24)^(AO$20))</f>
        <v>0</v>
      </c>
      <c r="AP24" s="151">
        <f>AP$22*$E24*'Allgemeine Unternehmensdaten'!$F$37*(1+$M24)^(AP$20)/((1+$J24)^(AP$20))</f>
        <v>0</v>
      </c>
      <c r="AQ24" s="151">
        <f>AQ$22*$E24*'Allgemeine Unternehmensdaten'!$F$37*(1+$M24)^(AQ$20)/((1+$J24)^(AQ$20))</f>
        <v>0</v>
      </c>
      <c r="AR24" s="151">
        <f>AR$22*$E24*'Allgemeine Unternehmensdaten'!$F$37*(1+$M24)^(AR$20)/((1+$J24)^(AR$20))</f>
        <v>0</v>
      </c>
      <c r="AS24" s="151">
        <f>AS$22*$E24*'Allgemeine Unternehmensdaten'!$F$37*(1+$M24)^(AS$20)/((1+$J24)^(AS$20))</f>
        <v>0</v>
      </c>
      <c r="AT24" s="151">
        <f>AT$22*$E24*'Allgemeine Unternehmensdaten'!$F$37*(1+$M24)^(AT$20)/((1+$J24)^(AT$20))</f>
        <v>0</v>
      </c>
      <c r="AU24" s="151">
        <f>AU$22*$E24*'Allgemeine Unternehmensdaten'!$F$37*(1+$M24)^(AU$20)/((1+$J24)^(AU$20))</f>
        <v>0</v>
      </c>
      <c r="AV24" s="151">
        <f>AV$22*$E24*'Allgemeine Unternehmensdaten'!$F$37*(1+$M24)^(AV$20)/((1+$J24)^(AV$20))</f>
        <v>0</v>
      </c>
      <c r="AW24" s="151">
        <f>AW$22*$E24*'Allgemeine Unternehmensdaten'!$F$37*(1+$M24)^(AW$20)/((1+$J24)^(AW$20))</f>
        <v>0</v>
      </c>
      <c r="AX24" s="151">
        <f>AX$22*$E24*'Allgemeine Unternehmensdaten'!$F$37*(1+$M24)^(AX$20)/((1+$J24)^(AX$20))</f>
        <v>0</v>
      </c>
      <c r="AY24" s="151">
        <f>AY$22*$E24*'Allgemeine Unternehmensdaten'!$F$37*(1+$M24)^(AY$20)/((1+$J24)^(AY$20))</f>
        <v>0</v>
      </c>
      <c r="AZ24" s="151">
        <f>AZ$22*$E24*'Allgemeine Unternehmensdaten'!$F$37*(1+$M24)^(AZ$20)/((1+$J24)^(AZ$20))</f>
        <v>0</v>
      </c>
      <c r="BA24" s="151">
        <f>BA$22*$E24*'Allgemeine Unternehmensdaten'!$F$37*(1+$M24)^(BA$20)/((1+$J24)^(BA$20))</f>
        <v>0</v>
      </c>
      <c r="BB24" s="151">
        <f>BB$22*$E24*'Allgemeine Unternehmensdaten'!$F$37*(1+$M24)^(BB$20)/((1+$J24)^(BB$20))</f>
        <v>0</v>
      </c>
      <c r="BC24" s="151">
        <f>BC$22*$E24*'Allgemeine Unternehmensdaten'!$F$37*(1+$M24)^(BC$20)/((1+$J24)^(BC$20))</f>
        <v>0</v>
      </c>
      <c r="BD24" s="151">
        <f>BD$22*$E24*'Allgemeine Unternehmensdaten'!$F$37*(1+$M24)^(BD$20)/((1+$J24)^(BD$20))</f>
        <v>0</v>
      </c>
      <c r="BE24" s="151">
        <f>BE$22*$E24*'Allgemeine Unternehmensdaten'!$F$37*(1+$M24)^(BE$20)/((1+$J24)^(BE$20))</f>
        <v>0</v>
      </c>
      <c r="BF24" s="151">
        <f>BF$22*$E24*'Allgemeine Unternehmensdaten'!$F$37*(1+$M24)^(BF$20)/((1+$J24)^(BF$20))</f>
        <v>0</v>
      </c>
      <c r="BG24" s="151">
        <f>BG$22*$E24*'Allgemeine Unternehmensdaten'!$F$37*(1+$M24)^(BG$20)/((1+$J24)^(BG$20))</f>
        <v>0</v>
      </c>
      <c r="BH24" s="151">
        <f>BH$22*$E24*'Allgemeine Unternehmensdaten'!$F$37*(1+$M24)^(BH$20)/((1+$J24)^(BH$20))</f>
        <v>0</v>
      </c>
      <c r="BI24" s="151">
        <f>BI$22*$E24*'Allgemeine Unternehmensdaten'!$F$37*(1+$M24)^(BI$20)/((1+$J24)^(BI$20))</f>
        <v>0</v>
      </c>
      <c r="BJ24" s="151">
        <f>BJ$22*$E24*'Allgemeine Unternehmensdaten'!$F$37*(1+$M24)^(BJ$20)/((1+$J24)^(BJ$20))</f>
        <v>0</v>
      </c>
      <c r="BK24" s="151">
        <f>BK$22*$E24*'Allgemeine Unternehmensdaten'!$F$37*(1+$M24)^(BK$20)/((1+$J24)^(BK$20))</f>
        <v>0</v>
      </c>
      <c r="BL24" s="151">
        <f>BL$22*$E24*'Allgemeine Unternehmensdaten'!$F$37*(1+$M24)^(BL$20)/((1+$J24)^(BL$20))</f>
        <v>0</v>
      </c>
      <c r="BM24" s="151">
        <f>BM$22*$E24*'Allgemeine Unternehmensdaten'!$F$37*(1+$M24)^(BM$20)/((1+$J24)^(BM$20))</f>
        <v>0</v>
      </c>
      <c r="BN24" s="151">
        <f>BN$22*$E24*'Allgemeine Unternehmensdaten'!$F$37*(1+$M24)^(BN$20)/((1+$J24)^(BN$20))</f>
        <v>0</v>
      </c>
      <c r="BO24" s="151">
        <f>BO$22*$E24*'Allgemeine Unternehmensdaten'!$F$37*(1+$M24)^(BO$20)/((1+$J24)^(BO$20))</f>
        <v>0</v>
      </c>
      <c r="BP24" s="151">
        <f>BP$22*$E24*'Allgemeine Unternehmensdaten'!$F$37*(1+$M24)^(BP$20)/((1+$J24)^(BP$20))</f>
        <v>0</v>
      </c>
      <c r="BQ24" s="151">
        <f>BQ$22*$E24*'Allgemeine Unternehmensdaten'!$F$37*(1+$M24)^(BQ$20)/((1+$J24)^(BQ$20))</f>
        <v>0</v>
      </c>
      <c r="BR24" s="151">
        <f>BR$22*$E24*'Allgemeine Unternehmensdaten'!$F$37*(1+$M24)^(BR$20)/((1+$J24)^(BR$20))</f>
        <v>0</v>
      </c>
      <c r="BS24" s="151">
        <f>BS$22*$E24*'Allgemeine Unternehmensdaten'!$F$37*(1+$M24)^(BS$20)/((1+$J24)^(BS$20))</f>
        <v>0</v>
      </c>
      <c r="BT24" s="151">
        <f>BT$22*$E24*'Allgemeine Unternehmensdaten'!$F$37*(1+$M24)^(BT$20)/((1+$J24)^(BT$20))</f>
        <v>0</v>
      </c>
      <c r="BV24" s="158" t="str">
        <f>$C$24</f>
        <v>Eigennutzung Strom in kWh/Jahr</v>
      </c>
      <c r="BW24" s="151">
        <f>BW$22*$D24*'Allgemeine Unternehmensdaten'!$E$37*(1+$L24)^(BW$20)/((1+$I24)^(BW$20))</f>
        <v>0</v>
      </c>
      <c r="BX24" s="151">
        <f>BX$22*$D24*'Allgemeine Unternehmensdaten'!$E$37*(1+$L24)^(BX$20)/((1+$I24)^(BX$20))</f>
        <v>0</v>
      </c>
      <c r="BY24" s="151">
        <f>BY$22*$D24*'Allgemeine Unternehmensdaten'!$E$37*(1+$L24)^(BY$20)/((1+$I24)^(BY$20))</f>
        <v>0</v>
      </c>
      <c r="BZ24" s="151">
        <f>BZ$22*$D24*'Allgemeine Unternehmensdaten'!$E$37*(1+$L24)^(BZ$20)/((1+$I24)^(BZ$20))</f>
        <v>0</v>
      </c>
      <c r="CA24" s="151">
        <f>CA$22*$D24*'Allgemeine Unternehmensdaten'!$E$37*(1+$L24)^(CA$20)/((1+$I24)^(CA$20))</f>
        <v>0</v>
      </c>
      <c r="CB24" s="151">
        <f>CB$22*$D24*'Allgemeine Unternehmensdaten'!$E$37*(1+$L24)^(CB$20)/((1+$I24)^(CB$20))</f>
        <v>0</v>
      </c>
      <c r="CC24" s="151">
        <f>CC$22*$D24*'Allgemeine Unternehmensdaten'!$E$37*(1+$L24)^(CC$20)/((1+$I24)^(CC$20))</f>
        <v>0</v>
      </c>
      <c r="CD24" s="151">
        <f>CD$22*$D24*'Allgemeine Unternehmensdaten'!$E$37*(1+$L24)^(CD$20)/((1+$I24)^(CD$20))</f>
        <v>0</v>
      </c>
      <c r="CE24" s="151">
        <f>CE$22*$D24*'Allgemeine Unternehmensdaten'!$E$37*(1+$L24)^(CE$20)/((1+$I24)^(CE$20))</f>
        <v>0</v>
      </c>
      <c r="CF24" s="151">
        <f>CF$22*$D24*'Allgemeine Unternehmensdaten'!$E$37*(1+$L24)^(CF$20)/((1+$I24)^(CF$20))</f>
        <v>0</v>
      </c>
      <c r="CG24" s="151">
        <f>CG$22*$D24*'Allgemeine Unternehmensdaten'!$E$37*(1+$L24)^(CG$20)/((1+$I24)^(CG$20))</f>
        <v>0</v>
      </c>
      <c r="CH24" s="151">
        <f>CH$22*$D24*'Allgemeine Unternehmensdaten'!$E$37*(1+$L24)^(CH$20)/((1+$I24)^(CH$20))</f>
        <v>0</v>
      </c>
      <c r="CI24" s="151">
        <f>CI$22*$D24*'Allgemeine Unternehmensdaten'!$E$37*(1+$L24)^(CI$20)/((1+$I24)^(CI$20))</f>
        <v>0</v>
      </c>
      <c r="CJ24" s="151">
        <f>CJ$22*$D24*'Allgemeine Unternehmensdaten'!$E$37*(1+$L24)^(CJ$20)/((1+$I24)^(CJ$20))</f>
        <v>0</v>
      </c>
      <c r="CK24" s="151">
        <f>CK$22*$D24*'Allgemeine Unternehmensdaten'!$E$37*(1+$L24)^(CK$20)/((1+$I24)^(CK$20))</f>
        <v>0</v>
      </c>
      <c r="CL24" s="151">
        <f>CL$22*$D24*'Allgemeine Unternehmensdaten'!$E$37*(1+$L24)^(CL$20)/((1+$I24)^(CL$20))</f>
        <v>0</v>
      </c>
      <c r="CM24" s="151">
        <f>CM$22*$D24*'Allgemeine Unternehmensdaten'!$E$37*(1+$L24)^(CM$20)/((1+$I24)^(CM$20))</f>
        <v>0</v>
      </c>
      <c r="CN24" s="151">
        <f>CN$22*$D24*'Allgemeine Unternehmensdaten'!$E$37*(1+$L24)^(CN$20)/((1+$I24)^(CN$20))</f>
        <v>0</v>
      </c>
      <c r="CO24" s="151">
        <f>CO$22*$D24*'Allgemeine Unternehmensdaten'!$E$37*(1+$L24)^(CO$20)/((1+$I24)^(CO$20))</f>
        <v>0</v>
      </c>
      <c r="CP24" s="151">
        <f>CP$22*$D24*'Allgemeine Unternehmensdaten'!$E$37*(1+$L24)^(CP$20)/((1+$I24)^(CP$20))</f>
        <v>0</v>
      </c>
      <c r="CQ24" s="151">
        <f>CQ$22*$D24*'Allgemeine Unternehmensdaten'!$E$37*(1+$L24)^(CQ$20)/((1+$I24)^(CQ$20))</f>
        <v>0</v>
      </c>
      <c r="CR24" s="151">
        <f>CR$22*$D24*'Allgemeine Unternehmensdaten'!$E$37*(1+$L24)^(CR$20)/((1+$I24)^(CR$20))</f>
        <v>0</v>
      </c>
      <c r="CS24" s="151">
        <f>CS$22*$D24*'Allgemeine Unternehmensdaten'!$E$37*(1+$L24)^(CS$20)/((1+$I24)^(CS$20))</f>
        <v>0</v>
      </c>
      <c r="CT24" s="151">
        <f>CT$22*$D24*'Allgemeine Unternehmensdaten'!$E$37*(1+$L24)^(CT$20)/((1+$I24)^(CT$20))</f>
        <v>0</v>
      </c>
      <c r="CU24" s="151">
        <f>CU$22*$D24*'Allgemeine Unternehmensdaten'!$E$37*(1+$L24)^(CU$20)/((1+$I24)^(CU$20))</f>
        <v>0</v>
      </c>
      <c r="CV24" s="151">
        <f>CV$22*$D24*'Allgemeine Unternehmensdaten'!$E$37*(1+$L24)^(CV$20)/((1+$I24)^(CV$20))</f>
        <v>0</v>
      </c>
      <c r="CW24" s="151">
        <f>CW$22*$D24*'Allgemeine Unternehmensdaten'!$E$37*(1+$L24)^(CW$20)/((1+$I24)^(CW$20))</f>
        <v>0</v>
      </c>
      <c r="CX24" s="151">
        <f>CX$22*$D24*'Allgemeine Unternehmensdaten'!$E$37*(1+$L24)^(CX$20)/((1+$I24)^(CX$20))</f>
        <v>0</v>
      </c>
      <c r="CY24" s="151">
        <f>CY$22*$D24*'Allgemeine Unternehmensdaten'!$E$37*(1+$L24)^(CY$20)/((1+$I24)^(CY$20))</f>
        <v>0</v>
      </c>
      <c r="CZ24" s="151">
        <f>CZ$22*$D24*'Allgemeine Unternehmensdaten'!$E$37*(1+$L24)^(CZ$20)/((1+$I24)^(CZ$20))</f>
        <v>0</v>
      </c>
      <c r="DA24" s="151">
        <f>DA$22*$D24*'Allgemeine Unternehmensdaten'!$E$37*(1+$L24)^(DA$20)/((1+$I24)^(DA$20))</f>
        <v>0</v>
      </c>
      <c r="DB24" s="151">
        <f>DB$22*$D24*'Allgemeine Unternehmensdaten'!$E$37*(1+$L24)^(DB$20)/((1+$I24)^(DB$20))</f>
        <v>0</v>
      </c>
      <c r="DC24" s="151">
        <f>DC$22*$D24*'Allgemeine Unternehmensdaten'!$E$37*(1+$L24)^(DC$20)/((1+$I24)^(DC$20))</f>
        <v>0</v>
      </c>
      <c r="DD24" s="151">
        <f>DD$22*$D24*'Allgemeine Unternehmensdaten'!$E$37*(1+$L24)^(DD$20)/((1+$I24)^(DD$20))</f>
        <v>0</v>
      </c>
      <c r="DE24" s="151">
        <f>DE$22*$D24*'Allgemeine Unternehmensdaten'!$E$37*(1+$L24)^(DE$20)/((1+$I24)^(DE$20))</f>
        <v>0</v>
      </c>
      <c r="DF24" s="151">
        <f>DF$22*$D24*'Allgemeine Unternehmensdaten'!$E$37*(1+$L24)^(DF$20)/((1+$I24)^(DF$20))</f>
        <v>0</v>
      </c>
      <c r="DG24" s="151">
        <f>DG$22*$D24*'Allgemeine Unternehmensdaten'!$E$37*(1+$L24)^(DG$20)/((1+$I24)^(DG$20))</f>
        <v>0</v>
      </c>
      <c r="DH24" s="151">
        <f>DH$22*$D24*'Allgemeine Unternehmensdaten'!$E$37*(1+$L24)^(DH$20)/((1+$I24)^(DH$20))</f>
        <v>0</v>
      </c>
      <c r="DI24" s="151">
        <f>DI$22*$D24*'Allgemeine Unternehmensdaten'!$E$37*(1+$L24)^(DI$20)/((1+$I24)^(DI$20))</f>
        <v>0</v>
      </c>
      <c r="DJ24" s="151">
        <f>DJ$22*$D24*'Allgemeine Unternehmensdaten'!$E$37*(1+$L24)^(DJ$20)/((1+$I24)^(DJ$20))</f>
        <v>0</v>
      </c>
      <c r="DK24" s="151">
        <f>DK$22*$D24*'Allgemeine Unternehmensdaten'!$E$37*(1+$L24)^(DK$20)/((1+$I24)^(DK$20))</f>
        <v>0</v>
      </c>
      <c r="DL24" s="151">
        <f>DL$22*$D24*'Allgemeine Unternehmensdaten'!$E$37*(1+$L24)^(DL$20)/((1+$I24)^(DL$20))</f>
        <v>0</v>
      </c>
      <c r="DM24" s="151">
        <f>DM$22*$D24*'Allgemeine Unternehmensdaten'!$E$37*(1+$L24)^(DM$20)/((1+$I24)^(DM$20))</f>
        <v>0</v>
      </c>
      <c r="DN24" s="151">
        <f>DN$22*$D24*'Allgemeine Unternehmensdaten'!$E$37*(1+$L24)^(DN$20)/((1+$I24)^(DN$20))</f>
        <v>0</v>
      </c>
      <c r="DO24" s="151">
        <f>DO$22*$D24*'Allgemeine Unternehmensdaten'!$E$37*(1+$L24)^(DO$20)/((1+$I24)^(DO$20))</f>
        <v>0</v>
      </c>
      <c r="DP24" s="151">
        <f>DP$22*$D24*'Allgemeine Unternehmensdaten'!$E$37*(1+$L24)^(DP$20)/((1+$I24)^(DP$20))</f>
        <v>0</v>
      </c>
      <c r="DQ24" s="151">
        <f>DQ$22*$D24*'Allgemeine Unternehmensdaten'!$E$37*(1+$L24)^(DQ$20)/((1+$I24)^(DQ$20))</f>
        <v>0</v>
      </c>
      <c r="DR24" s="151">
        <f>DR$22*$D24*'Allgemeine Unternehmensdaten'!$E$37*(1+$L24)^(DR$20)/((1+$I24)^(DR$20))</f>
        <v>0</v>
      </c>
      <c r="DS24" s="151">
        <f>DS$22*$D24*'Allgemeine Unternehmensdaten'!$E$37*(1+$L24)^(DS$20)/((1+$I24)^(DS$20))</f>
        <v>0</v>
      </c>
      <c r="DT24" s="151">
        <f>DT$22*$D24*'Allgemeine Unternehmensdaten'!$E$37*(1+$L24)^(DT$20)/((1+$I24)^(DT$20))</f>
        <v>0</v>
      </c>
      <c r="DU24" s="151">
        <f>DU$22*$D24*'Allgemeine Unternehmensdaten'!$E$37*(1+$L24)^(DU$20)/((1+$I24)^(DU$20))</f>
        <v>0</v>
      </c>
      <c r="DV24" s="151">
        <f>DV$22*$D24*'Allgemeine Unternehmensdaten'!$E$37*(1+$L24)^(DV$20)/((1+$I24)^(DV$20))</f>
        <v>0</v>
      </c>
      <c r="DW24" s="151">
        <f>DW$22*$D24*'Allgemeine Unternehmensdaten'!$E$37*(1+$L24)^(DW$20)/((1+$I24)^(DW$20))</f>
        <v>0</v>
      </c>
      <c r="DX24" s="151">
        <f>DX$22*$D24*'Allgemeine Unternehmensdaten'!$E$37*(1+$L24)^(DX$20)/((1+$I24)^(DX$20))</f>
        <v>0</v>
      </c>
      <c r="DZ24" s="158" t="str">
        <f>$C$24</f>
        <v>Eigennutzung Strom in kWh/Jahr</v>
      </c>
      <c r="EA24" s="151">
        <f>EA$22*$F24*'Allgemeine Unternehmensdaten'!$G$37*(1+$N24)^(EA$20)/((1+$K24)^(EA$20))</f>
        <v>0</v>
      </c>
      <c r="EB24" s="151">
        <f>EB$22*$F24*'Allgemeine Unternehmensdaten'!$G$37*(1+$N24)^(EB$20)/((1+$K24)^(EB$20))</f>
        <v>0</v>
      </c>
      <c r="EC24" s="151">
        <f>EC$22*$F24*'Allgemeine Unternehmensdaten'!$G$37*(1+$N24)^(EC$20)/((1+$K24)^(EC$20))</f>
        <v>0</v>
      </c>
      <c r="ED24" s="151">
        <f>ED$22*$F24*'Allgemeine Unternehmensdaten'!$G$37*(1+$N24)^(ED$20)/((1+$K24)^(ED$20))</f>
        <v>0</v>
      </c>
      <c r="EE24" s="151">
        <f>EE$22*$F24*'Allgemeine Unternehmensdaten'!$G$37*(1+$N24)^(EE$20)/((1+$K24)^(EE$20))</f>
        <v>0</v>
      </c>
      <c r="EF24" s="151">
        <f>EF$22*$F24*'Allgemeine Unternehmensdaten'!$G$37*(1+$N24)^(EF$20)/((1+$K24)^(EF$20))</f>
        <v>0</v>
      </c>
      <c r="EG24" s="151">
        <f>EG$22*$F24*'Allgemeine Unternehmensdaten'!$G$37*(1+$N24)^(EG$20)/((1+$K24)^(EG$20))</f>
        <v>0</v>
      </c>
      <c r="EH24" s="151">
        <f>EH$22*$F24*'Allgemeine Unternehmensdaten'!$G$37*(1+$N24)^(EH$20)/((1+$K24)^(EH$20))</f>
        <v>0</v>
      </c>
      <c r="EI24" s="151">
        <f>EI$22*$F24*'Allgemeine Unternehmensdaten'!$G$37*(1+$N24)^(EI$20)/((1+$K24)^(EI$20))</f>
        <v>0</v>
      </c>
      <c r="EJ24" s="151">
        <f>EJ$22*$F24*'Allgemeine Unternehmensdaten'!$G$37*(1+$N24)^(EJ$20)/((1+$K24)^(EJ$20))</f>
        <v>0</v>
      </c>
      <c r="EK24" s="151">
        <f>EK$22*$F24*'Allgemeine Unternehmensdaten'!$G$37*(1+$N24)^(EK$20)/((1+$K24)^(EK$20))</f>
        <v>0</v>
      </c>
      <c r="EL24" s="151">
        <f>EL$22*$F24*'Allgemeine Unternehmensdaten'!$G$37*(1+$N24)^(EL$20)/((1+$K24)^(EL$20))</f>
        <v>0</v>
      </c>
      <c r="EM24" s="151">
        <f>EM$22*$F24*'Allgemeine Unternehmensdaten'!$G$37*(1+$N24)^(EM$20)/((1+$K24)^(EM$20))</f>
        <v>0</v>
      </c>
      <c r="EN24" s="151">
        <f>EN$22*$F24*'Allgemeine Unternehmensdaten'!$G$37*(1+$N24)^(EN$20)/((1+$K24)^(EN$20))</f>
        <v>0</v>
      </c>
      <c r="EO24" s="151">
        <f>EO$22*$F24*'Allgemeine Unternehmensdaten'!$G$37*(1+$N24)^(EO$20)/((1+$K24)^(EO$20))</f>
        <v>0</v>
      </c>
      <c r="EP24" s="151">
        <f>EP$22*$F24*'Allgemeine Unternehmensdaten'!$G$37*(1+$N24)^(EP$20)/((1+$K24)^(EP$20))</f>
        <v>0</v>
      </c>
      <c r="EQ24" s="151">
        <f>EQ$22*$F24*'Allgemeine Unternehmensdaten'!$G$37*(1+$N24)^(EQ$20)/((1+$K24)^(EQ$20))</f>
        <v>0</v>
      </c>
      <c r="ER24" s="151">
        <f>ER$22*$F24*'Allgemeine Unternehmensdaten'!$G$37*(1+$N24)^(ER$20)/((1+$K24)^(ER$20))</f>
        <v>0</v>
      </c>
      <c r="ES24" s="151">
        <f>ES$22*$F24*'Allgemeine Unternehmensdaten'!$G$37*(1+$N24)^(ES$20)/((1+$K24)^(ES$20))</f>
        <v>0</v>
      </c>
      <c r="ET24" s="151">
        <f>ET$22*$F24*'Allgemeine Unternehmensdaten'!$G$37*(1+$N24)^(ET$20)/((1+$K24)^(ET$20))</f>
        <v>0</v>
      </c>
      <c r="EU24" s="151">
        <f>EU$22*$F24*'Allgemeine Unternehmensdaten'!$G$37*(1+$N24)^(EU$20)/((1+$K24)^(EU$20))</f>
        <v>0</v>
      </c>
      <c r="EV24" s="151">
        <f>EV$22*$F24*'Allgemeine Unternehmensdaten'!$G$37*(1+$N24)^(EV$20)/((1+$K24)^(EV$20))</f>
        <v>0</v>
      </c>
      <c r="EW24" s="151">
        <f>EW$22*$F24*'Allgemeine Unternehmensdaten'!$G$37*(1+$N24)^(EW$20)/((1+$K24)^(EW$20))</f>
        <v>0</v>
      </c>
      <c r="EX24" s="151">
        <f>EX$22*$F24*'Allgemeine Unternehmensdaten'!$G$37*(1+$N24)^(EX$20)/((1+$K24)^(EX$20))</f>
        <v>0</v>
      </c>
      <c r="EY24" s="151">
        <f>EY$22*$F24*'Allgemeine Unternehmensdaten'!$G$37*(1+$N24)^(EY$20)/((1+$K24)^(EY$20))</f>
        <v>0</v>
      </c>
      <c r="EZ24" s="151">
        <f>EZ$22*$F24*'Allgemeine Unternehmensdaten'!$G$37*(1+$N24)^(EZ$20)/((1+$K24)^(EZ$20))</f>
        <v>0</v>
      </c>
      <c r="FA24" s="151">
        <f>FA$22*$F24*'Allgemeine Unternehmensdaten'!$G$37*(1+$N24)^(FA$20)/((1+$K24)^(FA$20))</f>
        <v>0</v>
      </c>
      <c r="FB24" s="151">
        <f>FB$22*$F24*'Allgemeine Unternehmensdaten'!$G$37*(1+$N24)^(FB$20)/((1+$K24)^(FB$20))</f>
        <v>0</v>
      </c>
      <c r="FC24" s="151">
        <f>FC$22*$F24*'Allgemeine Unternehmensdaten'!$G$37*(1+$N24)^(FC$20)/((1+$K24)^(FC$20))</f>
        <v>0</v>
      </c>
      <c r="FD24" s="151">
        <f>FD$22*$F24*'Allgemeine Unternehmensdaten'!$G$37*(1+$N24)^(FD$20)/((1+$K24)^(FD$20))</f>
        <v>0</v>
      </c>
      <c r="FE24" s="151">
        <f>FE$22*$F24*'Allgemeine Unternehmensdaten'!$G$37*(1+$N24)^(FE$20)/((1+$K24)^(FE$20))</f>
        <v>0</v>
      </c>
      <c r="FF24" s="151">
        <f>FF$22*$F24*'Allgemeine Unternehmensdaten'!$G$37*(1+$N24)^(FF$20)/((1+$K24)^(FF$20))</f>
        <v>0</v>
      </c>
      <c r="FG24" s="151">
        <f>FG$22*$F24*'Allgemeine Unternehmensdaten'!$G$37*(1+$N24)^(FG$20)/((1+$K24)^(FG$20))</f>
        <v>0</v>
      </c>
      <c r="FH24" s="151">
        <f>FH$22*$F24*'Allgemeine Unternehmensdaten'!$G$37*(1+$N24)^(FH$20)/((1+$K24)^(FH$20))</f>
        <v>0</v>
      </c>
      <c r="FI24" s="151">
        <f>FI$22*$F24*'Allgemeine Unternehmensdaten'!$G$37*(1+$N24)^(FI$20)/((1+$K24)^(FI$20))</f>
        <v>0</v>
      </c>
      <c r="FJ24" s="151">
        <f>FJ$22*$F24*'Allgemeine Unternehmensdaten'!$G$37*(1+$N24)^(FJ$20)/((1+$K24)^(FJ$20))</f>
        <v>0</v>
      </c>
      <c r="FK24" s="151">
        <f>FK$22*$F24*'Allgemeine Unternehmensdaten'!$G$37*(1+$N24)^(FK$20)/((1+$K24)^(FK$20))</f>
        <v>0</v>
      </c>
      <c r="FL24" s="151">
        <f>FL$22*$F24*'Allgemeine Unternehmensdaten'!$G$37*(1+$N24)^(FL$20)/((1+$K24)^(FL$20))</f>
        <v>0</v>
      </c>
      <c r="FM24" s="151">
        <f>FM$22*$F24*'Allgemeine Unternehmensdaten'!$G$37*(1+$N24)^(FM$20)/((1+$K24)^(FM$20))</f>
        <v>0</v>
      </c>
      <c r="FN24" s="151">
        <f>FN$22*$F24*'Allgemeine Unternehmensdaten'!$G$37*(1+$N24)^(FN$20)/((1+$K24)^(FN$20))</f>
        <v>0</v>
      </c>
      <c r="FO24" s="151">
        <f>FO$22*$F24*'Allgemeine Unternehmensdaten'!$G$37*(1+$N24)^(FO$20)/((1+$K24)^(FO$20))</f>
        <v>0</v>
      </c>
      <c r="FP24" s="151">
        <f>FP$22*$F24*'Allgemeine Unternehmensdaten'!$G$37*(1+$N24)^(FP$20)/((1+$K24)^(FP$20))</f>
        <v>0</v>
      </c>
      <c r="FQ24" s="151">
        <f>FQ$22*$F24*'Allgemeine Unternehmensdaten'!$G$37*(1+$N24)^(FQ$20)/((1+$K24)^(FQ$20))</f>
        <v>0</v>
      </c>
      <c r="FR24" s="151">
        <f>FR$22*$F24*'Allgemeine Unternehmensdaten'!$G$37*(1+$N24)^(FR$20)/((1+$K24)^(FR$20))</f>
        <v>0</v>
      </c>
      <c r="FS24" s="151">
        <f>FS$22*$F24*'Allgemeine Unternehmensdaten'!$G$37*(1+$N24)^(FS$20)/((1+$K24)^(FS$20))</f>
        <v>0</v>
      </c>
      <c r="FT24" s="151">
        <f>FT$22*$F24*'Allgemeine Unternehmensdaten'!$G$37*(1+$N24)^(FT$20)/((1+$K24)^(FT$20))</f>
        <v>0</v>
      </c>
      <c r="FU24" s="151">
        <f>FU$22*$F24*'Allgemeine Unternehmensdaten'!$G$37*(1+$N24)^(FU$20)/((1+$K24)^(FU$20))</f>
        <v>0</v>
      </c>
      <c r="FV24" s="151">
        <f>FV$22*$F24*'Allgemeine Unternehmensdaten'!$G$37*(1+$N24)^(FV$20)/((1+$K24)^(FV$20))</f>
        <v>0</v>
      </c>
      <c r="FW24" s="151">
        <f>FW$22*$F24*'Allgemeine Unternehmensdaten'!$G$37*(1+$N24)^(FW$20)/((1+$K24)^(FW$20))</f>
        <v>0</v>
      </c>
      <c r="FX24" s="151">
        <f>FX$22*$F24*'Allgemeine Unternehmensdaten'!$G$37*(1+$N24)^(FX$20)/((1+$K24)^(FX$20))</f>
        <v>0</v>
      </c>
      <c r="FY24" s="151">
        <f>FY$22*$F24*'Allgemeine Unternehmensdaten'!$G$37*(1+$N24)^(FY$20)/((1+$K24)^(FY$20))</f>
        <v>0</v>
      </c>
      <c r="FZ24" s="151">
        <f>FZ$22*$F24*'Allgemeine Unternehmensdaten'!$G$37*(1+$N24)^(FZ$20)/((1+$K24)^(FZ$20))</f>
        <v>0</v>
      </c>
      <c r="GA24" s="151">
        <f>GA$22*$F24*'Allgemeine Unternehmensdaten'!$G$37*(1+$N24)^(GA$20)/((1+$K24)^(GA$20))</f>
        <v>0</v>
      </c>
      <c r="GB24" s="151">
        <f>GB$22*$F24*'Allgemeine Unternehmensdaten'!$G$37*(1+$N24)^(GB$20)/((1+$K24)^(GB$20))</f>
        <v>0</v>
      </c>
    </row>
    <row r="25" spans="1:184" ht="17.25" customHeight="1" x14ac:dyDescent="0.5">
      <c r="A25" s="88"/>
      <c r="B25" s="322"/>
      <c r="C25" s="101" t="s">
        <v>130</v>
      </c>
      <c r="D25" s="152"/>
      <c r="E25" s="152"/>
      <c r="F25" s="153"/>
      <c r="G25" s="1">
        <v>99</v>
      </c>
      <c r="H25" s="143">
        <v>99</v>
      </c>
      <c r="I25" s="159">
        <v>0</v>
      </c>
      <c r="J25" s="155">
        <v>0</v>
      </c>
      <c r="K25" s="160">
        <v>0</v>
      </c>
      <c r="L25" s="147">
        <f>'Allgemeine Unternehmensdaten'!G34</f>
        <v>0.01</v>
      </c>
      <c r="M25" s="148">
        <f>'Allgemeine Unternehmensdaten'!F34</f>
        <v>0.02</v>
      </c>
      <c r="N25" s="149">
        <f>'Allgemeine Unternehmensdaten'!E34</f>
        <v>0.03</v>
      </c>
      <c r="R25" s="158" t="str">
        <f>$C$25</f>
        <v>Einspeisung Strom in kWh/Jahr</v>
      </c>
      <c r="S25" s="151">
        <f>S$22*$E25*'Allgemeine Unternehmensdaten'!$F$33*(1+$M25)^(S$20)/((1+$J25)^(S$20))</f>
        <v>0</v>
      </c>
      <c r="T25" s="151">
        <f>T$22*$E25*'Allgemeine Unternehmensdaten'!$F$33*(1+$M25)^(T$20)/((1+$J25)^(T$20))</f>
        <v>0</v>
      </c>
      <c r="U25" s="151">
        <f>U$22*$E25*'Allgemeine Unternehmensdaten'!$F$33*(1+$M25)^(U$20)/((1+$J25)^(U$20))</f>
        <v>0</v>
      </c>
      <c r="V25" s="151">
        <f>V$22*$E25*'Allgemeine Unternehmensdaten'!$F$33*(1+$M25)^(V$20)/((1+$J25)^(V$20))</f>
        <v>0</v>
      </c>
      <c r="W25" s="151">
        <f>W$22*$E25*'Allgemeine Unternehmensdaten'!$F$33*(1+$M25)^(W$20)/((1+$J25)^(W$20))</f>
        <v>0</v>
      </c>
      <c r="X25" s="151">
        <f>X$22*$E25*'Allgemeine Unternehmensdaten'!$F$33*(1+$M25)^(X$20)/((1+$J25)^(X$20))</f>
        <v>0</v>
      </c>
      <c r="Y25" s="151">
        <f>Y$22*$E25*'Allgemeine Unternehmensdaten'!$F$33*(1+$M25)^(Y$20)/((1+$J25)^(Y$20))</f>
        <v>0</v>
      </c>
      <c r="Z25" s="151">
        <f>Z$22*$E25*'Allgemeine Unternehmensdaten'!$F$33*(1+$M25)^(Z$20)/((1+$J25)^(Z$20))</f>
        <v>0</v>
      </c>
      <c r="AA25" s="151">
        <f>AA$22*$E25*'Allgemeine Unternehmensdaten'!$F$33*(1+$M25)^(AA$20)/((1+$J25)^(AA$20))</f>
        <v>0</v>
      </c>
      <c r="AB25" s="151">
        <f>AB$22*$E25*'Allgemeine Unternehmensdaten'!$F$33*(1+$M25)^(AB$20)/((1+$J25)^(AB$20))</f>
        <v>0</v>
      </c>
      <c r="AC25" s="151">
        <f>AC$22*$E25*'Allgemeine Unternehmensdaten'!$F$33*(1+$M25)^(AC$20)/((1+$J25)^(AC$20))</f>
        <v>0</v>
      </c>
      <c r="AD25" s="151">
        <f>AD$22*$E25*'Allgemeine Unternehmensdaten'!$F$33*(1+$M25)^(AD$20)/((1+$J25)^(AD$20))</f>
        <v>0</v>
      </c>
      <c r="AE25" s="151">
        <f>AE$22*$E25*'Allgemeine Unternehmensdaten'!$F$33*(1+$M25)^(AE$20)/((1+$J25)^(AE$20))</f>
        <v>0</v>
      </c>
      <c r="AF25" s="151">
        <f>AF$22*$E25*'Allgemeine Unternehmensdaten'!$F$33*(1+$M25)^(AF$20)/((1+$J25)^(AF$20))</f>
        <v>0</v>
      </c>
      <c r="AG25" s="151">
        <f>AG$22*$E25*'Allgemeine Unternehmensdaten'!$F$33*(1+$M25)^(AG$20)/((1+$J25)^(AG$20))</f>
        <v>0</v>
      </c>
      <c r="AH25" s="151">
        <f>AH$22*$E25*'Allgemeine Unternehmensdaten'!$F$33*(1+$M25)^(AH$20)/((1+$J25)^(AH$20))</f>
        <v>0</v>
      </c>
      <c r="AI25" s="151">
        <f>AI$22*$E25*'Allgemeine Unternehmensdaten'!$F$33*(1+$M25)^(AI$20)/((1+$J25)^(AI$20))</f>
        <v>0</v>
      </c>
      <c r="AJ25" s="151">
        <f>AJ$22*$E25*'Allgemeine Unternehmensdaten'!$F$33*(1+$M25)^(AJ$20)/((1+$J25)^(AJ$20))</f>
        <v>0</v>
      </c>
      <c r="AK25" s="151">
        <f>AK$22*$E25*'Allgemeine Unternehmensdaten'!$F$33*(1+$M25)^(AK$20)/((1+$J25)^(AK$20))</f>
        <v>0</v>
      </c>
      <c r="AL25" s="151">
        <f>AL$22*$E25*'Allgemeine Unternehmensdaten'!$F$33*(1+$M25)^(AL$20)/((1+$J25)^(AL$20))</f>
        <v>0</v>
      </c>
      <c r="AM25" s="151">
        <f>AM$22*$E25*'Allgemeine Unternehmensdaten'!$F$33*(1+$M25)^(AM$20)/((1+$J25)^(AM$20))</f>
        <v>0</v>
      </c>
      <c r="AN25" s="151">
        <f>AN$22*$E25*'Allgemeine Unternehmensdaten'!$F$33*(1+$M25)^(AN$20)/((1+$J25)^(AN$20))</f>
        <v>0</v>
      </c>
      <c r="AO25" s="151">
        <f>AO$22*$E25*'Allgemeine Unternehmensdaten'!$F$33*(1+$M25)^(AO$20)/((1+$J25)^(AO$20))</f>
        <v>0</v>
      </c>
      <c r="AP25" s="151">
        <f>AP$22*$E25*'Allgemeine Unternehmensdaten'!$F$33*(1+$M25)^(AP$20)/((1+$J25)^(AP$20))</f>
        <v>0</v>
      </c>
      <c r="AQ25" s="151">
        <f>AQ$22*$E25*'Allgemeine Unternehmensdaten'!$F$33*(1+$M25)^(AQ$20)/((1+$J25)^(AQ$20))</f>
        <v>0</v>
      </c>
      <c r="AR25" s="151">
        <f>AR$22*$E25*'Allgemeine Unternehmensdaten'!$F$33*(1+$M25)^(AR$20)/((1+$J25)^(AR$20))</f>
        <v>0</v>
      </c>
      <c r="AS25" s="151">
        <f>AS$22*$E25*'Allgemeine Unternehmensdaten'!$F$33*(1+$M25)^(AS$20)/((1+$J25)^(AS$20))</f>
        <v>0</v>
      </c>
      <c r="AT25" s="151">
        <f>AT$22*$E25*'Allgemeine Unternehmensdaten'!$F$33*(1+$M25)^(AT$20)/((1+$J25)^(AT$20))</f>
        <v>0</v>
      </c>
      <c r="AU25" s="151">
        <f>AU$22*$E25*'Allgemeine Unternehmensdaten'!$F$33*(1+$M25)^(AU$20)/((1+$J25)^(AU$20))</f>
        <v>0</v>
      </c>
      <c r="AV25" s="151">
        <f>AV$22*$E25*'Allgemeine Unternehmensdaten'!$F$33*(1+$M25)^(AV$20)/((1+$J25)^(AV$20))</f>
        <v>0</v>
      </c>
      <c r="AW25" s="151">
        <f>AW$22*$E25*'Allgemeine Unternehmensdaten'!$F$33*(1+$M25)^(AW$20)/((1+$J25)^(AW$20))</f>
        <v>0</v>
      </c>
      <c r="AX25" s="151">
        <f>AX$22*$E25*'Allgemeine Unternehmensdaten'!$F$33*(1+$M25)^(AX$20)/((1+$J25)^(AX$20))</f>
        <v>0</v>
      </c>
      <c r="AY25" s="151">
        <f>AY$22*$E25*'Allgemeine Unternehmensdaten'!$F$33*(1+$M25)^(AY$20)/((1+$J25)^(AY$20))</f>
        <v>0</v>
      </c>
      <c r="AZ25" s="151">
        <f>AZ$22*$E25*'Allgemeine Unternehmensdaten'!$F$33*(1+$M25)^(AZ$20)/((1+$J25)^(AZ$20))</f>
        <v>0</v>
      </c>
      <c r="BA25" s="151">
        <f>BA$22*$E25*'Allgemeine Unternehmensdaten'!$F$33*(1+$M25)^(BA$20)/((1+$J25)^(BA$20))</f>
        <v>0</v>
      </c>
      <c r="BB25" s="151">
        <f>BB$22*$E25*'Allgemeine Unternehmensdaten'!$F$33*(1+$M25)^(BB$20)/((1+$J25)^(BB$20))</f>
        <v>0</v>
      </c>
      <c r="BC25" s="151">
        <f>BC$22*$E25*'Allgemeine Unternehmensdaten'!$F$33*(1+$M25)^(BC$20)/((1+$J25)^(BC$20))</f>
        <v>0</v>
      </c>
      <c r="BD25" s="151">
        <f>BD$22*$E25*'Allgemeine Unternehmensdaten'!$F$33*(1+$M25)^(BD$20)/((1+$J25)^(BD$20))</f>
        <v>0</v>
      </c>
      <c r="BE25" s="151">
        <f>BE$22*$E25*'Allgemeine Unternehmensdaten'!$F$33*(1+$M25)^(BE$20)/((1+$J25)^(BE$20))</f>
        <v>0</v>
      </c>
      <c r="BF25" s="151">
        <f>BF$22*$E25*'Allgemeine Unternehmensdaten'!$F$33*(1+$M25)^(BF$20)/((1+$J25)^(BF$20))</f>
        <v>0</v>
      </c>
      <c r="BG25" s="151">
        <f>BG$22*$E25*'Allgemeine Unternehmensdaten'!$F$33*(1+$M25)^(BG$20)/((1+$J25)^(BG$20))</f>
        <v>0</v>
      </c>
      <c r="BH25" s="151">
        <f>BH$22*$E25*'Allgemeine Unternehmensdaten'!$F$33*(1+$M25)^(BH$20)/((1+$J25)^(BH$20))</f>
        <v>0</v>
      </c>
      <c r="BI25" s="151">
        <f>BI$22*$E25*'Allgemeine Unternehmensdaten'!$F$33*(1+$M25)^(BI$20)/((1+$J25)^(BI$20))</f>
        <v>0</v>
      </c>
      <c r="BJ25" s="151">
        <f>BJ$22*$E25*'Allgemeine Unternehmensdaten'!$F$33*(1+$M25)^(BJ$20)/((1+$J25)^(BJ$20))</f>
        <v>0</v>
      </c>
      <c r="BK25" s="151">
        <f>BK$22*$E25*'Allgemeine Unternehmensdaten'!$F$33*(1+$M25)^(BK$20)/((1+$J25)^(BK$20))</f>
        <v>0</v>
      </c>
      <c r="BL25" s="151">
        <f>BL$22*$E25*'Allgemeine Unternehmensdaten'!$F$33*(1+$M25)^(BL$20)/((1+$J25)^(BL$20))</f>
        <v>0</v>
      </c>
      <c r="BM25" s="151">
        <f>BM$22*$E25*'Allgemeine Unternehmensdaten'!$F$33*(1+$M25)^(BM$20)/((1+$J25)^(BM$20))</f>
        <v>0</v>
      </c>
      <c r="BN25" s="151">
        <f>BN$22*$E25*'Allgemeine Unternehmensdaten'!$F$33*(1+$M25)^(BN$20)/((1+$J25)^(BN$20))</f>
        <v>0</v>
      </c>
      <c r="BO25" s="151">
        <f>BO$22*$E25*'Allgemeine Unternehmensdaten'!$F$33*(1+$M25)^(BO$20)/((1+$J25)^(BO$20))</f>
        <v>0</v>
      </c>
      <c r="BP25" s="151">
        <f>BP$22*$E25*'Allgemeine Unternehmensdaten'!$F$33*(1+$M25)^(BP$20)/((1+$J25)^(BP$20))</f>
        <v>0</v>
      </c>
      <c r="BQ25" s="151">
        <f>BQ$22*$E25*'Allgemeine Unternehmensdaten'!$F$33*(1+$M25)^(BQ$20)/((1+$J25)^(BQ$20))</f>
        <v>0</v>
      </c>
      <c r="BR25" s="151">
        <f>BR$22*$E25*'Allgemeine Unternehmensdaten'!$F$33*(1+$M25)^(BR$20)/((1+$J25)^(BR$20))</f>
        <v>0</v>
      </c>
      <c r="BS25" s="151">
        <f>BS$22*$E25*'Allgemeine Unternehmensdaten'!$F$33*(1+$M25)^(BS$20)/((1+$J25)^(BS$20))</f>
        <v>0</v>
      </c>
      <c r="BT25" s="151">
        <f>BT$22*$E25*'Allgemeine Unternehmensdaten'!$F$33*(1+$M25)^(BT$20)/((1+$J25)^(BT$20))</f>
        <v>0</v>
      </c>
      <c r="BV25" s="158" t="str">
        <f>$C$25</f>
        <v>Einspeisung Strom in kWh/Jahr</v>
      </c>
      <c r="BW25" s="151">
        <f>BW$22*$D25*'Allgemeine Unternehmensdaten'!$E$33*(1+$L25)^(BW$20)/((1+$I25)^(BW$20))</f>
        <v>0</v>
      </c>
      <c r="BX25" s="151">
        <f>BX$22*$D25*'Allgemeine Unternehmensdaten'!$E$33*(1+$L25)^(BX$20)/((1+$I25)^(BX$20))</f>
        <v>0</v>
      </c>
      <c r="BY25" s="151">
        <f>BY$22*$D25*'Allgemeine Unternehmensdaten'!$E$33*(1+$L25)^(BY$20)/((1+$I25)^(BY$20))</f>
        <v>0</v>
      </c>
      <c r="BZ25" s="151">
        <f>BZ$22*$D25*'Allgemeine Unternehmensdaten'!$E$33*(1+$L25)^(BZ$20)/((1+$I25)^(BZ$20))</f>
        <v>0</v>
      </c>
      <c r="CA25" s="151">
        <f>CA$22*$D25*'Allgemeine Unternehmensdaten'!$E$33*(1+$L25)^(CA$20)/((1+$I25)^(CA$20))</f>
        <v>0</v>
      </c>
      <c r="CB25" s="151">
        <f>CB$22*$D25*'Allgemeine Unternehmensdaten'!$E$33*(1+$L25)^(CB$20)/((1+$I25)^(CB$20))</f>
        <v>0</v>
      </c>
      <c r="CC25" s="151">
        <f>CC$22*$D25*'Allgemeine Unternehmensdaten'!$E$33*(1+$L25)^(CC$20)/((1+$I25)^(CC$20))</f>
        <v>0</v>
      </c>
      <c r="CD25" s="151">
        <f>CD$22*$D25*'Allgemeine Unternehmensdaten'!$E$33*(1+$L25)^(CD$20)/((1+$I25)^(CD$20))</f>
        <v>0</v>
      </c>
      <c r="CE25" s="151">
        <f>CE$22*$D25*'Allgemeine Unternehmensdaten'!$E$33*(1+$L25)^(CE$20)/((1+$I25)^(CE$20))</f>
        <v>0</v>
      </c>
      <c r="CF25" s="151">
        <f>CF$22*$D25*'Allgemeine Unternehmensdaten'!$E$33*(1+$L25)^(CF$20)/((1+$I25)^(CF$20))</f>
        <v>0</v>
      </c>
      <c r="CG25" s="151">
        <f>CG$22*$D25*'Allgemeine Unternehmensdaten'!$E$33*(1+$L25)^(CG$20)/((1+$I25)^(CG$20))</f>
        <v>0</v>
      </c>
      <c r="CH25" s="151">
        <f>CH$22*$D25*'Allgemeine Unternehmensdaten'!$E$33*(1+$L25)^(CH$20)/((1+$I25)^(CH$20))</f>
        <v>0</v>
      </c>
      <c r="CI25" s="151">
        <f>CI$22*$D25*'Allgemeine Unternehmensdaten'!$E$33*(1+$L25)^(CI$20)/((1+$I25)^(CI$20))</f>
        <v>0</v>
      </c>
      <c r="CJ25" s="151">
        <f>CJ$22*$D25*'Allgemeine Unternehmensdaten'!$E$33*(1+$L25)^(CJ$20)/((1+$I25)^(CJ$20))</f>
        <v>0</v>
      </c>
      <c r="CK25" s="151">
        <f>CK$22*$D25*'Allgemeine Unternehmensdaten'!$E$33*(1+$L25)^(CK$20)/((1+$I25)^(CK$20))</f>
        <v>0</v>
      </c>
      <c r="CL25" s="151">
        <f>CL$22*$D25*'Allgemeine Unternehmensdaten'!$E$33*(1+$L25)^(CL$20)/((1+$I25)^(CL$20))</f>
        <v>0</v>
      </c>
      <c r="CM25" s="151">
        <f>CM$22*$D25*'Allgemeine Unternehmensdaten'!$E$33*(1+$L25)^(CM$20)/((1+$I25)^(CM$20))</f>
        <v>0</v>
      </c>
      <c r="CN25" s="151">
        <f>CN$22*$D25*'Allgemeine Unternehmensdaten'!$E$33*(1+$L25)^(CN$20)/((1+$I25)^(CN$20))</f>
        <v>0</v>
      </c>
      <c r="CO25" s="151">
        <f>CO$22*$D25*'Allgemeine Unternehmensdaten'!$E$33*(1+$L25)^(CO$20)/((1+$I25)^(CO$20))</f>
        <v>0</v>
      </c>
      <c r="CP25" s="151">
        <f>CP$22*$D25*'Allgemeine Unternehmensdaten'!$E$33*(1+$L25)^(CP$20)/((1+$I25)^(CP$20))</f>
        <v>0</v>
      </c>
      <c r="CQ25" s="151">
        <f>CQ$22*$D25*'Allgemeine Unternehmensdaten'!$E$33*(1+$L25)^(CQ$20)/((1+$I25)^(CQ$20))</f>
        <v>0</v>
      </c>
      <c r="CR25" s="151">
        <f>CR$22*$D25*'Allgemeine Unternehmensdaten'!$E$33*(1+$L25)^(CR$20)/((1+$I25)^(CR$20))</f>
        <v>0</v>
      </c>
      <c r="CS25" s="151">
        <f>CS$22*$D25*'Allgemeine Unternehmensdaten'!$E$33*(1+$L25)^(CS$20)/((1+$I25)^(CS$20))</f>
        <v>0</v>
      </c>
      <c r="CT25" s="151">
        <f>CT$22*$D25*'Allgemeine Unternehmensdaten'!$E$33*(1+$L25)^(CT$20)/((1+$I25)^(CT$20))</f>
        <v>0</v>
      </c>
      <c r="CU25" s="151">
        <f>CU$22*$D25*'Allgemeine Unternehmensdaten'!$E$33*(1+$L25)^(CU$20)/((1+$I25)^(CU$20))</f>
        <v>0</v>
      </c>
      <c r="CV25" s="151">
        <f>CV$22*$D25*'Allgemeine Unternehmensdaten'!$E$33*(1+$L25)^(CV$20)/((1+$I25)^(CV$20))</f>
        <v>0</v>
      </c>
      <c r="CW25" s="151">
        <f>CW$22*$D25*'Allgemeine Unternehmensdaten'!$E$33*(1+$L25)^(CW$20)/((1+$I25)^(CW$20))</f>
        <v>0</v>
      </c>
      <c r="CX25" s="151">
        <f>CX$22*$D25*'Allgemeine Unternehmensdaten'!$E$33*(1+$L25)^(CX$20)/((1+$I25)^(CX$20))</f>
        <v>0</v>
      </c>
      <c r="CY25" s="151">
        <f>CY$22*$D25*'Allgemeine Unternehmensdaten'!$E$33*(1+$L25)^(CY$20)/((1+$I25)^(CY$20))</f>
        <v>0</v>
      </c>
      <c r="CZ25" s="151">
        <f>CZ$22*$D25*'Allgemeine Unternehmensdaten'!$E$33*(1+$L25)^(CZ$20)/((1+$I25)^(CZ$20))</f>
        <v>0</v>
      </c>
      <c r="DA25" s="151">
        <f>DA$22*$D25*'Allgemeine Unternehmensdaten'!$E$33*(1+$L25)^(DA$20)/((1+$I25)^(DA$20))</f>
        <v>0</v>
      </c>
      <c r="DB25" s="151">
        <f>DB$22*$D25*'Allgemeine Unternehmensdaten'!$E$33*(1+$L25)^(DB$20)/((1+$I25)^(DB$20))</f>
        <v>0</v>
      </c>
      <c r="DC25" s="151">
        <f>DC$22*$D25*'Allgemeine Unternehmensdaten'!$E$33*(1+$L25)^(DC$20)/((1+$I25)^(DC$20))</f>
        <v>0</v>
      </c>
      <c r="DD25" s="151">
        <f>DD$22*$D25*'Allgemeine Unternehmensdaten'!$E$33*(1+$L25)^(DD$20)/((1+$I25)^(DD$20))</f>
        <v>0</v>
      </c>
      <c r="DE25" s="151">
        <f>DE$22*$D25*'Allgemeine Unternehmensdaten'!$E$33*(1+$L25)^(DE$20)/((1+$I25)^(DE$20))</f>
        <v>0</v>
      </c>
      <c r="DF25" s="151">
        <f>DF$22*$D25*'Allgemeine Unternehmensdaten'!$E$33*(1+$L25)^(DF$20)/((1+$I25)^(DF$20))</f>
        <v>0</v>
      </c>
      <c r="DG25" s="151">
        <f>DG$22*$D25*'Allgemeine Unternehmensdaten'!$E$33*(1+$L25)^(DG$20)/((1+$I25)^(DG$20))</f>
        <v>0</v>
      </c>
      <c r="DH25" s="151">
        <f>DH$22*$D25*'Allgemeine Unternehmensdaten'!$E$33*(1+$L25)^(DH$20)/((1+$I25)^(DH$20))</f>
        <v>0</v>
      </c>
      <c r="DI25" s="151">
        <f>DI$22*$D25*'Allgemeine Unternehmensdaten'!$E$33*(1+$L25)^(DI$20)/((1+$I25)^(DI$20))</f>
        <v>0</v>
      </c>
      <c r="DJ25" s="151">
        <f>DJ$22*$D25*'Allgemeine Unternehmensdaten'!$E$33*(1+$L25)^(DJ$20)/((1+$I25)^(DJ$20))</f>
        <v>0</v>
      </c>
      <c r="DK25" s="151">
        <f>DK$22*$D25*'Allgemeine Unternehmensdaten'!$E$33*(1+$L25)^(DK$20)/((1+$I25)^(DK$20))</f>
        <v>0</v>
      </c>
      <c r="DL25" s="151">
        <f>DL$22*$D25*'Allgemeine Unternehmensdaten'!$E$33*(1+$L25)^(DL$20)/((1+$I25)^(DL$20))</f>
        <v>0</v>
      </c>
      <c r="DM25" s="151">
        <f>DM$22*$D25*'Allgemeine Unternehmensdaten'!$E$33*(1+$L25)^(DM$20)/((1+$I25)^(DM$20))</f>
        <v>0</v>
      </c>
      <c r="DN25" s="151">
        <f>DN$22*$D25*'Allgemeine Unternehmensdaten'!$E$33*(1+$L25)^(DN$20)/((1+$I25)^(DN$20))</f>
        <v>0</v>
      </c>
      <c r="DO25" s="151">
        <f>DO$22*$D25*'Allgemeine Unternehmensdaten'!$E$33*(1+$L25)^(DO$20)/((1+$I25)^(DO$20))</f>
        <v>0</v>
      </c>
      <c r="DP25" s="151">
        <f>DP$22*$D25*'Allgemeine Unternehmensdaten'!$E$33*(1+$L25)^(DP$20)/((1+$I25)^(DP$20))</f>
        <v>0</v>
      </c>
      <c r="DQ25" s="151">
        <f>DQ$22*$D25*'Allgemeine Unternehmensdaten'!$E$33*(1+$L25)^(DQ$20)/((1+$I25)^(DQ$20))</f>
        <v>0</v>
      </c>
      <c r="DR25" s="151">
        <f>DR$22*$D25*'Allgemeine Unternehmensdaten'!$E$33*(1+$L25)^(DR$20)/((1+$I25)^(DR$20))</f>
        <v>0</v>
      </c>
      <c r="DS25" s="151">
        <f>DS$22*$D25*'Allgemeine Unternehmensdaten'!$E$33*(1+$L25)^(DS$20)/((1+$I25)^(DS$20))</f>
        <v>0</v>
      </c>
      <c r="DT25" s="151">
        <f>DT$22*$D25*'Allgemeine Unternehmensdaten'!$E$33*(1+$L25)^(DT$20)/((1+$I25)^(DT$20))</f>
        <v>0</v>
      </c>
      <c r="DU25" s="151">
        <f>DU$22*$D25*'Allgemeine Unternehmensdaten'!$E$33*(1+$L25)^(DU$20)/((1+$I25)^(DU$20))</f>
        <v>0</v>
      </c>
      <c r="DV25" s="151">
        <f>DV$22*$D25*'Allgemeine Unternehmensdaten'!$E$33*(1+$L25)^(DV$20)/((1+$I25)^(DV$20))</f>
        <v>0</v>
      </c>
      <c r="DW25" s="151">
        <f>DW$22*$D25*'Allgemeine Unternehmensdaten'!$E$33*(1+$L25)^(DW$20)/((1+$I25)^(DW$20))</f>
        <v>0</v>
      </c>
      <c r="DX25" s="151">
        <f>DX$22*$D25*'Allgemeine Unternehmensdaten'!$E$33*(1+$L25)^(DX$20)/((1+$I25)^(DX$20))</f>
        <v>0</v>
      </c>
      <c r="DZ25" s="158" t="str">
        <f>$C$25</f>
        <v>Einspeisung Strom in kWh/Jahr</v>
      </c>
      <c r="EA25" s="151">
        <f>EA$22*$F25*'Allgemeine Unternehmensdaten'!$G$33*(1+$N25)^(EA$20)/((1+$K25)^(EA$20))</f>
        <v>0</v>
      </c>
      <c r="EB25" s="151">
        <f>EB$22*$F25*'Allgemeine Unternehmensdaten'!$G$33*(1+$N25)^(EB$20)/((1+$K25)^(EB$20))</f>
        <v>0</v>
      </c>
      <c r="EC25" s="151">
        <f>EC$22*$F25*'Allgemeine Unternehmensdaten'!$G$33*(1+$N25)^(EC$20)/((1+$K25)^(EC$20))</f>
        <v>0</v>
      </c>
      <c r="ED25" s="151">
        <f>ED$22*$F25*'Allgemeine Unternehmensdaten'!$G$33*(1+$N25)^(ED$20)/((1+$K25)^(ED$20))</f>
        <v>0</v>
      </c>
      <c r="EE25" s="151">
        <f>EE$22*$F25*'Allgemeine Unternehmensdaten'!$G$33*(1+$N25)^(EE$20)/((1+$K25)^(EE$20))</f>
        <v>0</v>
      </c>
      <c r="EF25" s="151">
        <f>EF$22*$F25*'Allgemeine Unternehmensdaten'!$G$33*(1+$N25)^(EF$20)/((1+$K25)^(EF$20))</f>
        <v>0</v>
      </c>
      <c r="EG25" s="151">
        <f>EG$22*$F25*'Allgemeine Unternehmensdaten'!$G$33*(1+$N25)^(EG$20)/((1+$K25)^(EG$20))</f>
        <v>0</v>
      </c>
      <c r="EH25" s="151">
        <f>EH$22*$F25*'Allgemeine Unternehmensdaten'!$G$33*(1+$N25)^(EH$20)/((1+$K25)^(EH$20))</f>
        <v>0</v>
      </c>
      <c r="EI25" s="151">
        <f>EI$22*$F25*'Allgemeine Unternehmensdaten'!$G$33*(1+$N25)^(EI$20)/((1+$K25)^(EI$20))</f>
        <v>0</v>
      </c>
      <c r="EJ25" s="151">
        <f>EJ$22*$F25*'Allgemeine Unternehmensdaten'!$G$33*(1+$N25)^(EJ$20)/((1+$K25)^(EJ$20))</f>
        <v>0</v>
      </c>
      <c r="EK25" s="151">
        <f>EK$22*$F25*'Allgemeine Unternehmensdaten'!$G$33*(1+$N25)^(EK$20)/((1+$K25)^(EK$20))</f>
        <v>0</v>
      </c>
      <c r="EL25" s="151">
        <f>EL$22*$F25*'Allgemeine Unternehmensdaten'!$G$33*(1+$N25)^(EL$20)/((1+$K25)^(EL$20))</f>
        <v>0</v>
      </c>
      <c r="EM25" s="151">
        <f>EM$22*$F25*'Allgemeine Unternehmensdaten'!$G$33*(1+$N25)^(EM$20)/((1+$K25)^(EM$20))</f>
        <v>0</v>
      </c>
      <c r="EN25" s="151">
        <f>EN$22*$F25*'Allgemeine Unternehmensdaten'!$G$33*(1+$N25)^(EN$20)/((1+$K25)^(EN$20))</f>
        <v>0</v>
      </c>
      <c r="EO25" s="151">
        <f>EO$22*$F25*'Allgemeine Unternehmensdaten'!$G$33*(1+$N25)^(EO$20)/((1+$K25)^(EO$20))</f>
        <v>0</v>
      </c>
      <c r="EP25" s="151">
        <f>EP$22*$F25*'Allgemeine Unternehmensdaten'!$G$33*(1+$N25)^(EP$20)/((1+$K25)^(EP$20))</f>
        <v>0</v>
      </c>
      <c r="EQ25" s="151">
        <f>EQ$22*$F25*'Allgemeine Unternehmensdaten'!$G$33*(1+$N25)^(EQ$20)/((1+$K25)^(EQ$20))</f>
        <v>0</v>
      </c>
      <c r="ER25" s="151">
        <f>ER$22*$F25*'Allgemeine Unternehmensdaten'!$G$33*(1+$N25)^(ER$20)/((1+$K25)^(ER$20))</f>
        <v>0</v>
      </c>
      <c r="ES25" s="151">
        <f>ES$22*$F25*'Allgemeine Unternehmensdaten'!$G$33*(1+$N25)^(ES$20)/((1+$K25)^(ES$20))</f>
        <v>0</v>
      </c>
      <c r="ET25" s="151">
        <f>ET$22*$F25*'Allgemeine Unternehmensdaten'!$G$33*(1+$N25)^(ET$20)/((1+$K25)^(ET$20))</f>
        <v>0</v>
      </c>
      <c r="EU25" s="151">
        <f>EU$22*$F25*'Allgemeine Unternehmensdaten'!$G$33*(1+$N25)^(EU$20)/((1+$K25)^(EU$20))</f>
        <v>0</v>
      </c>
      <c r="EV25" s="151">
        <f>EV$22*$F25*'Allgemeine Unternehmensdaten'!$G$33*(1+$N25)^(EV$20)/((1+$K25)^(EV$20))</f>
        <v>0</v>
      </c>
      <c r="EW25" s="151">
        <f>EW$22*$F25*'Allgemeine Unternehmensdaten'!$G$33*(1+$N25)^(EW$20)/((1+$K25)^(EW$20))</f>
        <v>0</v>
      </c>
      <c r="EX25" s="151">
        <f>EX$22*$F25*'Allgemeine Unternehmensdaten'!$G$33*(1+$N25)^(EX$20)/((1+$K25)^(EX$20))</f>
        <v>0</v>
      </c>
      <c r="EY25" s="151">
        <f>EY$22*$F25*'Allgemeine Unternehmensdaten'!$G$33*(1+$N25)^(EY$20)/((1+$K25)^(EY$20))</f>
        <v>0</v>
      </c>
      <c r="EZ25" s="151">
        <f>EZ$22*$F25*'Allgemeine Unternehmensdaten'!$G$33*(1+$N25)^(EZ$20)/((1+$K25)^(EZ$20))</f>
        <v>0</v>
      </c>
      <c r="FA25" s="151">
        <f>FA$22*$F25*'Allgemeine Unternehmensdaten'!$G$33*(1+$N25)^(FA$20)/((1+$K25)^(FA$20))</f>
        <v>0</v>
      </c>
      <c r="FB25" s="151">
        <f>FB$22*$F25*'Allgemeine Unternehmensdaten'!$G$33*(1+$N25)^(FB$20)/((1+$K25)^(FB$20))</f>
        <v>0</v>
      </c>
      <c r="FC25" s="151">
        <f>FC$22*$F25*'Allgemeine Unternehmensdaten'!$G$33*(1+$N25)^(FC$20)/((1+$K25)^(FC$20))</f>
        <v>0</v>
      </c>
      <c r="FD25" s="151">
        <f>FD$22*$F25*'Allgemeine Unternehmensdaten'!$G$33*(1+$N25)^(FD$20)/((1+$K25)^(FD$20))</f>
        <v>0</v>
      </c>
      <c r="FE25" s="151">
        <f>FE$22*$F25*'Allgemeine Unternehmensdaten'!$G$33*(1+$N25)^(FE$20)/((1+$K25)^(FE$20))</f>
        <v>0</v>
      </c>
      <c r="FF25" s="151">
        <f>FF$22*$F25*'Allgemeine Unternehmensdaten'!$G$33*(1+$N25)^(FF$20)/((1+$K25)^(FF$20))</f>
        <v>0</v>
      </c>
      <c r="FG25" s="151">
        <f>FG$22*$F25*'Allgemeine Unternehmensdaten'!$G$33*(1+$N25)^(FG$20)/((1+$K25)^(FG$20))</f>
        <v>0</v>
      </c>
      <c r="FH25" s="151">
        <f>FH$22*$F25*'Allgemeine Unternehmensdaten'!$G$33*(1+$N25)^(FH$20)/((1+$K25)^(FH$20))</f>
        <v>0</v>
      </c>
      <c r="FI25" s="151">
        <f>FI$22*$F25*'Allgemeine Unternehmensdaten'!$G$33*(1+$N25)^(FI$20)/((1+$K25)^(FI$20))</f>
        <v>0</v>
      </c>
      <c r="FJ25" s="151">
        <f>FJ$22*$F25*'Allgemeine Unternehmensdaten'!$G$33*(1+$N25)^(FJ$20)/((1+$K25)^(FJ$20))</f>
        <v>0</v>
      </c>
      <c r="FK25" s="151">
        <f>FK$22*$F25*'Allgemeine Unternehmensdaten'!$G$33*(1+$N25)^(FK$20)/((1+$K25)^(FK$20))</f>
        <v>0</v>
      </c>
      <c r="FL25" s="151">
        <f>FL$22*$F25*'Allgemeine Unternehmensdaten'!$G$33*(1+$N25)^(FL$20)/((1+$K25)^(FL$20))</f>
        <v>0</v>
      </c>
      <c r="FM25" s="151">
        <f>FM$22*$F25*'Allgemeine Unternehmensdaten'!$G$33*(1+$N25)^(FM$20)/((1+$K25)^(FM$20))</f>
        <v>0</v>
      </c>
      <c r="FN25" s="151">
        <f>FN$22*$F25*'Allgemeine Unternehmensdaten'!$G$33*(1+$N25)^(FN$20)/((1+$K25)^(FN$20))</f>
        <v>0</v>
      </c>
      <c r="FO25" s="151">
        <f>FO$22*$F25*'Allgemeine Unternehmensdaten'!$G$33*(1+$N25)^(FO$20)/((1+$K25)^(FO$20))</f>
        <v>0</v>
      </c>
      <c r="FP25" s="151">
        <f>FP$22*$F25*'Allgemeine Unternehmensdaten'!$G$33*(1+$N25)^(FP$20)/((1+$K25)^(FP$20))</f>
        <v>0</v>
      </c>
      <c r="FQ25" s="151">
        <f>FQ$22*$F25*'Allgemeine Unternehmensdaten'!$G$33*(1+$N25)^(FQ$20)/((1+$K25)^(FQ$20))</f>
        <v>0</v>
      </c>
      <c r="FR25" s="151">
        <f>FR$22*$F25*'Allgemeine Unternehmensdaten'!$G$33*(1+$N25)^(FR$20)/((1+$K25)^(FR$20))</f>
        <v>0</v>
      </c>
      <c r="FS25" s="151">
        <f>FS$22*$F25*'Allgemeine Unternehmensdaten'!$G$33*(1+$N25)^(FS$20)/((1+$K25)^(FS$20))</f>
        <v>0</v>
      </c>
      <c r="FT25" s="151">
        <f>FT$22*$F25*'Allgemeine Unternehmensdaten'!$G$33*(1+$N25)^(FT$20)/((1+$K25)^(FT$20))</f>
        <v>0</v>
      </c>
      <c r="FU25" s="151">
        <f>FU$22*$F25*'Allgemeine Unternehmensdaten'!$G$33*(1+$N25)^(FU$20)/((1+$K25)^(FU$20))</f>
        <v>0</v>
      </c>
      <c r="FV25" s="151">
        <f>FV$22*$F25*'Allgemeine Unternehmensdaten'!$G$33*(1+$N25)^(FV$20)/((1+$K25)^(FV$20))</f>
        <v>0</v>
      </c>
      <c r="FW25" s="151">
        <f>FW$22*$F25*'Allgemeine Unternehmensdaten'!$G$33*(1+$N25)^(FW$20)/((1+$K25)^(FW$20))</f>
        <v>0</v>
      </c>
      <c r="FX25" s="151">
        <f>FX$22*$F25*'Allgemeine Unternehmensdaten'!$G$33*(1+$N25)^(FX$20)/((1+$K25)^(FX$20))</f>
        <v>0</v>
      </c>
      <c r="FY25" s="151">
        <f>FY$22*$F25*'Allgemeine Unternehmensdaten'!$G$33*(1+$N25)^(FY$20)/((1+$K25)^(FY$20))</f>
        <v>0</v>
      </c>
      <c r="FZ25" s="151">
        <f>FZ$22*$F25*'Allgemeine Unternehmensdaten'!$G$33*(1+$N25)^(FZ$20)/((1+$K25)^(FZ$20))</f>
        <v>0</v>
      </c>
      <c r="GA25" s="151">
        <f>GA$22*$F25*'Allgemeine Unternehmensdaten'!$G$33*(1+$N25)^(GA$20)/((1+$K25)^(GA$20))</f>
        <v>0</v>
      </c>
      <c r="GB25" s="151">
        <f>GB$22*$F25*'Allgemeine Unternehmensdaten'!$G$33*(1+$N25)^(GB$20)/((1+$K25)^(GB$20))</f>
        <v>0</v>
      </c>
    </row>
    <row r="26" spans="1:184" ht="17.25" customHeight="1" x14ac:dyDescent="0.5">
      <c r="B26" s="322"/>
      <c r="C26" s="101" t="s">
        <v>227</v>
      </c>
      <c r="D26" s="161">
        <f t="shared" ref="D26:F27" si="12">IF(D12&gt;G12,IFERROR((D12-G12)/D12,0),0)</f>
        <v>0</v>
      </c>
      <c r="E26" s="161">
        <f t="shared" si="12"/>
        <v>0</v>
      </c>
      <c r="F26" s="161">
        <f t="shared" si="12"/>
        <v>0</v>
      </c>
      <c r="G26" s="1">
        <v>99</v>
      </c>
      <c r="H26" s="143">
        <v>99</v>
      </c>
      <c r="I26" s="162">
        <v>0</v>
      </c>
      <c r="J26" s="155">
        <v>0</v>
      </c>
      <c r="K26" s="163">
        <v>0</v>
      </c>
      <c r="L26" s="164">
        <f>'Allgemeine Unternehmensdaten'!$E$14</f>
        <v>0.04</v>
      </c>
      <c r="M26" s="165">
        <f>'Allgemeine Unternehmensdaten'!$F$14</f>
        <v>0.03</v>
      </c>
      <c r="N26" s="166">
        <f>'Allgemeine Unternehmensdaten'!$G$14</f>
        <v>0.02</v>
      </c>
      <c r="R26" s="150" t="s">
        <v>131</v>
      </c>
      <c r="S26" s="151">
        <f>'Allgemeine Unternehmensdaten'!$F$13*S$22*$E12*$E26*($M26+1)^(S$20)/((1+$J26)^(S$20))</f>
        <v>0</v>
      </c>
      <c r="T26" s="151">
        <f>'Allgemeine Unternehmensdaten'!$F$13*T$22*$E12*$E26*($M26+1)^(T$20)/((1+$J26)^(T$20))</f>
        <v>0</v>
      </c>
      <c r="U26" s="151">
        <f>'Allgemeine Unternehmensdaten'!$F$13*U$22*$E12*$E26*($M26+1)^(U$20)/((1+$J26)^(U$20))</f>
        <v>0</v>
      </c>
      <c r="V26" s="151">
        <f>'Allgemeine Unternehmensdaten'!$F$13*V$22*$E12*$E26*($M26+1)^(V$20)/((1+$J26)^(V$20))</f>
        <v>0</v>
      </c>
      <c r="W26" s="151">
        <f>'Allgemeine Unternehmensdaten'!$F$13*W$22*$E12*$E26*($M26+1)^(W$20)/((1+$J26)^(W$20))</f>
        <v>0</v>
      </c>
      <c r="X26" s="151">
        <f>'Allgemeine Unternehmensdaten'!$F$13*X$22*$E12*$E26*($M26+1)^(X$20)/((1+$J26)^(X$20))</f>
        <v>0</v>
      </c>
      <c r="Y26" s="151">
        <f>'Allgemeine Unternehmensdaten'!$F$13*Y$22*$E12*$E26*($M26+1)^(Y$20)/((1+$J26)^(Y$20))</f>
        <v>0</v>
      </c>
      <c r="Z26" s="151">
        <f>'Allgemeine Unternehmensdaten'!$F$13*Z$22*$E12*$E26*($M26+1)^(Z$20)/((1+$J26)^(Z$20))</f>
        <v>0</v>
      </c>
      <c r="AA26" s="151">
        <f>'Allgemeine Unternehmensdaten'!$F$13*AA$22*$E12*$E26*($M26+1)^(AA$20)/((1+$J26)^(AA$20))</f>
        <v>0</v>
      </c>
      <c r="AB26" s="151">
        <f>'Allgemeine Unternehmensdaten'!$F$13*AB$22*$E12*$E26*($M26+1)^(AB$20)/((1+$J26)^(AB$20))</f>
        <v>0</v>
      </c>
      <c r="AC26" s="151">
        <f>'Allgemeine Unternehmensdaten'!$F$13*AC$22*$E12*$E26*($M26+1)^(AC$20)/((1+$J26)^(AC$20))</f>
        <v>0</v>
      </c>
      <c r="AD26" s="151">
        <f>'Allgemeine Unternehmensdaten'!$F$13*AD$22*$E12*$E26*($M26+1)^(AD$20)/((1+$J26)^(AD$20))</f>
        <v>0</v>
      </c>
      <c r="AE26" s="151">
        <f>'Allgemeine Unternehmensdaten'!$F$13*AE$22*$E12*$E26*($M26+1)^(AE$20)/((1+$J26)^(AE$20))</f>
        <v>0</v>
      </c>
      <c r="AF26" s="151">
        <f>'Allgemeine Unternehmensdaten'!$F$13*AF$22*$E12*$E26*($M26+1)^(AF$20)/((1+$J26)^(AF$20))</f>
        <v>0</v>
      </c>
      <c r="AG26" s="151">
        <f>'Allgemeine Unternehmensdaten'!$F$13*AG$22*$E12*$E26*($M26+1)^(AG$20)/((1+$J26)^(AG$20))</f>
        <v>0</v>
      </c>
      <c r="AH26" s="151">
        <f>'Allgemeine Unternehmensdaten'!$F$13*AH$22*$E12*$E26*($M26+1)^(AH$20)/((1+$J26)^(AH$20))</f>
        <v>0</v>
      </c>
      <c r="AI26" s="151">
        <f>'Allgemeine Unternehmensdaten'!$F$13*AI$22*$E12*$E26*($M26+1)^(AI$20)/((1+$J26)^(AI$20))</f>
        <v>0</v>
      </c>
      <c r="AJ26" s="151">
        <f>'Allgemeine Unternehmensdaten'!$F$13*AJ$22*$E12*$E26*($M26+1)^(AJ$20)/((1+$J26)^(AJ$20))</f>
        <v>0</v>
      </c>
      <c r="AK26" s="151">
        <f>'Allgemeine Unternehmensdaten'!$F$13*AK$22*$E12*$E26*($M26+1)^(AK$20)/((1+$J26)^(AK$20))</f>
        <v>0</v>
      </c>
      <c r="AL26" s="151">
        <f>'Allgemeine Unternehmensdaten'!$F$13*AL$22*$E12*$E26*($M26+1)^(AL$20)/((1+$J26)^(AL$20))</f>
        <v>0</v>
      </c>
      <c r="AM26" s="151">
        <f>'Allgemeine Unternehmensdaten'!$F$13*AM$22*$E12*$E26*($M26+1)^(AM$20)/((1+$J26)^(AM$20))</f>
        <v>0</v>
      </c>
      <c r="AN26" s="151">
        <f>'Allgemeine Unternehmensdaten'!$F$13*AN$22*$E12*$E26*($M26+1)^(AN$20)/((1+$J26)^(AN$20))</f>
        <v>0</v>
      </c>
      <c r="AO26" s="151">
        <f>'Allgemeine Unternehmensdaten'!$F$13*AO$22*$E12*$E26*($M26+1)^(AO$20)/((1+$J26)^(AO$20))</f>
        <v>0</v>
      </c>
      <c r="AP26" s="151">
        <f>'Allgemeine Unternehmensdaten'!$F$13*AP$22*$E12*$E26*($M26+1)^(AP$20)/((1+$J26)^(AP$20))</f>
        <v>0</v>
      </c>
      <c r="AQ26" s="151">
        <f>'Allgemeine Unternehmensdaten'!$F$13*AQ$22*$E12*$E26*($M26+1)^(AQ$20)/((1+$J26)^(AQ$20))</f>
        <v>0</v>
      </c>
      <c r="AR26" s="151">
        <f>'Allgemeine Unternehmensdaten'!$F$13*AR$22*$E12*$E26*($M26+1)^(AR$20)/((1+$J26)^(AR$20))</f>
        <v>0</v>
      </c>
      <c r="AS26" s="151">
        <f>'Allgemeine Unternehmensdaten'!$F$13*AS$22*$E12*$E26*($M26+1)^(AS$20)/((1+$J26)^(AS$20))</f>
        <v>0</v>
      </c>
      <c r="AT26" s="151">
        <f>'Allgemeine Unternehmensdaten'!$F$13*AT$22*$E12*$E26*($M26+1)^(AT$20)/((1+$J26)^(AT$20))</f>
        <v>0</v>
      </c>
      <c r="AU26" s="151">
        <f>'Allgemeine Unternehmensdaten'!$F$13*AU$22*$E12*$E26*($M26+1)^(AU$20)/((1+$J26)^(AU$20))</f>
        <v>0</v>
      </c>
      <c r="AV26" s="151">
        <f>'Allgemeine Unternehmensdaten'!$F$13*AV$22*$E12*$E26*($M26+1)^(AV$20)/((1+$J26)^(AV$20))</f>
        <v>0</v>
      </c>
      <c r="AW26" s="151">
        <f>'Allgemeine Unternehmensdaten'!$F$13*AW$22*$E12*$E26*($M26+1)^(AW$20)/((1+$J26)^(AW$20))</f>
        <v>0</v>
      </c>
      <c r="AX26" s="151">
        <f>'Allgemeine Unternehmensdaten'!$F$13*AX$22*$E12*$E26*($M26+1)^(AX$20)/((1+$J26)^(AX$20))</f>
        <v>0</v>
      </c>
      <c r="AY26" s="151">
        <f>'Allgemeine Unternehmensdaten'!$F$13*AY$22*$E12*$E26*($M26+1)^(AY$20)/((1+$J26)^(AY$20))</f>
        <v>0</v>
      </c>
      <c r="AZ26" s="151">
        <f>'Allgemeine Unternehmensdaten'!$F$13*AZ$22*$E12*$E26*($M26+1)^(AZ$20)/((1+$J26)^(AZ$20))</f>
        <v>0</v>
      </c>
      <c r="BA26" s="151">
        <f>'Allgemeine Unternehmensdaten'!$F$13*BA$22*$E12*$E26*($M26+1)^(BA$20)/((1+$J26)^(BA$20))</f>
        <v>0</v>
      </c>
      <c r="BB26" s="151">
        <f>'Allgemeine Unternehmensdaten'!$F$13*BB$22*$E12*$E26*($M26+1)^(BB$20)/((1+$J26)^(BB$20))</f>
        <v>0</v>
      </c>
      <c r="BC26" s="151">
        <f>'Allgemeine Unternehmensdaten'!$F$13*BC$22*$E12*$E26*($M26+1)^(BC$20)/((1+$J26)^(BC$20))</f>
        <v>0</v>
      </c>
      <c r="BD26" s="151">
        <f>'Allgemeine Unternehmensdaten'!$F$13*BD$22*$E12*$E26*($M26+1)^(BD$20)/((1+$J26)^(BD$20))</f>
        <v>0</v>
      </c>
      <c r="BE26" s="151">
        <f>'Allgemeine Unternehmensdaten'!$F$13*BE$22*$E12*$E26*($M26+1)^(BE$20)/((1+$J26)^(BE$20))</f>
        <v>0</v>
      </c>
      <c r="BF26" s="151">
        <f>'Allgemeine Unternehmensdaten'!$F$13*BF$22*$E12*$E26*($M26+1)^(BF$20)/((1+$J26)^(BF$20))</f>
        <v>0</v>
      </c>
      <c r="BG26" s="151">
        <f>'Allgemeine Unternehmensdaten'!$F$13*BG$22*$E12*$E26*($M26+1)^(BG$20)/((1+$J26)^(BG$20))</f>
        <v>0</v>
      </c>
      <c r="BH26" s="151">
        <f>'Allgemeine Unternehmensdaten'!$F$13*BH$22*$E12*$E26*($M26+1)^(BH$20)/((1+$J26)^(BH$20))</f>
        <v>0</v>
      </c>
      <c r="BI26" s="151">
        <f>'Allgemeine Unternehmensdaten'!$F$13*BI$22*$E12*$E26*($M26+1)^(BI$20)/((1+$J26)^(BI$20))</f>
        <v>0</v>
      </c>
      <c r="BJ26" s="151">
        <f>'Allgemeine Unternehmensdaten'!$F$13*BJ$22*$E12*$E26*($M26+1)^(BJ$20)/((1+$J26)^(BJ$20))</f>
        <v>0</v>
      </c>
      <c r="BK26" s="151">
        <f>'Allgemeine Unternehmensdaten'!$F$13*BK$22*$E12*$E26*($M26+1)^(BK$20)/((1+$J26)^(BK$20))</f>
        <v>0</v>
      </c>
      <c r="BL26" s="151">
        <f>'Allgemeine Unternehmensdaten'!$F$13*BL$22*$E12*$E26*($M26+1)^(BL$20)/((1+$J26)^(BL$20))</f>
        <v>0</v>
      </c>
      <c r="BM26" s="151">
        <f>'Allgemeine Unternehmensdaten'!$F$13*BM$22*$E12*$E26*($M26+1)^(BM$20)/((1+$J26)^(BM$20))</f>
        <v>0</v>
      </c>
      <c r="BN26" s="151">
        <f>'Allgemeine Unternehmensdaten'!$F$13*BN$22*$E12*$E26*($M26+1)^(BN$20)/((1+$J26)^(BN$20))</f>
        <v>0</v>
      </c>
      <c r="BO26" s="151">
        <f>'Allgemeine Unternehmensdaten'!$F$13*BO$22*$E12*$E26*($M26+1)^(BO$20)/((1+$J26)^(BO$20))</f>
        <v>0</v>
      </c>
      <c r="BP26" s="151">
        <f>'Allgemeine Unternehmensdaten'!$F$13*BP$22*$E12*$E26*($M26+1)^(BP$20)/((1+$J26)^(BP$20))</f>
        <v>0</v>
      </c>
      <c r="BQ26" s="151">
        <f>'Allgemeine Unternehmensdaten'!$F$13*BQ$22*$E12*$E26*($M26+1)^(BQ$20)/((1+$J26)^(BQ$20))</f>
        <v>0</v>
      </c>
      <c r="BR26" s="151">
        <f>'Allgemeine Unternehmensdaten'!$F$13*BR$22*$E12*$E26*($M26+1)^(BR$20)/((1+$J26)^(BR$20))</f>
        <v>0</v>
      </c>
      <c r="BS26" s="151">
        <f>'Allgemeine Unternehmensdaten'!$F$13*BS$22*$E12*$E26*($M26+1)^(BS$20)/((1+$J26)^(BS$20))</f>
        <v>0</v>
      </c>
      <c r="BT26" s="151">
        <f>'Allgemeine Unternehmensdaten'!$F$13*BT$22*$E12*$E26*($M26+1)^(BT$20)/((1+$J26)^(BT$20))</f>
        <v>0</v>
      </c>
      <c r="BV26" s="150" t="s">
        <v>131</v>
      </c>
      <c r="BW26" s="151">
        <f>'Allgemeine Unternehmensdaten'!$E$13*BW$22*$D12*$D26*($L26+1)^(BW$20)/((1+$I26)^(BW$20))</f>
        <v>0</v>
      </c>
      <c r="BX26" s="151">
        <f>'Allgemeine Unternehmensdaten'!$E$13*BX$22*$D12*$D26*($L26+1)^(BX$20)/((1+$I26)^(BX$20))</f>
        <v>0</v>
      </c>
      <c r="BY26" s="151">
        <f>'Allgemeine Unternehmensdaten'!$E$13*BY$22*$D12*$D26*($L26+1)^(BY$20)/((1+$I26)^(BY$20))</f>
        <v>0</v>
      </c>
      <c r="BZ26" s="151">
        <f>'Allgemeine Unternehmensdaten'!$E$13*BZ$22*$D12*$D26*($L26+1)^(BZ$20)/((1+$I26)^(BZ$20))</f>
        <v>0</v>
      </c>
      <c r="CA26" s="151">
        <f>'Allgemeine Unternehmensdaten'!$E$13*CA$22*$D12*$D26*($L26+1)^(CA$20)/((1+$I26)^(CA$20))</f>
        <v>0</v>
      </c>
      <c r="CB26" s="151">
        <f>'Allgemeine Unternehmensdaten'!$E$13*CB$22*$D12*$D26*($L26+1)^(CB$20)/((1+$I26)^(CB$20))</f>
        <v>0</v>
      </c>
      <c r="CC26" s="151">
        <f>'Allgemeine Unternehmensdaten'!$E$13*CC$22*$D12*$D26*($L26+1)^(CC$20)/((1+$I26)^(CC$20))</f>
        <v>0</v>
      </c>
      <c r="CD26" s="151">
        <f>'Allgemeine Unternehmensdaten'!$E$13*CD$22*$D12*$D26*($L26+1)^(CD$20)/((1+$I26)^(CD$20))</f>
        <v>0</v>
      </c>
      <c r="CE26" s="151">
        <f>'Allgemeine Unternehmensdaten'!$E$13*CE$22*$D12*$D26*($L26+1)^(CE$20)/((1+$I26)^(CE$20))</f>
        <v>0</v>
      </c>
      <c r="CF26" s="151">
        <f>'Allgemeine Unternehmensdaten'!$E$13*CF$22*$D12*$D26*($L26+1)^(CF$20)/((1+$I26)^(CF$20))</f>
        <v>0</v>
      </c>
      <c r="CG26" s="151">
        <f>'Allgemeine Unternehmensdaten'!$E$13*CG$22*$D12*$D26*($L26+1)^(CG$20)/((1+$I26)^(CG$20))</f>
        <v>0</v>
      </c>
      <c r="CH26" s="151">
        <f>'Allgemeine Unternehmensdaten'!$E$13*CH$22*$D12*$D26*($L26+1)^(CH$20)/((1+$I26)^(CH$20))</f>
        <v>0</v>
      </c>
      <c r="CI26" s="151">
        <f>'Allgemeine Unternehmensdaten'!$E$13*CI$22*$D12*$D26*($L26+1)^(CI$20)/((1+$I26)^(CI$20))</f>
        <v>0</v>
      </c>
      <c r="CJ26" s="151">
        <f>'Allgemeine Unternehmensdaten'!$E$13*CJ$22*$D12*$D26*($L26+1)^(CJ$20)/((1+$I26)^(CJ$20))</f>
        <v>0</v>
      </c>
      <c r="CK26" s="151">
        <f>'Allgemeine Unternehmensdaten'!$E$13*CK$22*$D12*$D26*($L26+1)^(CK$20)/((1+$I26)^(CK$20))</f>
        <v>0</v>
      </c>
      <c r="CL26" s="151">
        <f>'Allgemeine Unternehmensdaten'!$E$13*CL$22*$D12*$D26*($L26+1)^(CL$20)/((1+$I26)^(CL$20))</f>
        <v>0</v>
      </c>
      <c r="CM26" s="151">
        <f>'Allgemeine Unternehmensdaten'!$E$13*CM$22*$D12*$D26*($L26+1)^(CM$20)/((1+$I26)^(CM$20))</f>
        <v>0</v>
      </c>
      <c r="CN26" s="151">
        <f>'Allgemeine Unternehmensdaten'!$E$13*CN$22*$D12*$D26*($L26+1)^(CN$20)/((1+$I26)^(CN$20))</f>
        <v>0</v>
      </c>
      <c r="CO26" s="151">
        <f>'Allgemeine Unternehmensdaten'!$E$13*CO$22*$D12*$D26*($L26+1)^(CO$20)/((1+$I26)^(CO$20))</f>
        <v>0</v>
      </c>
      <c r="CP26" s="151">
        <f>'Allgemeine Unternehmensdaten'!$E$13*CP$22*$D12*$D26*($L26+1)^(CP$20)/((1+$I26)^(CP$20))</f>
        <v>0</v>
      </c>
      <c r="CQ26" s="151">
        <f>'Allgemeine Unternehmensdaten'!$E$13*CQ$22*$D12*$D26*($L26+1)^(CQ$20)/((1+$I26)^(CQ$20))</f>
        <v>0</v>
      </c>
      <c r="CR26" s="151">
        <f>'Allgemeine Unternehmensdaten'!$E$13*CR$22*$D12*$D26*($L26+1)^(CR$20)/((1+$I26)^(CR$20))</f>
        <v>0</v>
      </c>
      <c r="CS26" s="151">
        <f>'Allgemeine Unternehmensdaten'!$E$13*CS$22*$D12*$D26*($L26+1)^(CS$20)/((1+$I26)^(CS$20))</f>
        <v>0</v>
      </c>
      <c r="CT26" s="151">
        <f>'Allgemeine Unternehmensdaten'!$E$13*CT$22*$D12*$D26*($L26+1)^(CT$20)/((1+$I26)^(CT$20))</f>
        <v>0</v>
      </c>
      <c r="CU26" s="151">
        <f>'Allgemeine Unternehmensdaten'!$E$13*CU$22*$D12*$D26*($L26+1)^(CU$20)/((1+$I26)^(CU$20))</f>
        <v>0</v>
      </c>
      <c r="CV26" s="151">
        <f>'Allgemeine Unternehmensdaten'!$E$13*CV$22*$D12*$D26*($L26+1)^(CV$20)/((1+$I26)^(CV$20))</f>
        <v>0</v>
      </c>
      <c r="CW26" s="151">
        <f>'Allgemeine Unternehmensdaten'!$E$13*CW$22*$D12*$D26*($L26+1)^(CW$20)/((1+$I26)^(CW$20))</f>
        <v>0</v>
      </c>
      <c r="CX26" s="151">
        <f>'Allgemeine Unternehmensdaten'!$E$13*CX$22*$D12*$D26*($L26+1)^(CX$20)/((1+$I26)^(CX$20))</f>
        <v>0</v>
      </c>
      <c r="CY26" s="151">
        <f>'Allgemeine Unternehmensdaten'!$E$13*CY$22*$D12*$D26*($L26+1)^(CY$20)/((1+$I26)^(CY$20))</f>
        <v>0</v>
      </c>
      <c r="CZ26" s="151">
        <f>'Allgemeine Unternehmensdaten'!$E$13*CZ$22*$D12*$D26*($L26+1)^(CZ$20)/((1+$I26)^(CZ$20))</f>
        <v>0</v>
      </c>
      <c r="DA26" s="151">
        <f>'Allgemeine Unternehmensdaten'!$E$13*DA$22*$D12*$D26*($L26+1)^(DA$20)/((1+$I26)^(DA$20))</f>
        <v>0</v>
      </c>
      <c r="DB26" s="151">
        <f>'Allgemeine Unternehmensdaten'!$E$13*DB$22*$D12*$D26*($L26+1)^(DB$20)/((1+$I26)^(DB$20))</f>
        <v>0</v>
      </c>
      <c r="DC26" s="151">
        <f>'Allgemeine Unternehmensdaten'!$E$13*DC$22*$D12*$D26*($L26+1)^(DC$20)/((1+$I26)^(DC$20))</f>
        <v>0</v>
      </c>
      <c r="DD26" s="151">
        <f>'Allgemeine Unternehmensdaten'!$E$13*DD$22*$D12*$D26*($L26+1)^(DD$20)/((1+$I26)^(DD$20))</f>
        <v>0</v>
      </c>
      <c r="DE26" s="151">
        <f>'Allgemeine Unternehmensdaten'!$E$13*DE$22*$D12*$D26*($L26+1)^(DE$20)/((1+$I26)^(DE$20))</f>
        <v>0</v>
      </c>
      <c r="DF26" s="151">
        <f>'Allgemeine Unternehmensdaten'!$E$13*DF$22*$D12*$D26*($L26+1)^(DF$20)/((1+$I26)^(DF$20))</f>
        <v>0</v>
      </c>
      <c r="DG26" s="151">
        <f>'Allgemeine Unternehmensdaten'!$E$13*DG$22*$D12*$D26*($L26+1)^(DG$20)/((1+$I26)^(DG$20))</f>
        <v>0</v>
      </c>
      <c r="DH26" s="151">
        <f>'Allgemeine Unternehmensdaten'!$E$13*DH$22*$D12*$D26*($L26+1)^(DH$20)/((1+$I26)^(DH$20))</f>
        <v>0</v>
      </c>
      <c r="DI26" s="151">
        <f>'Allgemeine Unternehmensdaten'!$E$13*DI$22*$D12*$D26*($L26+1)^(DI$20)/((1+$I26)^(DI$20))</f>
        <v>0</v>
      </c>
      <c r="DJ26" s="151">
        <f>'Allgemeine Unternehmensdaten'!$E$13*DJ$22*$D12*$D26*($L26+1)^(DJ$20)/((1+$I26)^(DJ$20))</f>
        <v>0</v>
      </c>
      <c r="DK26" s="151">
        <f>'Allgemeine Unternehmensdaten'!$E$13*DK$22*$D12*$D26*($L26+1)^(DK$20)/((1+$I26)^(DK$20))</f>
        <v>0</v>
      </c>
      <c r="DL26" s="151">
        <f>'Allgemeine Unternehmensdaten'!$E$13*DL$22*$D12*$D26*($L26+1)^(DL$20)/((1+$I26)^(DL$20))</f>
        <v>0</v>
      </c>
      <c r="DM26" s="151">
        <f>'Allgemeine Unternehmensdaten'!$E$13*DM$22*$D12*$D26*($L26+1)^(DM$20)/((1+$I26)^(DM$20))</f>
        <v>0</v>
      </c>
      <c r="DN26" s="151">
        <f>'Allgemeine Unternehmensdaten'!$E$13*DN$22*$D12*$D26*($L26+1)^(DN$20)/((1+$I26)^(DN$20))</f>
        <v>0</v>
      </c>
      <c r="DO26" s="151">
        <f>'Allgemeine Unternehmensdaten'!$E$13*DO$22*$D12*$D26*($L26+1)^(DO$20)/((1+$I26)^(DO$20))</f>
        <v>0</v>
      </c>
      <c r="DP26" s="151">
        <f>'Allgemeine Unternehmensdaten'!$E$13*DP$22*$D12*$D26*($L26+1)^(DP$20)/((1+$I26)^(DP$20))</f>
        <v>0</v>
      </c>
      <c r="DQ26" s="151">
        <f>'Allgemeine Unternehmensdaten'!$E$13*DQ$22*$D12*$D26*($L26+1)^(DQ$20)/((1+$I26)^(DQ$20))</f>
        <v>0</v>
      </c>
      <c r="DR26" s="151">
        <f>'Allgemeine Unternehmensdaten'!$E$13*DR$22*$D12*$D26*($L26+1)^(DR$20)/((1+$I26)^(DR$20))</f>
        <v>0</v>
      </c>
      <c r="DS26" s="151">
        <f>'Allgemeine Unternehmensdaten'!$E$13*DS$22*$D12*$D26*($L26+1)^(DS$20)/((1+$I26)^(DS$20))</f>
        <v>0</v>
      </c>
      <c r="DT26" s="151">
        <f>'Allgemeine Unternehmensdaten'!$E$13*DT$22*$D12*$D26*($L26+1)^(DT$20)/((1+$I26)^(DT$20))</f>
        <v>0</v>
      </c>
      <c r="DU26" s="151">
        <f>'Allgemeine Unternehmensdaten'!$E$13*DU$22*$D12*$D26*($L26+1)^(DU$20)/((1+$I26)^(DU$20))</f>
        <v>0</v>
      </c>
      <c r="DV26" s="151">
        <f>'Allgemeine Unternehmensdaten'!$E$13*DV$22*$D12*$D26*($L26+1)^(DV$20)/((1+$I26)^(DV$20))</f>
        <v>0</v>
      </c>
      <c r="DW26" s="151">
        <f>'Allgemeine Unternehmensdaten'!$E$13*DW$22*$D12*$D26*($L26+1)^(DW$20)/((1+$I26)^(DW$20))</f>
        <v>0</v>
      </c>
      <c r="DX26" s="151">
        <f>'Allgemeine Unternehmensdaten'!$E$13*DX$22*$D12*$D26*($L26+1)^(DX$20)/((1+$I26)^(DX$20))</f>
        <v>0</v>
      </c>
      <c r="DZ26" s="150" t="s">
        <v>131</v>
      </c>
      <c r="EA26" s="151">
        <f>'Allgemeine Unternehmensdaten'!$G$13*EA$22*$F12*$F26*($N26+1)^(EA$20)/((1+$K26)^(EA$20))</f>
        <v>0</v>
      </c>
      <c r="EB26" s="151">
        <f>'Allgemeine Unternehmensdaten'!$G$13*EB$22*$F12*$F26*($N26+1)^(EB$20)/((1+$K26)^(EB$20))</f>
        <v>0</v>
      </c>
      <c r="EC26" s="151">
        <f>'Allgemeine Unternehmensdaten'!$G$13*EC$22*$F12*$F26*($N26+1)^(EC$20)/((1+$K26)^(EC$20))</f>
        <v>0</v>
      </c>
      <c r="ED26" s="151">
        <f>'Allgemeine Unternehmensdaten'!$G$13*ED$22*$F12*$F26*($N26+1)^(ED$20)/((1+$K26)^(ED$20))</f>
        <v>0</v>
      </c>
      <c r="EE26" s="151">
        <f>'Allgemeine Unternehmensdaten'!$G$13*EE$22*$F12*$F26*($N26+1)^(EE$20)/((1+$K26)^(EE$20))</f>
        <v>0</v>
      </c>
      <c r="EF26" s="151">
        <f>'Allgemeine Unternehmensdaten'!$G$13*EF$22*$F12*$F26*($N26+1)^(EF$20)/((1+$K26)^(EF$20))</f>
        <v>0</v>
      </c>
      <c r="EG26" s="151">
        <f>'Allgemeine Unternehmensdaten'!$G$13*EG$22*$F12*$F26*($N26+1)^(EG$20)/((1+$K26)^(EG$20))</f>
        <v>0</v>
      </c>
      <c r="EH26" s="151">
        <f>'Allgemeine Unternehmensdaten'!$G$13*EH$22*$F12*$F26*($N26+1)^(EH$20)/((1+$K26)^(EH$20))</f>
        <v>0</v>
      </c>
      <c r="EI26" s="151">
        <f>'Allgemeine Unternehmensdaten'!$G$13*EI$22*$F12*$F26*($N26+1)^(EI$20)/((1+$K26)^(EI$20))</f>
        <v>0</v>
      </c>
      <c r="EJ26" s="151">
        <f>'Allgemeine Unternehmensdaten'!$G$13*EJ$22*$F12*$F26*($N26+1)^(EJ$20)/((1+$K26)^(EJ$20))</f>
        <v>0</v>
      </c>
      <c r="EK26" s="151">
        <f>'Allgemeine Unternehmensdaten'!$G$13*EK$22*$F12*$F26*($N26+1)^(EK$20)/((1+$K26)^(EK$20))</f>
        <v>0</v>
      </c>
      <c r="EL26" s="151">
        <f>'Allgemeine Unternehmensdaten'!$G$13*EL$22*$F12*$F26*($N26+1)^(EL$20)/((1+$K26)^(EL$20))</f>
        <v>0</v>
      </c>
      <c r="EM26" s="151">
        <f>'Allgemeine Unternehmensdaten'!$G$13*EM$22*$F12*$F26*($N26+1)^(EM$20)/((1+$K26)^(EM$20))</f>
        <v>0</v>
      </c>
      <c r="EN26" s="151">
        <f>'Allgemeine Unternehmensdaten'!$G$13*EN$22*$F12*$F26*($N26+1)^(EN$20)/((1+$K26)^(EN$20))</f>
        <v>0</v>
      </c>
      <c r="EO26" s="151">
        <f>'Allgemeine Unternehmensdaten'!$G$13*EO$22*$F12*$F26*($N26+1)^(EO$20)/((1+$K26)^(EO$20))</f>
        <v>0</v>
      </c>
      <c r="EP26" s="151">
        <f>'Allgemeine Unternehmensdaten'!$G$13*EP$22*$F12*$F26*($N26+1)^(EP$20)/((1+$K26)^(EP$20))</f>
        <v>0</v>
      </c>
      <c r="EQ26" s="151">
        <f>'Allgemeine Unternehmensdaten'!$G$13*EQ$22*$F12*$F26*($N26+1)^(EQ$20)/((1+$K26)^(EQ$20))</f>
        <v>0</v>
      </c>
      <c r="ER26" s="151">
        <f>'Allgemeine Unternehmensdaten'!$G$13*ER$22*$F12*$F26*($N26+1)^(ER$20)/((1+$K26)^(ER$20))</f>
        <v>0</v>
      </c>
      <c r="ES26" s="151">
        <f>'Allgemeine Unternehmensdaten'!$G$13*ES$22*$F12*$F26*($N26+1)^(ES$20)/((1+$K26)^(ES$20))</f>
        <v>0</v>
      </c>
      <c r="ET26" s="151">
        <f>'Allgemeine Unternehmensdaten'!$G$13*ET$22*$F12*$F26*($N26+1)^(ET$20)/((1+$K26)^(ET$20))</f>
        <v>0</v>
      </c>
      <c r="EU26" s="151">
        <f>'Allgemeine Unternehmensdaten'!$G$13*EU$22*$F12*$F26*($N26+1)^(EU$20)/((1+$K26)^(EU$20))</f>
        <v>0</v>
      </c>
      <c r="EV26" s="151">
        <f>'Allgemeine Unternehmensdaten'!$G$13*EV$22*$F12*$F26*($N26+1)^(EV$20)/((1+$K26)^(EV$20))</f>
        <v>0</v>
      </c>
      <c r="EW26" s="151">
        <f>'Allgemeine Unternehmensdaten'!$G$13*EW$22*$F12*$F26*($N26+1)^(EW$20)/((1+$K26)^(EW$20))</f>
        <v>0</v>
      </c>
      <c r="EX26" s="151">
        <f>'Allgemeine Unternehmensdaten'!$G$13*EX$22*$F12*$F26*($N26+1)^(EX$20)/((1+$K26)^(EX$20))</f>
        <v>0</v>
      </c>
      <c r="EY26" s="151">
        <f>'Allgemeine Unternehmensdaten'!$G$13*EY$22*$F12*$F26*($N26+1)^(EY$20)/((1+$K26)^(EY$20))</f>
        <v>0</v>
      </c>
      <c r="EZ26" s="151">
        <f>'Allgemeine Unternehmensdaten'!$G$13*EZ$22*$F12*$F26*($N26+1)^(EZ$20)/((1+$K26)^(EZ$20))</f>
        <v>0</v>
      </c>
      <c r="FA26" s="151">
        <f>'Allgemeine Unternehmensdaten'!$G$13*FA$22*$F12*$F26*($N26+1)^(FA$20)/((1+$K26)^(FA$20))</f>
        <v>0</v>
      </c>
      <c r="FB26" s="151">
        <f>'Allgemeine Unternehmensdaten'!$G$13*FB$22*$F12*$F26*($N26+1)^(FB$20)/((1+$K26)^(FB$20))</f>
        <v>0</v>
      </c>
      <c r="FC26" s="151">
        <f>'Allgemeine Unternehmensdaten'!$G$13*FC$22*$F12*$F26*($N26+1)^(FC$20)/((1+$K26)^(FC$20))</f>
        <v>0</v>
      </c>
      <c r="FD26" s="151">
        <f>'Allgemeine Unternehmensdaten'!$G$13*FD$22*$F12*$F26*($N26+1)^(FD$20)/((1+$K26)^(FD$20))</f>
        <v>0</v>
      </c>
      <c r="FE26" s="151">
        <f>'Allgemeine Unternehmensdaten'!$G$13*FE$22*$F12*$F26*($N26+1)^(FE$20)/((1+$K26)^(FE$20))</f>
        <v>0</v>
      </c>
      <c r="FF26" s="151">
        <f>'Allgemeine Unternehmensdaten'!$G$13*FF$22*$F12*$F26*($N26+1)^(FF$20)/((1+$K26)^(FF$20))</f>
        <v>0</v>
      </c>
      <c r="FG26" s="151">
        <f>'Allgemeine Unternehmensdaten'!$G$13*FG$22*$F12*$F26*($N26+1)^(FG$20)/((1+$K26)^(FG$20))</f>
        <v>0</v>
      </c>
      <c r="FH26" s="151">
        <f>'Allgemeine Unternehmensdaten'!$G$13*FH$22*$F12*$F26*($N26+1)^(FH$20)/((1+$K26)^(FH$20))</f>
        <v>0</v>
      </c>
      <c r="FI26" s="151">
        <f>'Allgemeine Unternehmensdaten'!$G$13*FI$22*$F12*$F26*($N26+1)^(FI$20)/((1+$K26)^(FI$20))</f>
        <v>0</v>
      </c>
      <c r="FJ26" s="151">
        <f>'Allgemeine Unternehmensdaten'!$G$13*FJ$22*$F12*$F26*($N26+1)^(FJ$20)/((1+$K26)^(FJ$20))</f>
        <v>0</v>
      </c>
      <c r="FK26" s="151">
        <f>'Allgemeine Unternehmensdaten'!$G$13*FK$22*$F12*$F26*($N26+1)^(FK$20)/((1+$K26)^(FK$20))</f>
        <v>0</v>
      </c>
      <c r="FL26" s="151">
        <f>'Allgemeine Unternehmensdaten'!$G$13*FL$22*$F12*$F26*($N26+1)^(FL$20)/((1+$K26)^(FL$20))</f>
        <v>0</v>
      </c>
      <c r="FM26" s="151">
        <f>'Allgemeine Unternehmensdaten'!$G$13*FM$22*$F12*$F26*($N26+1)^(FM$20)/((1+$K26)^(FM$20))</f>
        <v>0</v>
      </c>
      <c r="FN26" s="151">
        <f>'Allgemeine Unternehmensdaten'!$G$13*FN$22*$F12*$F26*($N26+1)^(FN$20)/((1+$K26)^(FN$20))</f>
        <v>0</v>
      </c>
      <c r="FO26" s="151">
        <f>'Allgemeine Unternehmensdaten'!$G$13*FO$22*$F12*$F26*($N26+1)^(FO$20)/((1+$K26)^(FO$20))</f>
        <v>0</v>
      </c>
      <c r="FP26" s="151">
        <f>'Allgemeine Unternehmensdaten'!$G$13*FP$22*$F12*$F26*($N26+1)^(FP$20)/((1+$K26)^(FP$20))</f>
        <v>0</v>
      </c>
      <c r="FQ26" s="151">
        <f>'Allgemeine Unternehmensdaten'!$G$13*FQ$22*$F12*$F26*($N26+1)^(FQ$20)/((1+$K26)^(FQ$20))</f>
        <v>0</v>
      </c>
      <c r="FR26" s="151">
        <f>'Allgemeine Unternehmensdaten'!$G$13*FR$22*$F12*$F26*($N26+1)^(FR$20)/((1+$K26)^(FR$20))</f>
        <v>0</v>
      </c>
      <c r="FS26" s="151">
        <f>'Allgemeine Unternehmensdaten'!$G$13*FS$22*$F12*$F26*($N26+1)^(FS$20)/((1+$K26)^(FS$20))</f>
        <v>0</v>
      </c>
      <c r="FT26" s="151">
        <f>'Allgemeine Unternehmensdaten'!$G$13*FT$22*$F12*$F26*($N26+1)^(FT$20)/((1+$K26)^(FT$20))</f>
        <v>0</v>
      </c>
      <c r="FU26" s="151">
        <f>'Allgemeine Unternehmensdaten'!$G$13*FU$22*$F12*$F26*($N26+1)^(FU$20)/((1+$K26)^(FU$20))</f>
        <v>0</v>
      </c>
      <c r="FV26" s="151">
        <f>'Allgemeine Unternehmensdaten'!$G$13*FV$22*$F12*$F26*($N26+1)^(FV$20)/((1+$K26)^(FV$20))</f>
        <v>0</v>
      </c>
      <c r="FW26" s="151">
        <f>'Allgemeine Unternehmensdaten'!$G$13*FW$22*$F12*$F26*($N26+1)^(FW$20)/((1+$K26)^(FW$20))</f>
        <v>0</v>
      </c>
      <c r="FX26" s="151">
        <f>'Allgemeine Unternehmensdaten'!$G$13*FX$22*$F12*$F26*($N26+1)^(FX$20)/((1+$K26)^(FX$20))</f>
        <v>0</v>
      </c>
      <c r="FY26" s="151">
        <f>'Allgemeine Unternehmensdaten'!$G$13*FY$22*$F12*$F26*($N26+1)^(FY$20)/((1+$K26)^(FY$20))</f>
        <v>0</v>
      </c>
      <c r="FZ26" s="151">
        <f>'Allgemeine Unternehmensdaten'!$G$13*FZ$22*$F12*$F26*($N26+1)^(FZ$20)/((1+$K26)^(FZ$20))</f>
        <v>0</v>
      </c>
      <c r="GA26" s="151">
        <f>'Allgemeine Unternehmensdaten'!$G$13*GA$22*$F12*$F26*($N26+1)^(GA$20)/((1+$K26)^(GA$20))</f>
        <v>0</v>
      </c>
      <c r="GB26" s="151">
        <f>'Allgemeine Unternehmensdaten'!$G$13*GB$22*$F12*$F26*($N26+1)^(GB$20)/((1+$K26)^(GB$20))</f>
        <v>0</v>
      </c>
    </row>
    <row r="27" spans="1:184" ht="17.25" customHeight="1" x14ac:dyDescent="0.5">
      <c r="A27" s="88"/>
      <c r="B27" s="322"/>
      <c r="C27" s="167" t="str">
        <f>"Einsparung "&amp;'Allgemeine Unternehmensdaten'!C30&amp;" in %"</f>
        <v>Einsparung Flexibler Kostenfaktor in %</v>
      </c>
      <c r="D27" s="161">
        <f t="shared" si="12"/>
        <v>0</v>
      </c>
      <c r="E27" s="161">
        <f t="shared" si="12"/>
        <v>0</v>
      </c>
      <c r="F27" s="161">
        <f t="shared" si="12"/>
        <v>0</v>
      </c>
      <c r="G27" s="1">
        <v>99</v>
      </c>
      <c r="H27" s="143">
        <v>99</v>
      </c>
      <c r="I27" s="154">
        <v>0</v>
      </c>
      <c r="J27" s="155">
        <v>0</v>
      </c>
      <c r="K27" s="156">
        <v>0</v>
      </c>
      <c r="L27" s="168">
        <f>L23</f>
        <v>0.04</v>
      </c>
      <c r="M27" s="165">
        <f>M23</f>
        <v>0.03</v>
      </c>
      <c r="N27" s="166">
        <f>N23</f>
        <v>0.02</v>
      </c>
      <c r="R27" s="158" t="str">
        <f>"Einspaarung "&amp;'Allgemeine Unternehmensdaten'!C30&amp; "in Euro"</f>
        <v>Einspaarung Flexibler Kostenfaktorin Euro</v>
      </c>
      <c r="S27" s="151">
        <f>'Allgemeine Unternehmensdaten'!$E$30*S$22*$E13*$E27*($M27+1)^(S$20)/((1+$J27)^(S$20))</f>
        <v>0</v>
      </c>
      <c r="T27" s="151">
        <f>'Allgemeine Unternehmensdaten'!$E$30*T$22*$E13*$E27*($M27+1)^(T$20)/((1+$J27)^(T$20))</f>
        <v>0</v>
      </c>
      <c r="U27" s="151">
        <f>'Allgemeine Unternehmensdaten'!$E$30*U$22*$E13*$E27*($M27+1)^(U$20)/((1+$J27)^(U$20))</f>
        <v>0</v>
      </c>
      <c r="V27" s="151">
        <f>'Allgemeine Unternehmensdaten'!$E$30*V$22*$E13*$E27*($M27+1)^(V$20)/((1+$J27)^(V$20))</f>
        <v>0</v>
      </c>
      <c r="W27" s="151">
        <f>'Allgemeine Unternehmensdaten'!$E$30*W$22*$E13*$E27*($M27+1)^(W$20)/((1+$J27)^(W$20))</f>
        <v>0</v>
      </c>
      <c r="X27" s="151">
        <f>'Allgemeine Unternehmensdaten'!$E$30*X$22*$E13*$E27*($M27+1)^(X$20)/((1+$J27)^(X$20))</f>
        <v>0</v>
      </c>
      <c r="Y27" s="151">
        <f>'Allgemeine Unternehmensdaten'!$E$30*Y$22*$E13*$E27*($M27+1)^(Y$20)/((1+$J27)^(Y$20))</f>
        <v>0</v>
      </c>
      <c r="Z27" s="151">
        <f>'Allgemeine Unternehmensdaten'!$E$30*Z$22*$E13*$E27*($M27+1)^(Z$20)/((1+$J27)^(Z$20))</f>
        <v>0</v>
      </c>
      <c r="AA27" s="151">
        <f>'Allgemeine Unternehmensdaten'!$E$30*AA$22*$E13*$E27*($M27+1)^(AA$20)/((1+$J27)^(AA$20))</f>
        <v>0</v>
      </c>
      <c r="AB27" s="151">
        <f>'Allgemeine Unternehmensdaten'!$E$30*AB$22*$E13*$E27*($M27+1)^(AB$20)/((1+$J27)^(AB$20))</f>
        <v>0</v>
      </c>
      <c r="AC27" s="151">
        <f>'Allgemeine Unternehmensdaten'!$E$30*AC$22*$E13*$E27*($M27+1)^(AC$20)/((1+$J27)^(AC$20))</f>
        <v>0</v>
      </c>
      <c r="AD27" s="151">
        <f>'Allgemeine Unternehmensdaten'!$E$30*AD$22*$E13*$E27*($M27+1)^(AD$20)/((1+$J27)^(AD$20))</f>
        <v>0</v>
      </c>
      <c r="AE27" s="151">
        <f>'Allgemeine Unternehmensdaten'!$E$30*AE$22*$E13*$E27*($M27+1)^(AE$20)/((1+$J27)^(AE$20))</f>
        <v>0</v>
      </c>
      <c r="AF27" s="151">
        <f>'Allgemeine Unternehmensdaten'!$E$30*AF$22*$E13*$E27*($M27+1)^(AF$20)/((1+$J27)^(AF$20))</f>
        <v>0</v>
      </c>
      <c r="AG27" s="151">
        <f>'Allgemeine Unternehmensdaten'!$E$30*AG$22*$E13*$E27*($M27+1)^(AG$20)/((1+$J27)^(AG$20))</f>
        <v>0</v>
      </c>
      <c r="AH27" s="151">
        <f>'Allgemeine Unternehmensdaten'!$E$30*AH$22*$E13*$E27*($M27+1)^(AH$20)/((1+$J27)^(AH$20))</f>
        <v>0</v>
      </c>
      <c r="AI27" s="151">
        <f>'Allgemeine Unternehmensdaten'!$E$30*AI$22*$E13*$E27*($M27+1)^(AI$20)/((1+$J27)^(AI$20))</f>
        <v>0</v>
      </c>
      <c r="AJ27" s="151">
        <f>'Allgemeine Unternehmensdaten'!$E$30*AJ$22*$E13*$E27*($M27+1)^(AJ$20)/((1+$J27)^(AJ$20))</f>
        <v>0</v>
      </c>
      <c r="AK27" s="151">
        <f>'Allgemeine Unternehmensdaten'!$E$30*AK$22*$E13*$E27*($M27+1)^(AK$20)/((1+$J27)^(AK$20))</f>
        <v>0</v>
      </c>
      <c r="AL27" s="151">
        <f>'Allgemeine Unternehmensdaten'!$E$30*AL$22*$E13*$E27*($M27+1)^(AL$20)/((1+$J27)^(AL$20))</f>
        <v>0</v>
      </c>
      <c r="AM27" s="151">
        <f>'Allgemeine Unternehmensdaten'!$E$30*AM$22*$E13*$E27*($M27+1)^(AM$20)/((1+$J27)^(AM$20))</f>
        <v>0</v>
      </c>
      <c r="AN27" s="151">
        <f>'Allgemeine Unternehmensdaten'!$E$30*AN$22*$E13*$E27*($M27+1)^(AN$20)/((1+$J27)^(AN$20))</f>
        <v>0</v>
      </c>
      <c r="AO27" s="151">
        <f>'Allgemeine Unternehmensdaten'!$E$30*AO$22*$E13*$E27*($M27+1)^(AO$20)/((1+$J27)^(AO$20))</f>
        <v>0</v>
      </c>
      <c r="AP27" s="151">
        <f>'Allgemeine Unternehmensdaten'!$E$30*AP$22*$E13*$E27*($M27+1)^(AP$20)/((1+$J27)^(AP$20))</f>
        <v>0</v>
      </c>
      <c r="AQ27" s="151">
        <f>'Allgemeine Unternehmensdaten'!$E$30*AQ$22*$E13*$E27*($M27+1)^(AQ$20)/((1+$J27)^(AQ$20))</f>
        <v>0</v>
      </c>
      <c r="AR27" s="151">
        <f>'Allgemeine Unternehmensdaten'!$E$30*AR$22*$E13*$E27*($M27+1)^(AR$20)/((1+$J27)^(AR$20))</f>
        <v>0</v>
      </c>
      <c r="AS27" s="151">
        <f>'Allgemeine Unternehmensdaten'!$E$30*AS$22*$E13*$E27*($M27+1)^(AS$20)/((1+$J27)^(AS$20))</f>
        <v>0</v>
      </c>
      <c r="AT27" s="151">
        <f>'Allgemeine Unternehmensdaten'!$E$30*AT$22*$E13*$E27*($M27+1)^(AT$20)/((1+$J27)^(AT$20))</f>
        <v>0</v>
      </c>
      <c r="AU27" s="151">
        <f>'Allgemeine Unternehmensdaten'!$E$30*AU$22*$E13*$E27*($M27+1)^(AU$20)/((1+$J27)^(AU$20))</f>
        <v>0</v>
      </c>
      <c r="AV27" s="151">
        <f>'Allgemeine Unternehmensdaten'!$E$30*AV$22*$E13*$E27*($M27+1)^(AV$20)/((1+$J27)^(AV$20))</f>
        <v>0</v>
      </c>
      <c r="AW27" s="151">
        <f>'Allgemeine Unternehmensdaten'!$E$30*AW$22*$E13*$E27*($M27+1)^(AW$20)/((1+$J27)^(AW$20))</f>
        <v>0</v>
      </c>
      <c r="AX27" s="151">
        <f>'Allgemeine Unternehmensdaten'!$E$30*AX$22*$E13*$E27*($M27+1)^(AX$20)/((1+$J27)^(AX$20))</f>
        <v>0</v>
      </c>
      <c r="AY27" s="151">
        <f>'Allgemeine Unternehmensdaten'!$E$30*AY$22*$E13*$E27*($M27+1)^(AY$20)/((1+$J27)^(AY$20))</f>
        <v>0</v>
      </c>
      <c r="AZ27" s="151">
        <f>'Allgemeine Unternehmensdaten'!$E$30*AZ$22*$E13*$E27*($M27+1)^(AZ$20)/((1+$J27)^(AZ$20))</f>
        <v>0</v>
      </c>
      <c r="BA27" s="151">
        <f>'Allgemeine Unternehmensdaten'!$E$30*BA$22*$E13*$E27*($M27+1)^(BA$20)/((1+$J27)^(BA$20))</f>
        <v>0</v>
      </c>
      <c r="BB27" s="151">
        <f>'Allgemeine Unternehmensdaten'!$E$30*BB$22*$E13*$E27*($M27+1)^(BB$20)/((1+$J27)^(BB$20))</f>
        <v>0</v>
      </c>
      <c r="BC27" s="151">
        <f>'Allgemeine Unternehmensdaten'!$E$30*BC$22*$E13*$E27*($M27+1)^(BC$20)/((1+$J27)^(BC$20))</f>
        <v>0</v>
      </c>
      <c r="BD27" s="151">
        <f>'Allgemeine Unternehmensdaten'!$E$30*BD$22*$E13*$E27*($M27+1)^(BD$20)/((1+$J27)^(BD$20))</f>
        <v>0</v>
      </c>
      <c r="BE27" s="151">
        <f>'Allgemeine Unternehmensdaten'!$E$30*BE$22*$E13*$E27*($M27+1)^(BE$20)/((1+$J27)^(BE$20))</f>
        <v>0</v>
      </c>
      <c r="BF27" s="151">
        <f>'Allgemeine Unternehmensdaten'!$E$30*BF$22*$E13*$E27*($M27+1)^(BF$20)/((1+$J27)^(BF$20))</f>
        <v>0</v>
      </c>
      <c r="BG27" s="151">
        <f>'Allgemeine Unternehmensdaten'!$E$30*BG$22*$E13*$E27*($M27+1)^(BG$20)/((1+$J27)^(BG$20))</f>
        <v>0</v>
      </c>
      <c r="BH27" s="151">
        <f>'Allgemeine Unternehmensdaten'!$E$30*BH$22*$E13*$E27*($M27+1)^(BH$20)/((1+$J27)^(BH$20))</f>
        <v>0</v>
      </c>
      <c r="BI27" s="151">
        <f>'Allgemeine Unternehmensdaten'!$E$30*BI$22*$E13*$E27*($M27+1)^(BI$20)/((1+$J27)^(BI$20))</f>
        <v>0</v>
      </c>
      <c r="BJ27" s="151">
        <f>'Allgemeine Unternehmensdaten'!$E$30*BJ$22*$E13*$E27*($M27+1)^(BJ$20)/((1+$J27)^(BJ$20))</f>
        <v>0</v>
      </c>
      <c r="BK27" s="151">
        <f>'Allgemeine Unternehmensdaten'!$E$30*BK$22*$E13*$E27*($M27+1)^(BK$20)/((1+$J27)^(BK$20))</f>
        <v>0</v>
      </c>
      <c r="BL27" s="151">
        <f>'Allgemeine Unternehmensdaten'!$E$30*BL$22*$E13*$E27*($M27+1)^(BL$20)/((1+$J27)^(BL$20))</f>
        <v>0</v>
      </c>
      <c r="BM27" s="151">
        <f>'Allgemeine Unternehmensdaten'!$E$30*BM$22*$E13*$E27*($M27+1)^(BM$20)/((1+$J27)^(BM$20))</f>
        <v>0</v>
      </c>
      <c r="BN27" s="151">
        <f>'Allgemeine Unternehmensdaten'!$E$30*BN$22*$E13*$E27*($M27+1)^(BN$20)/((1+$J27)^(BN$20))</f>
        <v>0</v>
      </c>
      <c r="BO27" s="151">
        <f>'Allgemeine Unternehmensdaten'!$E$30*BO$22*$E13*$E27*($M27+1)^(BO$20)/((1+$J27)^(BO$20))</f>
        <v>0</v>
      </c>
      <c r="BP27" s="151">
        <f>'Allgemeine Unternehmensdaten'!$E$30*BP$22*$E13*$E27*($M27+1)^(BP$20)/((1+$J27)^(BP$20))</f>
        <v>0</v>
      </c>
      <c r="BQ27" s="151">
        <f>'Allgemeine Unternehmensdaten'!$E$30*BQ$22*$E13*$E27*($M27+1)^(BQ$20)/((1+$J27)^(BQ$20))</f>
        <v>0</v>
      </c>
      <c r="BR27" s="151">
        <f>'Allgemeine Unternehmensdaten'!$E$30*BR$22*$E13*$E27*($M27+1)^(BR$20)/((1+$J27)^(BR$20))</f>
        <v>0</v>
      </c>
      <c r="BS27" s="151">
        <f>'Allgemeine Unternehmensdaten'!$E$30*BS$22*$E13*$E27*($M27+1)^(BS$20)/((1+$J27)^(BS$20))</f>
        <v>0</v>
      </c>
      <c r="BT27" s="151">
        <f>'Allgemeine Unternehmensdaten'!$E$30*BT$22*$E13*$E27*($M27+1)^(BT$20)/((1+$J27)^(BT$20))</f>
        <v>0</v>
      </c>
      <c r="BV27" s="158" t="str">
        <f>R27</f>
        <v>Einspaarung Flexibler Kostenfaktorin Euro</v>
      </c>
      <c r="BW27" s="151">
        <f>'Allgemeine Unternehmensdaten'!$E$30*BW$22*$D13*$D27*($L27+1)^(BW$20)/((1+$I27)^(BW$20))</f>
        <v>0</v>
      </c>
      <c r="BX27" s="151">
        <f>'Allgemeine Unternehmensdaten'!$E$30*BX$22*$D13*$D27*($L27+1)^(BX$20)/((1+$I27)^(BX$20))</f>
        <v>0</v>
      </c>
      <c r="BY27" s="151">
        <f>'Allgemeine Unternehmensdaten'!$E$30*BY$22*$D13*$D27*($L27+1)^(BY$20)/((1+$I27)^(BY$20))</f>
        <v>0</v>
      </c>
      <c r="BZ27" s="151">
        <f>'Allgemeine Unternehmensdaten'!$E$30*BZ$22*$D13*$D27*($L27+1)^(BZ$20)/((1+$I27)^(BZ$20))</f>
        <v>0</v>
      </c>
      <c r="CA27" s="151">
        <f>'Allgemeine Unternehmensdaten'!$E$30*CA$22*$D13*$D27*($L27+1)^(CA$20)/((1+$I27)^(CA$20))</f>
        <v>0</v>
      </c>
      <c r="CB27" s="151">
        <f>'Allgemeine Unternehmensdaten'!$E$30*CB$22*$D13*$D27*($L27+1)^(CB$20)/((1+$I27)^(CB$20))</f>
        <v>0</v>
      </c>
      <c r="CC27" s="151">
        <f>'Allgemeine Unternehmensdaten'!$E$30*CC$22*$D13*$D27*($L27+1)^(CC$20)/((1+$I27)^(CC$20))</f>
        <v>0</v>
      </c>
      <c r="CD27" s="151">
        <f>'Allgemeine Unternehmensdaten'!$E$30*CD$22*$D13*$D27*($L27+1)^(CD$20)/((1+$I27)^(CD$20))</f>
        <v>0</v>
      </c>
      <c r="CE27" s="151">
        <f>'Allgemeine Unternehmensdaten'!$E$30*CE$22*$D13*$D27*($L27+1)^(CE$20)/((1+$I27)^(CE$20))</f>
        <v>0</v>
      </c>
      <c r="CF27" s="151">
        <f>'Allgemeine Unternehmensdaten'!$E$30*CF$22*$D13*$D27*($L27+1)^(CF$20)/((1+$I27)^(CF$20))</f>
        <v>0</v>
      </c>
      <c r="CG27" s="151">
        <f>'Allgemeine Unternehmensdaten'!$E$30*CG$22*$D13*$D27*($L27+1)^(CG$20)/((1+$I27)^(CG$20))</f>
        <v>0</v>
      </c>
      <c r="CH27" s="151">
        <f>'Allgemeine Unternehmensdaten'!$E$30*CH$22*$D13*$D27*($L27+1)^(CH$20)/((1+$I27)^(CH$20))</f>
        <v>0</v>
      </c>
      <c r="CI27" s="151">
        <f>'Allgemeine Unternehmensdaten'!$E$30*CI$22*$D13*$D27*($L27+1)^(CI$20)/((1+$I27)^(CI$20))</f>
        <v>0</v>
      </c>
      <c r="CJ27" s="151">
        <f>'Allgemeine Unternehmensdaten'!$E$30*CJ$22*$D13*$D27*($L27+1)^(CJ$20)/((1+$I27)^(CJ$20))</f>
        <v>0</v>
      </c>
      <c r="CK27" s="151">
        <f>'Allgemeine Unternehmensdaten'!$E$30*CK$22*$D13*$D27*($L27+1)^(CK$20)/((1+$I27)^(CK$20))</f>
        <v>0</v>
      </c>
      <c r="CL27" s="151">
        <f>'Allgemeine Unternehmensdaten'!$E$30*CL$22*$D13*$D27*($L27+1)^(CL$20)/((1+$I27)^(CL$20))</f>
        <v>0</v>
      </c>
      <c r="CM27" s="151">
        <f>'Allgemeine Unternehmensdaten'!$E$30*CM$22*$D13*$D27*($L27+1)^(CM$20)/((1+$I27)^(CM$20))</f>
        <v>0</v>
      </c>
      <c r="CN27" s="151">
        <f>'Allgemeine Unternehmensdaten'!$E$30*CN$22*$D13*$D27*($L27+1)^(CN$20)/((1+$I27)^(CN$20))</f>
        <v>0</v>
      </c>
      <c r="CO27" s="151">
        <f>'Allgemeine Unternehmensdaten'!$E$30*CO$22*$D13*$D27*($L27+1)^(CO$20)/((1+$I27)^(CO$20))</f>
        <v>0</v>
      </c>
      <c r="CP27" s="151">
        <f>'Allgemeine Unternehmensdaten'!$E$30*CP$22*$D13*$D27*($L27+1)^(CP$20)/((1+$I27)^(CP$20))</f>
        <v>0</v>
      </c>
      <c r="CQ27" s="151">
        <f>'Allgemeine Unternehmensdaten'!$E$30*CQ$22*$D13*$D27*($L27+1)^(CQ$20)/((1+$I27)^(CQ$20))</f>
        <v>0</v>
      </c>
      <c r="CR27" s="151">
        <f>'Allgemeine Unternehmensdaten'!$E$30*CR$22*$D13*$D27*($L27+1)^(CR$20)/((1+$I27)^(CR$20))</f>
        <v>0</v>
      </c>
      <c r="CS27" s="151">
        <f>'Allgemeine Unternehmensdaten'!$E$30*CS$22*$D13*$D27*($L27+1)^(CS$20)/((1+$I27)^(CS$20))</f>
        <v>0</v>
      </c>
      <c r="CT27" s="151">
        <f>'Allgemeine Unternehmensdaten'!$E$30*CT$22*$D13*$D27*($L27+1)^(CT$20)/((1+$I27)^(CT$20))</f>
        <v>0</v>
      </c>
      <c r="CU27" s="151">
        <f>'Allgemeine Unternehmensdaten'!$E$30*CU$22*$D13*$D27*($L27+1)^(CU$20)/((1+$I27)^(CU$20))</f>
        <v>0</v>
      </c>
      <c r="CV27" s="151">
        <f>'Allgemeine Unternehmensdaten'!$E$30*CV$22*$D13*$D27*($L27+1)^(CV$20)/((1+$I27)^(CV$20))</f>
        <v>0</v>
      </c>
      <c r="CW27" s="151">
        <f>'Allgemeine Unternehmensdaten'!$E$30*CW$22*$D13*$D27*($L27+1)^(CW$20)/((1+$I27)^(CW$20))</f>
        <v>0</v>
      </c>
      <c r="CX27" s="151">
        <f>'Allgemeine Unternehmensdaten'!$E$30*CX$22*$D13*$D27*($L27+1)^(CX$20)/((1+$I27)^(CX$20))</f>
        <v>0</v>
      </c>
      <c r="CY27" s="151">
        <f>'Allgemeine Unternehmensdaten'!$E$30*CY$22*$D13*$D27*($L27+1)^(CY$20)/((1+$I27)^(CY$20))</f>
        <v>0</v>
      </c>
      <c r="CZ27" s="151">
        <f>'Allgemeine Unternehmensdaten'!$E$30*CZ$22*$D13*$D27*($L27+1)^(CZ$20)/((1+$I27)^(CZ$20))</f>
        <v>0</v>
      </c>
      <c r="DA27" s="151">
        <f>'Allgemeine Unternehmensdaten'!$E$30*DA$22*$D13*$D27*($L27+1)^(DA$20)/((1+$I27)^(DA$20))</f>
        <v>0</v>
      </c>
      <c r="DB27" s="151">
        <f>'Allgemeine Unternehmensdaten'!$E$30*DB$22*$D13*$D27*($L27+1)^(DB$20)/((1+$I27)^(DB$20))</f>
        <v>0</v>
      </c>
      <c r="DC27" s="151">
        <f>'Allgemeine Unternehmensdaten'!$E$30*DC$22*$D13*$D27*($L27+1)^(DC$20)/((1+$I27)^(DC$20))</f>
        <v>0</v>
      </c>
      <c r="DD27" s="151">
        <f>'Allgemeine Unternehmensdaten'!$E$30*DD$22*$D13*$D27*($L27+1)^(DD$20)/((1+$I27)^(DD$20))</f>
        <v>0</v>
      </c>
      <c r="DE27" s="151">
        <f>'Allgemeine Unternehmensdaten'!$E$30*DE$22*$D13*$D27*($L27+1)^(DE$20)/((1+$I27)^(DE$20))</f>
        <v>0</v>
      </c>
      <c r="DF27" s="151">
        <f>'Allgemeine Unternehmensdaten'!$E$30*DF$22*$D13*$D27*($L27+1)^(DF$20)/((1+$I27)^(DF$20))</f>
        <v>0</v>
      </c>
      <c r="DG27" s="151">
        <f>'Allgemeine Unternehmensdaten'!$E$30*DG$22*$D13*$D27*($L27+1)^(DG$20)/((1+$I27)^(DG$20))</f>
        <v>0</v>
      </c>
      <c r="DH27" s="151">
        <f>'Allgemeine Unternehmensdaten'!$E$30*DH$22*$D13*$D27*($L27+1)^(DH$20)/((1+$I27)^(DH$20))</f>
        <v>0</v>
      </c>
      <c r="DI27" s="151">
        <f>'Allgemeine Unternehmensdaten'!$E$30*DI$22*$D13*$D27*($L27+1)^(DI$20)/((1+$I27)^(DI$20))</f>
        <v>0</v>
      </c>
      <c r="DJ27" s="151">
        <f>'Allgemeine Unternehmensdaten'!$E$30*DJ$22*$D13*$D27*($L27+1)^(DJ$20)/((1+$I27)^(DJ$20))</f>
        <v>0</v>
      </c>
      <c r="DK27" s="151">
        <f>'Allgemeine Unternehmensdaten'!$E$30*DK$22*$D13*$D27*($L27+1)^(DK$20)/((1+$I27)^(DK$20))</f>
        <v>0</v>
      </c>
      <c r="DL27" s="151">
        <f>'Allgemeine Unternehmensdaten'!$E$30*DL$22*$D13*$D27*($L27+1)^(DL$20)/((1+$I27)^(DL$20))</f>
        <v>0</v>
      </c>
      <c r="DM27" s="151">
        <f>'Allgemeine Unternehmensdaten'!$E$30*DM$22*$D13*$D27*($L27+1)^(DM$20)/((1+$I27)^(DM$20))</f>
        <v>0</v>
      </c>
      <c r="DN27" s="151">
        <f>'Allgemeine Unternehmensdaten'!$E$30*DN$22*$D13*$D27*($L27+1)^(DN$20)/((1+$I27)^(DN$20))</f>
        <v>0</v>
      </c>
      <c r="DO27" s="151">
        <f>'Allgemeine Unternehmensdaten'!$E$30*DO$22*$D13*$D27*($L27+1)^(DO$20)/((1+$I27)^(DO$20))</f>
        <v>0</v>
      </c>
      <c r="DP27" s="151">
        <f>'Allgemeine Unternehmensdaten'!$E$30*DP$22*$D13*$D27*($L27+1)^(DP$20)/((1+$I27)^(DP$20))</f>
        <v>0</v>
      </c>
      <c r="DQ27" s="151">
        <f>'Allgemeine Unternehmensdaten'!$E$30*DQ$22*$D13*$D27*($L27+1)^(DQ$20)/((1+$I27)^(DQ$20))</f>
        <v>0</v>
      </c>
      <c r="DR27" s="151">
        <f>'Allgemeine Unternehmensdaten'!$E$30*DR$22*$D13*$D27*($L27+1)^(DR$20)/((1+$I27)^(DR$20))</f>
        <v>0</v>
      </c>
      <c r="DS27" s="151">
        <f>'Allgemeine Unternehmensdaten'!$E$30*DS$22*$D13*$D27*($L27+1)^(DS$20)/((1+$I27)^(DS$20))</f>
        <v>0</v>
      </c>
      <c r="DT27" s="151">
        <f>'Allgemeine Unternehmensdaten'!$E$30*DT$22*$D13*$D27*($L27+1)^(DT$20)/((1+$I27)^(DT$20))</f>
        <v>0</v>
      </c>
      <c r="DU27" s="151">
        <f>'Allgemeine Unternehmensdaten'!$E$30*DU$22*$D13*$D27*($L27+1)^(DU$20)/((1+$I27)^(DU$20))</f>
        <v>0</v>
      </c>
      <c r="DV27" s="151">
        <f>'Allgemeine Unternehmensdaten'!$E$30*DV$22*$D13*$D27*($L27+1)^(DV$20)/((1+$I27)^(DV$20))</f>
        <v>0</v>
      </c>
      <c r="DW27" s="151">
        <f>'Allgemeine Unternehmensdaten'!$E$30*DW$22*$D13*$D27*($L27+1)^(DW$20)/((1+$I27)^(DW$20))</f>
        <v>0</v>
      </c>
      <c r="DX27" s="151">
        <f>'Allgemeine Unternehmensdaten'!$E$30*DX$22*$D13*$D27*($L27+1)^(DX$20)/((1+$I27)^(DX$20))</f>
        <v>0</v>
      </c>
      <c r="DZ27" s="150" t="s">
        <v>132</v>
      </c>
      <c r="EA27" s="151">
        <f>'Allgemeine Unternehmensdaten'!$E$30*EA$22*$F13*$F27*($N27+1)^(EA$20)/((1+$K27)^(EA$20))</f>
        <v>0</v>
      </c>
      <c r="EB27" s="151">
        <f>'Allgemeine Unternehmensdaten'!$E$30*EB$22*$F13*$F27*($N27+1)^(EB$20)/((1+$K27)^(EB$20))</f>
        <v>0</v>
      </c>
      <c r="EC27" s="151">
        <f>'Allgemeine Unternehmensdaten'!$E$30*EC$22*$F13*$F27*($N27+1)^(EC$20)/((1+$K27)^(EC$20))</f>
        <v>0</v>
      </c>
      <c r="ED27" s="151">
        <f>'Allgemeine Unternehmensdaten'!$E$30*ED$22*$F13*$F27*($N27+1)^(ED$20)/((1+$K27)^(ED$20))</f>
        <v>0</v>
      </c>
      <c r="EE27" s="151">
        <f>'Allgemeine Unternehmensdaten'!$E$30*EE$22*$F13*$F27*($N27+1)^(EE$20)/((1+$K27)^(EE$20))</f>
        <v>0</v>
      </c>
      <c r="EF27" s="151">
        <f>'Allgemeine Unternehmensdaten'!$E$30*EF$22*$F13*$F27*($N27+1)^(EF$20)/((1+$K27)^(EF$20))</f>
        <v>0</v>
      </c>
      <c r="EG27" s="151">
        <f>'Allgemeine Unternehmensdaten'!$E$30*EG$22*$F13*$F27*($N27+1)^(EG$20)/((1+$K27)^(EG$20))</f>
        <v>0</v>
      </c>
      <c r="EH27" s="151">
        <f>'Allgemeine Unternehmensdaten'!$E$30*EH$22*$F13*$F27*($N27+1)^(EH$20)/((1+$K27)^(EH$20))</f>
        <v>0</v>
      </c>
      <c r="EI27" s="151">
        <f>'Allgemeine Unternehmensdaten'!$E$30*EI$22*$F13*$F27*($N27+1)^(EI$20)/((1+$K27)^(EI$20))</f>
        <v>0</v>
      </c>
      <c r="EJ27" s="151">
        <f>'Allgemeine Unternehmensdaten'!$E$30*EJ$22*$F13*$F27*($N27+1)^(EJ$20)/((1+$K27)^(EJ$20))</f>
        <v>0</v>
      </c>
      <c r="EK27" s="151">
        <f>'Allgemeine Unternehmensdaten'!$E$30*EK$22*$F13*$F27*($N27+1)^(EK$20)/((1+$K27)^(EK$20))</f>
        <v>0</v>
      </c>
      <c r="EL27" s="151">
        <f>'Allgemeine Unternehmensdaten'!$E$30*EL$22*$F13*$F27*($N27+1)^(EL$20)/((1+$K27)^(EL$20))</f>
        <v>0</v>
      </c>
      <c r="EM27" s="151">
        <f>'Allgemeine Unternehmensdaten'!$E$30*EM$22*$F13*$F27*($N27+1)^(EM$20)/((1+$K27)^(EM$20))</f>
        <v>0</v>
      </c>
      <c r="EN27" s="151">
        <f>'Allgemeine Unternehmensdaten'!$E$30*EN$22*$F13*$F27*($N27+1)^(EN$20)/((1+$K27)^(EN$20))</f>
        <v>0</v>
      </c>
      <c r="EO27" s="151">
        <f>'Allgemeine Unternehmensdaten'!$E$30*EO$22*$F13*$F27*($N27+1)^(EO$20)/((1+$K27)^(EO$20))</f>
        <v>0</v>
      </c>
      <c r="EP27" s="151">
        <f>'Allgemeine Unternehmensdaten'!$E$30*EP$22*$F13*$F27*($N27+1)^(EP$20)/((1+$K27)^(EP$20))</f>
        <v>0</v>
      </c>
      <c r="EQ27" s="151">
        <f>'Allgemeine Unternehmensdaten'!$E$30*EQ$22*$F13*$F27*($N27+1)^(EQ$20)/((1+$K27)^(EQ$20))</f>
        <v>0</v>
      </c>
      <c r="ER27" s="151">
        <f>'Allgemeine Unternehmensdaten'!$E$30*ER$22*$F13*$F27*($N27+1)^(ER$20)/((1+$K27)^(ER$20))</f>
        <v>0</v>
      </c>
      <c r="ES27" s="151">
        <f>'Allgemeine Unternehmensdaten'!$E$30*ES$22*$F13*$F27*($N27+1)^(ES$20)/((1+$K27)^(ES$20))</f>
        <v>0</v>
      </c>
      <c r="ET27" s="151">
        <f>'Allgemeine Unternehmensdaten'!$E$30*ET$22*$F13*$F27*($N27+1)^(ET$20)/((1+$K27)^(ET$20))</f>
        <v>0</v>
      </c>
      <c r="EU27" s="151">
        <f>'Allgemeine Unternehmensdaten'!$E$30*EU$22*$F13*$F27*($N27+1)^(EU$20)/((1+$K27)^(EU$20))</f>
        <v>0</v>
      </c>
      <c r="EV27" s="151">
        <f>'Allgemeine Unternehmensdaten'!$E$30*EV$22*$F13*$F27*($N27+1)^(EV$20)/((1+$K27)^(EV$20))</f>
        <v>0</v>
      </c>
      <c r="EW27" s="151">
        <f>'Allgemeine Unternehmensdaten'!$E$30*EW$22*$F13*$F27*($N27+1)^(EW$20)/((1+$K27)^(EW$20))</f>
        <v>0</v>
      </c>
      <c r="EX27" s="151">
        <f>'Allgemeine Unternehmensdaten'!$E$30*EX$22*$F13*$F27*($N27+1)^(EX$20)/((1+$K27)^(EX$20))</f>
        <v>0</v>
      </c>
      <c r="EY27" s="151">
        <f>'Allgemeine Unternehmensdaten'!$E$30*EY$22*$F13*$F27*($N27+1)^(EY$20)/((1+$K27)^(EY$20))</f>
        <v>0</v>
      </c>
      <c r="EZ27" s="151">
        <f>'Allgemeine Unternehmensdaten'!$E$30*EZ$22*$F13*$F27*($N27+1)^(EZ$20)/((1+$K27)^(EZ$20))</f>
        <v>0</v>
      </c>
      <c r="FA27" s="151">
        <f>'Allgemeine Unternehmensdaten'!$E$30*FA$22*$F13*$F27*($N27+1)^(FA$20)/((1+$K27)^(FA$20))</f>
        <v>0</v>
      </c>
      <c r="FB27" s="151">
        <f>'Allgemeine Unternehmensdaten'!$E$30*FB$22*$F13*$F27*($N27+1)^(FB$20)/((1+$K27)^(FB$20))</f>
        <v>0</v>
      </c>
      <c r="FC27" s="151">
        <f>'Allgemeine Unternehmensdaten'!$E$30*FC$22*$F13*$F27*($N27+1)^(FC$20)/((1+$K27)^(FC$20))</f>
        <v>0</v>
      </c>
      <c r="FD27" s="151">
        <f>'Allgemeine Unternehmensdaten'!$E$30*FD$22*$F13*$F27*($N27+1)^(FD$20)/((1+$K27)^(FD$20))</f>
        <v>0</v>
      </c>
      <c r="FE27" s="151">
        <f>'Allgemeine Unternehmensdaten'!$E$30*FE$22*$F13*$F27*($N27+1)^(FE$20)/((1+$K27)^(FE$20))</f>
        <v>0</v>
      </c>
      <c r="FF27" s="151">
        <f>'Allgemeine Unternehmensdaten'!$E$30*FF$22*$F13*$F27*($N27+1)^(FF$20)/((1+$K27)^(FF$20))</f>
        <v>0</v>
      </c>
      <c r="FG27" s="151">
        <f>'Allgemeine Unternehmensdaten'!$E$30*FG$22*$F13*$F27*($N27+1)^(FG$20)/((1+$K27)^(FG$20))</f>
        <v>0</v>
      </c>
      <c r="FH27" s="151">
        <f>'Allgemeine Unternehmensdaten'!$E$30*FH$22*$F13*$F27*($N27+1)^(FH$20)/((1+$K27)^(FH$20))</f>
        <v>0</v>
      </c>
      <c r="FI27" s="151">
        <f>'Allgemeine Unternehmensdaten'!$E$30*FI$22*$F13*$F27*($N27+1)^(FI$20)/((1+$K27)^(FI$20))</f>
        <v>0</v>
      </c>
      <c r="FJ27" s="151">
        <f>'Allgemeine Unternehmensdaten'!$E$30*FJ$22*$F13*$F27*($N27+1)^(FJ$20)/((1+$K27)^(FJ$20))</f>
        <v>0</v>
      </c>
      <c r="FK27" s="151">
        <f>'Allgemeine Unternehmensdaten'!$E$30*FK$22*$F13*$F27*($N27+1)^(FK$20)/((1+$K27)^(FK$20))</f>
        <v>0</v>
      </c>
      <c r="FL27" s="151">
        <f>'Allgemeine Unternehmensdaten'!$E$30*FL$22*$F13*$F27*($N27+1)^(FL$20)/((1+$K27)^(FL$20))</f>
        <v>0</v>
      </c>
      <c r="FM27" s="151">
        <f>'Allgemeine Unternehmensdaten'!$E$30*FM$22*$F13*$F27*($N27+1)^(FM$20)/((1+$K27)^(FM$20))</f>
        <v>0</v>
      </c>
      <c r="FN27" s="151">
        <f>'Allgemeine Unternehmensdaten'!$E$30*FN$22*$F13*$F27*($N27+1)^(FN$20)/((1+$K27)^(FN$20))</f>
        <v>0</v>
      </c>
      <c r="FO27" s="151">
        <f>'Allgemeine Unternehmensdaten'!$E$30*FO$22*$F13*$F27*($N27+1)^(FO$20)/((1+$K27)^(FO$20))</f>
        <v>0</v>
      </c>
      <c r="FP27" s="151">
        <f>'Allgemeine Unternehmensdaten'!$E$30*FP$22*$F13*$F27*($N27+1)^(FP$20)/((1+$K27)^(FP$20))</f>
        <v>0</v>
      </c>
      <c r="FQ27" s="151">
        <f>'Allgemeine Unternehmensdaten'!$E$30*FQ$22*$F13*$F27*($N27+1)^(FQ$20)/((1+$K27)^(FQ$20))</f>
        <v>0</v>
      </c>
      <c r="FR27" s="151">
        <f>'Allgemeine Unternehmensdaten'!$E$30*FR$22*$F13*$F27*($N27+1)^(FR$20)/((1+$K27)^(FR$20))</f>
        <v>0</v>
      </c>
      <c r="FS27" s="151">
        <f>'Allgemeine Unternehmensdaten'!$E$30*FS$22*$F13*$F27*($N27+1)^(FS$20)/((1+$K27)^(FS$20))</f>
        <v>0</v>
      </c>
      <c r="FT27" s="151">
        <f>'Allgemeine Unternehmensdaten'!$E$30*FT$22*$F13*$F27*($N27+1)^(FT$20)/((1+$K27)^(FT$20))</f>
        <v>0</v>
      </c>
      <c r="FU27" s="151">
        <f>'Allgemeine Unternehmensdaten'!$E$30*FU$22*$F13*$F27*($N27+1)^(FU$20)/((1+$K27)^(FU$20))</f>
        <v>0</v>
      </c>
      <c r="FV27" s="151">
        <f>'Allgemeine Unternehmensdaten'!$E$30*FV$22*$F13*$F27*($N27+1)^(FV$20)/((1+$K27)^(FV$20))</f>
        <v>0</v>
      </c>
      <c r="FW27" s="151">
        <f>'Allgemeine Unternehmensdaten'!$E$30*FW$22*$F13*$F27*($N27+1)^(FW$20)/((1+$K27)^(FW$20))</f>
        <v>0</v>
      </c>
      <c r="FX27" s="151">
        <f>'Allgemeine Unternehmensdaten'!$E$30*FX$22*$F13*$F27*($N27+1)^(FX$20)/((1+$K27)^(FX$20))</f>
        <v>0</v>
      </c>
      <c r="FY27" s="151">
        <f>'Allgemeine Unternehmensdaten'!$E$30*FY$22*$F13*$F27*($N27+1)^(FY$20)/((1+$K27)^(FY$20))</f>
        <v>0</v>
      </c>
      <c r="FZ27" s="151">
        <f>'Allgemeine Unternehmensdaten'!$E$30*FZ$22*$F13*$F27*($N27+1)^(FZ$20)/((1+$K27)^(FZ$20))</f>
        <v>0</v>
      </c>
      <c r="GA27" s="151">
        <f>'Allgemeine Unternehmensdaten'!$E$30*GA$22*$F13*$F27*($N27+1)^(GA$20)/((1+$K27)^(GA$20))</f>
        <v>0</v>
      </c>
      <c r="GB27" s="151">
        <f>'Allgemeine Unternehmensdaten'!$E$30*GB$22*$F13*$F27*($N27+1)^(GB$20)/((1+$K27)^(GB$20))</f>
        <v>0</v>
      </c>
    </row>
    <row r="28" spans="1:184" ht="17.25" customHeight="1" x14ac:dyDescent="0.5">
      <c r="A28" s="88"/>
      <c r="B28" s="322"/>
      <c r="C28" s="101" t="s">
        <v>228</v>
      </c>
      <c r="D28" s="169"/>
      <c r="E28" s="169"/>
      <c r="F28" s="170"/>
      <c r="G28" s="171">
        <v>99</v>
      </c>
      <c r="H28" s="172">
        <v>99</v>
      </c>
      <c r="I28" s="154">
        <v>0</v>
      </c>
      <c r="J28" s="155">
        <v>0</v>
      </c>
      <c r="K28" s="156">
        <v>0</v>
      </c>
      <c r="L28" s="168">
        <f t="shared" ref="L28:L38" si="13">$D$7</f>
        <v>0.02</v>
      </c>
      <c r="M28" s="165">
        <f t="shared" ref="M28:M38" si="14">$E$7</f>
        <v>0.03</v>
      </c>
      <c r="N28" s="166">
        <f t="shared" ref="N28:N38" si="15">$F$7</f>
        <v>0.05</v>
      </c>
      <c r="R28" s="158" t="str">
        <f t="shared" ref="R28:R55" si="16">C28</f>
        <v>Einsparung Arbeitskraft Betrieb in €/Jahr</v>
      </c>
      <c r="S28" s="151">
        <f t="shared" ref="S28:AX28" si="17">S22*$E$28*($M28+1)^(S20)/(1+$J28)^(S$20)</f>
        <v>0</v>
      </c>
      <c r="T28" s="151">
        <f t="shared" si="17"/>
        <v>0</v>
      </c>
      <c r="U28" s="151">
        <f t="shared" si="17"/>
        <v>0</v>
      </c>
      <c r="V28" s="151">
        <f t="shared" si="17"/>
        <v>0</v>
      </c>
      <c r="W28" s="151">
        <f t="shared" si="17"/>
        <v>0</v>
      </c>
      <c r="X28" s="151">
        <f t="shared" si="17"/>
        <v>0</v>
      </c>
      <c r="Y28" s="151">
        <f t="shared" si="17"/>
        <v>0</v>
      </c>
      <c r="Z28" s="151">
        <f t="shared" si="17"/>
        <v>0</v>
      </c>
      <c r="AA28" s="151">
        <f t="shared" si="17"/>
        <v>0</v>
      </c>
      <c r="AB28" s="151">
        <f t="shared" si="17"/>
        <v>0</v>
      </c>
      <c r="AC28" s="151">
        <f t="shared" si="17"/>
        <v>0</v>
      </c>
      <c r="AD28" s="151">
        <f t="shared" si="17"/>
        <v>0</v>
      </c>
      <c r="AE28" s="151">
        <f t="shared" si="17"/>
        <v>0</v>
      </c>
      <c r="AF28" s="151">
        <f t="shared" si="17"/>
        <v>0</v>
      </c>
      <c r="AG28" s="151">
        <f t="shared" si="17"/>
        <v>0</v>
      </c>
      <c r="AH28" s="151">
        <f t="shared" si="17"/>
        <v>0</v>
      </c>
      <c r="AI28" s="151">
        <f t="shared" si="17"/>
        <v>0</v>
      </c>
      <c r="AJ28" s="151">
        <f t="shared" si="17"/>
        <v>0</v>
      </c>
      <c r="AK28" s="151">
        <f t="shared" si="17"/>
        <v>0</v>
      </c>
      <c r="AL28" s="151">
        <f t="shared" si="17"/>
        <v>0</v>
      </c>
      <c r="AM28" s="151">
        <f t="shared" si="17"/>
        <v>0</v>
      </c>
      <c r="AN28" s="151">
        <f t="shared" si="17"/>
        <v>0</v>
      </c>
      <c r="AO28" s="151">
        <f t="shared" si="17"/>
        <v>0</v>
      </c>
      <c r="AP28" s="151">
        <f t="shared" si="17"/>
        <v>0</v>
      </c>
      <c r="AQ28" s="151">
        <f t="shared" si="17"/>
        <v>0</v>
      </c>
      <c r="AR28" s="151">
        <f t="shared" si="17"/>
        <v>0</v>
      </c>
      <c r="AS28" s="151">
        <f t="shared" si="17"/>
        <v>0</v>
      </c>
      <c r="AT28" s="151">
        <f t="shared" si="17"/>
        <v>0</v>
      </c>
      <c r="AU28" s="151">
        <f t="shared" si="17"/>
        <v>0</v>
      </c>
      <c r="AV28" s="151">
        <f t="shared" si="17"/>
        <v>0</v>
      </c>
      <c r="AW28" s="151">
        <f t="shared" si="17"/>
        <v>0</v>
      </c>
      <c r="AX28" s="151">
        <f t="shared" si="17"/>
        <v>0</v>
      </c>
      <c r="AY28" s="151">
        <f t="shared" ref="AY28:BT28" si="18">AY22*$E$28*($M28+1)^(AY20)/(1+$J28)^(AY$20)</f>
        <v>0</v>
      </c>
      <c r="AZ28" s="151">
        <f t="shared" si="18"/>
        <v>0</v>
      </c>
      <c r="BA28" s="151">
        <f t="shared" si="18"/>
        <v>0</v>
      </c>
      <c r="BB28" s="151">
        <f t="shared" si="18"/>
        <v>0</v>
      </c>
      <c r="BC28" s="151">
        <f t="shared" si="18"/>
        <v>0</v>
      </c>
      <c r="BD28" s="151">
        <f t="shared" si="18"/>
        <v>0</v>
      </c>
      <c r="BE28" s="151">
        <f t="shared" si="18"/>
        <v>0</v>
      </c>
      <c r="BF28" s="151">
        <f t="shared" si="18"/>
        <v>0</v>
      </c>
      <c r="BG28" s="151">
        <f t="shared" si="18"/>
        <v>0</v>
      </c>
      <c r="BH28" s="151">
        <f t="shared" si="18"/>
        <v>0</v>
      </c>
      <c r="BI28" s="151">
        <f t="shared" si="18"/>
        <v>0</v>
      </c>
      <c r="BJ28" s="151">
        <f t="shared" si="18"/>
        <v>0</v>
      </c>
      <c r="BK28" s="151">
        <f t="shared" si="18"/>
        <v>0</v>
      </c>
      <c r="BL28" s="151">
        <f t="shared" si="18"/>
        <v>0</v>
      </c>
      <c r="BM28" s="151">
        <f t="shared" si="18"/>
        <v>0</v>
      </c>
      <c r="BN28" s="151">
        <f t="shared" si="18"/>
        <v>0</v>
      </c>
      <c r="BO28" s="151">
        <f t="shared" si="18"/>
        <v>0</v>
      </c>
      <c r="BP28" s="151">
        <f t="shared" si="18"/>
        <v>0</v>
      </c>
      <c r="BQ28" s="151">
        <f t="shared" si="18"/>
        <v>0</v>
      </c>
      <c r="BR28" s="151">
        <f t="shared" si="18"/>
        <v>0</v>
      </c>
      <c r="BS28" s="151">
        <f t="shared" si="18"/>
        <v>0</v>
      </c>
      <c r="BT28" s="151">
        <f t="shared" si="18"/>
        <v>0</v>
      </c>
      <c r="BV28" s="158" t="str">
        <f t="shared" ref="BV28:BV55" si="19">C28</f>
        <v>Einsparung Arbeitskraft Betrieb in €/Jahr</v>
      </c>
      <c r="BW28" s="151">
        <f t="shared" ref="BW28:DB28" si="20">BW22*$D$28*($L28+1)^(BW20)/(1+$I28)^(BW$20)</f>
        <v>0</v>
      </c>
      <c r="BX28" s="151">
        <f t="shared" si="20"/>
        <v>0</v>
      </c>
      <c r="BY28" s="151">
        <f t="shared" si="20"/>
        <v>0</v>
      </c>
      <c r="BZ28" s="151">
        <f t="shared" si="20"/>
        <v>0</v>
      </c>
      <c r="CA28" s="151">
        <f t="shared" si="20"/>
        <v>0</v>
      </c>
      <c r="CB28" s="151">
        <f t="shared" si="20"/>
        <v>0</v>
      </c>
      <c r="CC28" s="151">
        <f t="shared" si="20"/>
        <v>0</v>
      </c>
      <c r="CD28" s="151">
        <f t="shared" si="20"/>
        <v>0</v>
      </c>
      <c r="CE28" s="151">
        <f t="shared" si="20"/>
        <v>0</v>
      </c>
      <c r="CF28" s="151">
        <f t="shared" si="20"/>
        <v>0</v>
      </c>
      <c r="CG28" s="151">
        <f t="shared" si="20"/>
        <v>0</v>
      </c>
      <c r="CH28" s="151">
        <f t="shared" si="20"/>
        <v>0</v>
      </c>
      <c r="CI28" s="151">
        <f t="shared" si="20"/>
        <v>0</v>
      </c>
      <c r="CJ28" s="151">
        <f t="shared" si="20"/>
        <v>0</v>
      </c>
      <c r="CK28" s="151">
        <f t="shared" si="20"/>
        <v>0</v>
      </c>
      <c r="CL28" s="151">
        <f t="shared" si="20"/>
        <v>0</v>
      </c>
      <c r="CM28" s="151">
        <f t="shared" si="20"/>
        <v>0</v>
      </c>
      <c r="CN28" s="151">
        <f t="shared" si="20"/>
        <v>0</v>
      </c>
      <c r="CO28" s="151">
        <f t="shared" si="20"/>
        <v>0</v>
      </c>
      <c r="CP28" s="151">
        <f t="shared" si="20"/>
        <v>0</v>
      </c>
      <c r="CQ28" s="151">
        <f t="shared" si="20"/>
        <v>0</v>
      </c>
      <c r="CR28" s="151">
        <f t="shared" si="20"/>
        <v>0</v>
      </c>
      <c r="CS28" s="151">
        <f t="shared" si="20"/>
        <v>0</v>
      </c>
      <c r="CT28" s="151">
        <f t="shared" si="20"/>
        <v>0</v>
      </c>
      <c r="CU28" s="151">
        <f t="shared" si="20"/>
        <v>0</v>
      </c>
      <c r="CV28" s="151">
        <f t="shared" si="20"/>
        <v>0</v>
      </c>
      <c r="CW28" s="151">
        <f t="shared" si="20"/>
        <v>0</v>
      </c>
      <c r="CX28" s="151">
        <f t="shared" si="20"/>
        <v>0</v>
      </c>
      <c r="CY28" s="151">
        <f t="shared" si="20"/>
        <v>0</v>
      </c>
      <c r="CZ28" s="151">
        <f t="shared" si="20"/>
        <v>0</v>
      </c>
      <c r="DA28" s="151">
        <f t="shared" si="20"/>
        <v>0</v>
      </c>
      <c r="DB28" s="151">
        <f t="shared" si="20"/>
        <v>0</v>
      </c>
      <c r="DC28" s="151">
        <f t="shared" ref="DC28:DX28" si="21">DC22*$D$28*($L28+1)^(DC20)/(1+$I28)^(DC$20)</f>
        <v>0</v>
      </c>
      <c r="DD28" s="151">
        <f t="shared" si="21"/>
        <v>0</v>
      </c>
      <c r="DE28" s="151">
        <f t="shared" si="21"/>
        <v>0</v>
      </c>
      <c r="DF28" s="151">
        <f t="shared" si="21"/>
        <v>0</v>
      </c>
      <c r="DG28" s="151">
        <f t="shared" si="21"/>
        <v>0</v>
      </c>
      <c r="DH28" s="151">
        <f t="shared" si="21"/>
        <v>0</v>
      </c>
      <c r="DI28" s="151">
        <f t="shared" si="21"/>
        <v>0</v>
      </c>
      <c r="DJ28" s="151">
        <f t="shared" si="21"/>
        <v>0</v>
      </c>
      <c r="DK28" s="151">
        <f t="shared" si="21"/>
        <v>0</v>
      </c>
      <c r="DL28" s="151">
        <f t="shared" si="21"/>
        <v>0</v>
      </c>
      <c r="DM28" s="151">
        <f t="shared" si="21"/>
        <v>0</v>
      </c>
      <c r="DN28" s="151">
        <f t="shared" si="21"/>
        <v>0</v>
      </c>
      <c r="DO28" s="151">
        <f t="shared" si="21"/>
        <v>0</v>
      </c>
      <c r="DP28" s="151">
        <f t="shared" si="21"/>
        <v>0</v>
      </c>
      <c r="DQ28" s="151">
        <f t="shared" si="21"/>
        <v>0</v>
      </c>
      <c r="DR28" s="151">
        <f t="shared" si="21"/>
        <v>0</v>
      </c>
      <c r="DS28" s="151">
        <f t="shared" si="21"/>
        <v>0</v>
      </c>
      <c r="DT28" s="151">
        <f t="shared" si="21"/>
        <v>0</v>
      </c>
      <c r="DU28" s="151">
        <f t="shared" si="21"/>
        <v>0</v>
      </c>
      <c r="DV28" s="151">
        <f t="shared" si="21"/>
        <v>0</v>
      </c>
      <c r="DW28" s="151">
        <f t="shared" si="21"/>
        <v>0</v>
      </c>
      <c r="DX28" s="151">
        <f t="shared" si="21"/>
        <v>0</v>
      </c>
      <c r="DZ28" s="158" t="str">
        <f t="shared" ref="DZ28:DZ55" si="22">C28</f>
        <v>Einsparung Arbeitskraft Betrieb in €/Jahr</v>
      </c>
      <c r="EA28" s="151">
        <f t="shared" ref="EA28:FF28" si="23">EA22*$F$28*($N28+1)^(EA20)/(1+$K28)^(EA$20)</f>
        <v>0</v>
      </c>
      <c r="EB28" s="151">
        <f t="shared" si="23"/>
        <v>0</v>
      </c>
      <c r="EC28" s="151">
        <f t="shared" si="23"/>
        <v>0</v>
      </c>
      <c r="ED28" s="151">
        <f t="shared" si="23"/>
        <v>0</v>
      </c>
      <c r="EE28" s="151">
        <f t="shared" si="23"/>
        <v>0</v>
      </c>
      <c r="EF28" s="151">
        <f t="shared" si="23"/>
        <v>0</v>
      </c>
      <c r="EG28" s="151">
        <f t="shared" si="23"/>
        <v>0</v>
      </c>
      <c r="EH28" s="151">
        <f t="shared" si="23"/>
        <v>0</v>
      </c>
      <c r="EI28" s="151">
        <f t="shared" si="23"/>
        <v>0</v>
      </c>
      <c r="EJ28" s="151">
        <f t="shared" si="23"/>
        <v>0</v>
      </c>
      <c r="EK28" s="151">
        <f t="shared" si="23"/>
        <v>0</v>
      </c>
      <c r="EL28" s="151">
        <f t="shared" si="23"/>
        <v>0</v>
      </c>
      <c r="EM28" s="151">
        <f t="shared" si="23"/>
        <v>0</v>
      </c>
      <c r="EN28" s="151">
        <f t="shared" si="23"/>
        <v>0</v>
      </c>
      <c r="EO28" s="151">
        <f t="shared" si="23"/>
        <v>0</v>
      </c>
      <c r="EP28" s="151">
        <f t="shared" si="23"/>
        <v>0</v>
      </c>
      <c r="EQ28" s="151">
        <f t="shared" si="23"/>
        <v>0</v>
      </c>
      <c r="ER28" s="151">
        <f t="shared" si="23"/>
        <v>0</v>
      </c>
      <c r="ES28" s="151">
        <f t="shared" si="23"/>
        <v>0</v>
      </c>
      <c r="ET28" s="151">
        <f t="shared" si="23"/>
        <v>0</v>
      </c>
      <c r="EU28" s="151">
        <f t="shared" si="23"/>
        <v>0</v>
      </c>
      <c r="EV28" s="151">
        <f t="shared" si="23"/>
        <v>0</v>
      </c>
      <c r="EW28" s="151">
        <f t="shared" si="23"/>
        <v>0</v>
      </c>
      <c r="EX28" s="151">
        <f t="shared" si="23"/>
        <v>0</v>
      </c>
      <c r="EY28" s="151">
        <f t="shared" si="23"/>
        <v>0</v>
      </c>
      <c r="EZ28" s="151">
        <f t="shared" si="23"/>
        <v>0</v>
      </c>
      <c r="FA28" s="151">
        <f t="shared" si="23"/>
        <v>0</v>
      </c>
      <c r="FB28" s="151">
        <f t="shared" si="23"/>
        <v>0</v>
      </c>
      <c r="FC28" s="151">
        <f t="shared" si="23"/>
        <v>0</v>
      </c>
      <c r="FD28" s="151">
        <f t="shared" si="23"/>
        <v>0</v>
      </c>
      <c r="FE28" s="151">
        <f t="shared" si="23"/>
        <v>0</v>
      </c>
      <c r="FF28" s="151">
        <f t="shared" si="23"/>
        <v>0</v>
      </c>
      <c r="FG28" s="151">
        <f t="shared" ref="FG28:GB28" si="24">FG22*$F$28*($N28+1)^(FG20)/(1+$K28)^(FG$20)</f>
        <v>0</v>
      </c>
      <c r="FH28" s="151">
        <f t="shared" si="24"/>
        <v>0</v>
      </c>
      <c r="FI28" s="151">
        <f t="shared" si="24"/>
        <v>0</v>
      </c>
      <c r="FJ28" s="151">
        <f t="shared" si="24"/>
        <v>0</v>
      </c>
      <c r="FK28" s="151">
        <f t="shared" si="24"/>
        <v>0</v>
      </c>
      <c r="FL28" s="151">
        <f t="shared" si="24"/>
        <v>0</v>
      </c>
      <c r="FM28" s="151">
        <f t="shared" si="24"/>
        <v>0</v>
      </c>
      <c r="FN28" s="151">
        <f t="shared" si="24"/>
        <v>0</v>
      </c>
      <c r="FO28" s="151">
        <f t="shared" si="24"/>
        <v>0</v>
      </c>
      <c r="FP28" s="151">
        <f t="shared" si="24"/>
        <v>0</v>
      </c>
      <c r="FQ28" s="151">
        <f t="shared" si="24"/>
        <v>0</v>
      </c>
      <c r="FR28" s="151">
        <f t="shared" si="24"/>
        <v>0</v>
      </c>
      <c r="FS28" s="151">
        <f t="shared" si="24"/>
        <v>0</v>
      </c>
      <c r="FT28" s="151">
        <f t="shared" si="24"/>
        <v>0</v>
      </c>
      <c r="FU28" s="151">
        <f t="shared" si="24"/>
        <v>0</v>
      </c>
      <c r="FV28" s="151">
        <f t="shared" si="24"/>
        <v>0</v>
      </c>
      <c r="FW28" s="151">
        <f t="shared" si="24"/>
        <v>0</v>
      </c>
      <c r="FX28" s="151">
        <f t="shared" si="24"/>
        <v>0</v>
      </c>
      <c r="FY28" s="151">
        <f t="shared" si="24"/>
        <v>0</v>
      </c>
      <c r="FZ28" s="151">
        <f t="shared" si="24"/>
        <v>0</v>
      </c>
      <c r="GA28" s="151">
        <f t="shared" si="24"/>
        <v>0</v>
      </c>
      <c r="GB28" s="151">
        <f t="shared" si="24"/>
        <v>0</v>
      </c>
    </row>
    <row r="29" spans="1:184" ht="17.25" customHeight="1" x14ac:dyDescent="0.5">
      <c r="A29" s="88"/>
      <c r="B29" s="322"/>
      <c r="C29" s="101" t="s">
        <v>133</v>
      </c>
      <c r="D29" s="169"/>
      <c r="E29" s="169"/>
      <c r="F29" s="170"/>
      <c r="G29" s="171">
        <v>99</v>
      </c>
      <c r="H29" s="173">
        <v>99</v>
      </c>
      <c r="I29" s="154">
        <v>0</v>
      </c>
      <c r="J29" s="155">
        <v>0</v>
      </c>
      <c r="K29" s="156">
        <v>0</v>
      </c>
      <c r="L29" s="168">
        <f t="shared" si="13"/>
        <v>0.02</v>
      </c>
      <c r="M29" s="165">
        <f t="shared" si="14"/>
        <v>0.03</v>
      </c>
      <c r="N29" s="166">
        <f t="shared" si="15"/>
        <v>0.05</v>
      </c>
      <c r="R29" s="158" t="str">
        <f t="shared" si="16"/>
        <v>Mehrproduktion in €/Jahr</v>
      </c>
      <c r="S29" s="151">
        <f t="shared" ref="S29:AX29" si="25">S22*$E$29*(1+$M29)^(S20)/(1+$J29)^(S$20)</f>
        <v>0</v>
      </c>
      <c r="T29" s="151">
        <f t="shared" si="25"/>
        <v>0</v>
      </c>
      <c r="U29" s="151">
        <f t="shared" si="25"/>
        <v>0</v>
      </c>
      <c r="V29" s="151">
        <f t="shared" si="25"/>
        <v>0</v>
      </c>
      <c r="W29" s="151">
        <f t="shared" si="25"/>
        <v>0</v>
      </c>
      <c r="X29" s="151">
        <f t="shared" si="25"/>
        <v>0</v>
      </c>
      <c r="Y29" s="151">
        <f t="shared" si="25"/>
        <v>0</v>
      </c>
      <c r="Z29" s="151">
        <f t="shared" si="25"/>
        <v>0</v>
      </c>
      <c r="AA29" s="151">
        <f t="shared" si="25"/>
        <v>0</v>
      </c>
      <c r="AB29" s="151">
        <f t="shared" si="25"/>
        <v>0</v>
      </c>
      <c r="AC29" s="151">
        <f t="shared" si="25"/>
        <v>0</v>
      </c>
      <c r="AD29" s="151">
        <f t="shared" si="25"/>
        <v>0</v>
      </c>
      <c r="AE29" s="151">
        <f t="shared" si="25"/>
        <v>0</v>
      </c>
      <c r="AF29" s="151">
        <f t="shared" si="25"/>
        <v>0</v>
      </c>
      <c r="AG29" s="151">
        <f t="shared" si="25"/>
        <v>0</v>
      </c>
      <c r="AH29" s="151">
        <f t="shared" si="25"/>
        <v>0</v>
      </c>
      <c r="AI29" s="151">
        <f t="shared" si="25"/>
        <v>0</v>
      </c>
      <c r="AJ29" s="151">
        <f t="shared" si="25"/>
        <v>0</v>
      </c>
      <c r="AK29" s="151">
        <f t="shared" si="25"/>
        <v>0</v>
      </c>
      <c r="AL29" s="151">
        <f t="shared" si="25"/>
        <v>0</v>
      </c>
      <c r="AM29" s="151">
        <f t="shared" si="25"/>
        <v>0</v>
      </c>
      <c r="AN29" s="151">
        <f t="shared" si="25"/>
        <v>0</v>
      </c>
      <c r="AO29" s="151">
        <f t="shared" si="25"/>
        <v>0</v>
      </c>
      <c r="AP29" s="151">
        <f t="shared" si="25"/>
        <v>0</v>
      </c>
      <c r="AQ29" s="151">
        <f t="shared" si="25"/>
        <v>0</v>
      </c>
      <c r="AR29" s="151">
        <f t="shared" si="25"/>
        <v>0</v>
      </c>
      <c r="AS29" s="151">
        <f t="shared" si="25"/>
        <v>0</v>
      </c>
      <c r="AT29" s="151">
        <f t="shared" si="25"/>
        <v>0</v>
      </c>
      <c r="AU29" s="151">
        <f t="shared" si="25"/>
        <v>0</v>
      </c>
      <c r="AV29" s="151">
        <f t="shared" si="25"/>
        <v>0</v>
      </c>
      <c r="AW29" s="151">
        <f t="shared" si="25"/>
        <v>0</v>
      </c>
      <c r="AX29" s="151">
        <f t="shared" si="25"/>
        <v>0</v>
      </c>
      <c r="AY29" s="151">
        <f t="shared" ref="AY29:BT29" si="26">AY22*$E$29*(1+$M29)^(AY20)/(1+$J29)^(AY$20)</f>
        <v>0</v>
      </c>
      <c r="AZ29" s="151">
        <f t="shared" si="26"/>
        <v>0</v>
      </c>
      <c r="BA29" s="151">
        <f t="shared" si="26"/>
        <v>0</v>
      </c>
      <c r="BB29" s="151">
        <f t="shared" si="26"/>
        <v>0</v>
      </c>
      <c r="BC29" s="151">
        <f t="shared" si="26"/>
        <v>0</v>
      </c>
      <c r="BD29" s="151">
        <f t="shared" si="26"/>
        <v>0</v>
      </c>
      <c r="BE29" s="151">
        <f t="shared" si="26"/>
        <v>0</v>
      </c>
      <c r="BF29" s="151">
        <f t="shared" si="26"/>
        <v>0</v>
      </c>
      <c r="BG29" s="151">
        <f t="shared" si="26"/>
        <v>0</v>
      </c>
      <c r="BH29" s="151">
        <f t="shared" si="26"/>
        <v>0</v>
      </c>
      <c r="BI29" s="151">
        <f t="shared" si="26"/>
        <v>0</v>
      </c>
      <c r="BJ29" s="151">
        <f t="shared" si="26"/>
        <v>0</v>
      </c>
      <c r="BK29" s="151">
        <f t="shared" si="26"/>
        <v>0</v>
      </c>
      <c r="BL29" s="151">
        <f t="shared" si="26"/>
        <v>0</v>
      </c>
      <c r="BM29" s="151">
        <f t="shared" si="26"/>
        <v>0</v>
      </c>
      <c r="BN29" s="151">
        <f t="shared" si="26"/>
        <v>0</v>
      </c>
      <c r="BO29" s="151">
        <f t="shared" si="26"/>
        <v>0</v>
      </c>
      <c r="BP29" s="151">
        <f t="shared" si="26"/>
        <v>0</v>
      </c>
      <c r="BQ29" s="151">
        <f t="shared" si="26"/>
        <v>0</v>
      </c>
      <c r="BR29" s="151">
        <f t="shared" si="26"/>
        <v>0</v>
      </c>
      <c r="BS29" s="151">
        <f t="shared" si="26"/>
        <v>0</v>
      </c>
      <c r="BT29" s="151">
        <f t="shared" si="26"/>
        <v>0</v>
      </c>
      <c r="BV29" s="158" t="str">
        <f t="shared" si="19"/>
        <v>Mehrproduktion in €/Jahr</v>
      </c>
      <c r="BW29" s="151">
        <f t="shared" ref="BW29:DB29" si="27">BW22*$D$29*(1+$L29)^(BW20)/(1+$I29)^(BW$20)</f>
        <v>0</v>
      </c>
      <c r="BX29" s="151">
        <f t="shared" si="27"/>
        <v>0</v>
      </c>
      <c r="BY29" s="151">
        <f t="shared" si="27"/>
        <v>0</v>
      </c>
      <c r="BZ29" s="151">
        <f t="shared" si="27"/>
        <v>0</v>
      </c>
      <c r="CA29" s="151">
        <f t="shared" si="27"/>
        <v>0</v>
      </c>
      <c r="CB29" s="151">
        <f t="shared" si="27"/>
        <v>0</v>
      </c>
      <c r="CC29" s="151">
        <f t="shared" si="27"/>
        <v>0</v>
      </c>
      <c r="CD29" s="151">
        <f t="shared" si="27"/>
        <v>0</v>
      </c>
      <c r="CE29" s="151">
        <f t="shared" si="27"/>
        <v>0</v>
      </c>
      <c r="CF29" s="151">
        <f t="shared" si="27"/>
        <v>0</v>
      </c>
      <c r="CG29" s="151">
        <f t="shared" si="27"/>
        <v>0</v>
      </c>
      <c r="CH29" s="151">
        <f t="shared" si="27"/>
        <v>0</v>
      </c>
      <c r="CI29" s="151">
        <f t="shared" si="27"/>
        <v>0</v>
      </c>
      <c r="CJ29" s="151">
        <f t="shared" si="27"/>
        <v>0</v>
      </c>
      <c r="CK29" s="151">
        <f t="shared" si="27"/>
        <v>0</v>
      </c>
      <c r="CL29" s="151">
        <f t="shared" si="27"/>
        <v>0</v>
      </c>
      <c r="CM29" s="151">
        <f t="shared" si="27"/>
        <v>0</v>
      </c>
      <c r="CN29" s="151">
        <f t="shared" si="27"/>
        <v>0</v>
      </c>
      <c r="CO29" s="151">
        <f t="shared" si="27"/>
        <v>0</v>
      </c>
      <c r="CP29" s="151">
        <f t="shared" si="27"/>
        <v>0</v>
      </c>
      <c r="CQ29" s="151">
        <f t="shared" si="27"/>
        <v>0</v>
      </c>
      <c r="CR29" s="151">
        <f t="shared" si="27"/>
        <v>0</v>
      </c>
      <c r="CS29" s="151">
        <f t="shared" si="27"/>
        <v>0</v>
      </c>
      <c r="CT29" s="151">
        <f t="shared" si="27"/>
        <v>0</v>
      </c>
      <c r="CU29" s="151">
        <f t="shared" si="27"/>
        <v>0</v>
      </c>
      <c r="CV29" s="151">
        <f t="shared" si="27"/>
        <v>0</v>
      </c>
      <c r="CW29" s="151">
        <f t="shared" si="27"/>
        <v>0</v>
      </c>
      <c r="CX29" s="151">
        <f t="shared" si="27"/>
        <v>0</v>
      </c>
      <c r="CY29" s="151">
        <f t="shared" si="27"/>
        <v>0</v>
      </c>
      <c r="CZ29" s="151">
        <f t="shared" si="27"/>
        <v>0</v>
      </c>
      <c r="DA29" s="151">
        <f t="shared" si="27"/>
        <v>0</v>
      </c>
      <c r="DB29" s="151">
        <f t="shared" si="27"/>
        <v>0</v>
      </c>
      <c r="DC29" s="151">
        <f t="shared" ref="DC29:DX29" si="28">DC22*$D$29*(1+$L29)^(DC20)/(1+$I29)^(DC$20)</f>
        <v>0</v>
      </c>
      <c r="DD29" s="151">
        <f t="shared" si="28"/>
        <v>0</v>
      </c>
      <c r="DE29" s="151">
        <f t="shared" si="28"/>
        <v>0</v>
      </c>
      <c r="DF29" s="151">
        <f t="shared" si="28"/>
        <v>0</v>
      </c>
      <c r="DG29" s="151">
        <f t="shared" si="28"/>
        <v>0</v>
      </c>
      <c r="DH29" s="151">
        <f t="shared" si="28"/>
        <v>0</v>
      </c>
      <c r="DI29" s="151">
        <f t="shared" si="28"/>
        <v>0</v>
      </c>
      <c r="DJ29" s="151">
        <f t="shared" si="28"/>
        <v>0</v>
      </c>
      <c r="DK29" s="151">
        <f t="shared" si="28"/>
        <v>0</v>
      </c>
      <c r="DL29" s="151">
        <f t="shared" si="28"/>
        <v>0</v>
      </c>
      <c r="DM29" s="151">
        <f t="shared" si="28"/>
        <v>0</v>
      </c>
      <c r="DN29" s="151">
        <f t="shared" si="28"/>
        <v>0</v>
      </c>
      <c r="DO29" s="151">
        <f t="shared" si="28"/>
        <v>0</v>
      </c>
      <c r="DP29" s="151">
        <f t="shared" si="28"/>
        <v>0</v>
      </c>
      <c r="DQ29" s="151">
        <f t="shared" si="28"/>
        <v>0</v>
      </c>
      <c r="DR29" s="151">
        <f t="shared" si="28"/>
        <v>0</v>
      </c>
      <c r="DS29" s="151">
        <f t="shared" si="28"/>
        <v>0</v>
      </c>
      <c r="DT29" s="151">
        <f t="shared" si="28"/>
        <v>0</v>
      </c>
      <c r="DU29" s="151">
        <f t="shared" si="28"/>
        <v>0</v>
      </c>
      <c r="DV29" s="151">
        <f t="shared" si="28"/>
        <v>0</v>
      </c>
      <c r="DW29" s="151">
        <f t="shared" si="28"/>
        <v>0</v>
      </c>
      <c r="DX29" s="151">
        <f t="shared" si="28"/>
        <v>0</v>
      </c>
      <c r="DZ29" s="158" t="str">
        <f t="shared" si="22"/>
        <v>Mehrproduktion in €/Jahr</v>
      </c>
      <c r="EA29" s="151">
        <f t="shared" ref="EA29:FF29" si="29">EA22*$F$29*(1+$N29)^(EA20)/(1+$K29)^(EA$20)</f>
        <v>0</v>
      </c>
      <c r="EB29" s="151">
        <f t="shared" si="29"/>
        <v>0</v>
      </c>
      <c r="EC29" s="151">
        <f t="shared" si="29"/>
        <v>0</v>
      </c>
      <c r="ED29" s="151">
        <f t="shared" si="29"/>
        <v>0</v>
      </c>
      <c r="EE29" s="151">
        <f t="shared" si="29"/>
        <v>0</v>
      </c>
      <c r="EF29" s="151">
        <f t="shared" si="29"/>
        <v>0</v>
      </c>
      <c r="EG29" s="151">
        <f t="shared" si="29"/>
        <v>0</v>
      </c>
      <c r="EH29" s="151">
        <f t="shared" si="29"/>
        <v>0</v>
      </c>
      <c r="EI29" s="151">
        <f t="shared" si="29"/>
        <v>0</v>
      </c>
      <c r="EJ29" s="151">
        <f t="shared" si="29"/>
        <v>0</v>
      </c>
      <c r="EK29" s="151">
        <f t="shared" si="29"/>
        <v>0</v>
      </c>
      <c r="EL29" s="151">
        <f t="shared" si="29"/>
        <v>0</v>
      </c>
      <c r="EM29" s="151">
        <f t="shared" si="29"/>
        <v>0</v>
      </c>
      <c r="EN29" s="151">
        <f t="shared" si="29"/>
        <v>0</v>
      </c>
      <c r="EO29" s="151">
        <f t="shared" si="29"/>
        <v>0</v>
      </c>
      <c r="EP29" s="151">
        <f t="shared" si="29"/>
        <v>0</v>
      </c>
      <c r="EQ29" s="151">
        <f t="shared" si="29"/>
        <v>0</v>
      </c>
      <c r="ER29" s="151">
        <f t="shared" si="29"/>
        <v>0</v>
      </c>
      <c r="ES29" s="151">
        <f t="shared" si="29"/>
        <v>0</v>
      </c>
      <c r="ET29" s="151">
        <f t="shared" si="29"/>
        <v>0</v>
      </c>
      <c r="EU29" s="151">
        <f t="shared" si="29"/>
        <v>0</v>
      </c>
      <c r="EV29" s="151">
        <f t="shared" si="29"/>
        <v>0</v>
      </c>
      <c r="EW29" s="151">
        <f t="shared" si="29"/>
        <v>0</v>
      </c>
      <c r="EX29" s="151">
        <f t="shared" si="29"/>
        <v>0</v>
      </c>
      <c r="EY29" s="151">
        <f t="shared" si="29"/>
        <v>0</v>
      </c>
      <c r="EZ29" s="151">
        <f t="shared" si="29"/>
        <v>0</v>
      </c>
      <c r="FA29" s="151">
        <f t="shared" si="29"/>
        <v>0</v>
      </c>
      <c r="FB29" s="151">
        <f t="shared" si="29"/>
        <v>0</v>
      </c>
      <c r="FC29" s="151">
        <f t="shared" si="29"/>
        <v>0</v>
      </c>
      <c r="FD29" s="151">
        <f t="shared" si="29"/>
        <v>0</v>
      </c>
      <c r="FE29" s="151">
        <f t="shared" si="29"/>
        <v>0</v>
      </c>
      <c r="FF29" s="151">
        <f t="shared" si="29"/>
        <v>0</v>
      </c>
      <c r="FG29" s="151">
        <f t="shared" ref="FG29:GB29" si="30">FG22*$F$29*(1+$N29)^(FG20)/(1+$K29)^(FG$20)</f>
        <v>0</v>
      </c>
      <c r="FH29" s="151">
        <f t="shared" si="30"/>
        <v>0</v>
      </c>
      <c r="FI29" s="151">
        <f t="shared" si="30"/>
        <v>0</v>
      </c>
      <c r="FJ29" s="151">
        <f t="shared" si="30"/>
        <v>0</v>
      </c>
      <c r="FK29" s="151">
        <f t="shared" si="30"/>
        <v>0</v>
      </c>
      <c r="FL29" s="151">
        <f t="shared" si="30"/>
        <v>0</v>
      </c>
      <c r="FM29" s="151">
        <f t="shared" si="30"/>
        <v>0</v>
      </c>
      <c r="FN29" s="151">
        <f t="shared" si="30"/>
        <v>0</v>
      </c>
      <c r="FO29" s="151">
        <f t="shared" si="30"/>
        <v>0</v>
      </c>
      <c r="FP29" s="151">
        <f t="shared" si="30"/>
        <v>0</v>
      </c>
      <c r="FQ29" s="151">
        <f t="shared" si="30"/>
        <v>0</v>
      </c>
      <c r="FR29" s="151">
        <f t="shared" si="30"/>
        <v>0</v>
      </c>
      <c r="FS29" s="151">
        <f t="shared" si="30"/>
        <v>0</v>
      </c>
      <c r="FT29" s="151">
        <f t="shared" si="30"/>
        <v>0</v>
      </c>
      <c r="FU29" s="151">
        <f t="shared" si="30"/>
        <v>0</v>
      </c>
      <c r="FV29" s="151">
        <f t="shared" si="30"/>
        <v>0</v>
      </c>
      <c r="FW29" s="151">
        <f t="shared" si="30"/>
        <v>0</v>
      </c>
      <c r="FX29" s="151">
        <f t="shared" si="30"/>
        <v>0</v>
      </c>
      <c r="FY29" s="151">
        <f t="shared" si="30"/>
        <v>0</v>
      </c>
      <c r="FZ29" s="151">
        <f t="shared" si="30"/>
        <v>0</v>
      </c>
      <c r="GA29" s="151">
        <f t="shared" si="30"/>
        <v>0</v>
      </c>
      <c r="GB29" s="151">
        <f t="shared" si="30"/>
        <v>0</v>
      </c>
    </row>
    <row r="30" spans="1:184" ht="17.25" customHeight="1" x14ac:dyDescent="0.5">
      <c r="A30" s="88"/>
      <c r="B30" s="322"/>
      <c r="C30" s="101" t="s">
        <v>229</v>
      </c>
      <c r="D30" s="169"/>
      <c r="E30" s="169"/>
      <c r="F30" s="170"/>
      <c r="G30" s="171">
        <v>99</v>
      </c>
      <c r="H30" s="173">
        <v>99</v>
      </c>
      <c r="I30" s="174">
        <v>0</v>
      </c>
      <c r="J30" s="175">
        <v>0</v>
      </c>
      <c r="K30" s="176">
        <v>0</v>
      </c>
      <c r="L30" s="168">
        <f t="shared" si="13"/>
        <v>0.02</v>
      </c>
      <c r="M30" s="165">
        <f t="shared" si="14"/>
        <v>0.03</v>
      </c>
      <c r="N30" s="166">
        <f t="shared" si="15"/>
        <v>0.05</v>
      </c>
      <c r="R30" s="158" t="str">
        <f t="shared" si="16"/>
        <v>Entsorgung - Gewinn in € (Gewinn heute)</v>
      </c>
      <c r="S30" s="151">
        <f t="shared" ref="S30:AX30" si="31">IF(S21+T21=1,$E$30*(1+$M$30)^(S20)/((1+$J30)^(S$20)),0)</f>
        <v>0</v>
      </c>
      <c r="T30" s="151">
        <f t="shared" si="31"/>
        <v>0</v>
      </c>
      <c r="U30" s="151">
        <f t="shared" si="31"/>
        <v>0</v>
      </c>
      <c r="V30" s="151">
        <f t="shared" si="31"/>
        <v>0</v>
      </c>
      <c r="W30" s="151">
        <f t="shared" si="31"/>
        <v>0</v>
      </c>
      <c r="X30" s="151">
        <f t="shared" si="31"/>
        <v>0</v>
      </c>
      <c r="Y30" s="151">
        <f t="shared" si="31"/>
        <v>0</v>
      </c>
      <c r="Z30" s="151">
        <f t="shared" si="31"/>
        <v>0</v>
      </c>
      <c r="AA30" s="151">
        <f t="shared" si="31"/>
        <v>0</v>
      </c>
      <c r="AB30" s="151">
        <f t="shared" si="31"/>
        <v>0</v>
      </c>
      <c r="AC30" s="151">
        <f t="shared" si="31"/>
        <v>0</v>
      </c>
      <c r="AD30" s="151">
        <f t="shared" si="31"/>
        <v>0</v>
      </c>
      <c r="AE30" s="151">
        <f t="shared" si="31"/>
        <v>0</v>
      </c>
      <c r="AF30" s="151">
        <f t="shared" si="31"/>
        <v>0</v>
      </c>
      <c r="AG30" s="151">
        <f t="shared" si="31"/>
        <v>0</v>
      </c>
      <c r="AH30" s="151">
        <f t="shared" si="31"/>
        <v>0</v>
      </c>
      <c r="AI30" s="151">
        <f t="shared" si="31"/>
        <v>0</v>
      </c>
      <c r="AJ30" s="151">
        <f t="shared" si="31"/>
        <v>0</v>
      </c>
      <c r="AK30" s="151">
        <f t="shared" si="31"/>
        <v>0</v>
      </c>
      <c r="AL30" s="151">
        <f t="shared" si="31"/>
        <v>0</v>
      </c>
      <c r="AM30" s="151">
        <f t="shared" si="31"/>
        <v>0</v>
      </c>
      <c r="AN30" s="151">
        <f t="shared" si="31"/>
        <v>0</v>
      </c>
      <c r="AO30" s="151">
        <f t="shared" si="31"/>
        <v>0</v>
      </c>
      <c r="AP30" s="151">
        <f t="shared" si="31"/>
        <v>0</v>
      </c>
      <c r="AQ30" s="151">
        <f t="shared" si="31"/>
        <v>0</v>
      </c>
      <c r="AR30" s="151">
        <f t="shared" si="31"/>
        <v>0</v>
      </c>
      <c r="AS30" s="151">
        <f t="shared" si="31"/>
        <v>0</v>
      </c>
      <c r="AT30" s="151">
        <f t="shared" si="31"/>
        <v>0</v>
      </c>
      <c r="AU30" s="151">
        <f t="shared" si="31"/>
        <v>0</v>
      </c>
      <c r="AV30" s="151">
        <f t="shared" si="31"/>
        <v>0</v>
      </c>
      <c r="AW30" s="151">
        <f t="shared" si="31"/>
        <v>0</v>
      </c>
      <c r="AX30" s="151">
        <f t="shared" si="31"/>
        <v>0</v>
      </c>
      <c r="AY30" s="151">
        <f t="shared" ref="AY30:BT30" si="32">IF(AY21+AZ21=1,$E$30*(1+$M$30)^(AY20)/((1+$J30)^(AY$20)),0)</f>
        <v>0</v>
      </c>
      <c r="AZ30" s="151">
        <f t="shared" si="32"/>
        <v>0</v>
      </c>
      <c r="BA30" s="151">
        <f t="shared" si="32"/>
        <v>0</v>
      </c>
      <c r="BB30" s="151">
        <f t="shared" si="32"/>
        <v>0</v>
      </c>
      <c r="BC30" s="151">
        <f t="shared" si="32"/>
        <v>0</v>
      </c>
      <c r="BD30" s="151">
        <f t="shared" si="32"/>
        <v>0</v>
      </c>
      <c r="BE30" s="151">
        <f t="shared" si="32"/>
        <v>0</v>
      </c>
      <c r="BF30" s="151">
        <f t="shared" si="32"/>
        <v>0</v>
      </c>
      <c r="BG30" s="151">
        <f t="shared" si="32"/>
        <v>0</v>
      </c>
      <c r="BH30" s="151">
        <f t="shared" si="32"/>
        <v>0</v>
      </c>
      <c r="BI30" s="151">
        <f t="shared" si="32"/>
        <v>0</v>
      </c>
      <c r="BJ30" s="151">
        <f t="shared" si="32"/>
        <v>0</v>
      </c>
      <c r="BK30" s="151">
        <f t="shared" si="32"/>
        <v>0</v>
      </c>
      <c r="BL30" s="151">
        <f t="shared" si="32"/>
        <v>0</v>
      </c>
      <c r="BM30" s="151">
        <f t="shared" si="32"/>
        <v>0</v>
      </c>
      <c r="BN30" s="151">
        <f t="shared" si="32"/>
        <v>0</v>
      </c>
      <c r="BO30" s="151">
        <f t="shared" si="32"/>
        <v>0</v>
      </c>
      <c r="BP30" s="151">
        <f t="shared" si="32"/>
        <v>0</v>
      </c>
      <c r="BQ30" s="151">
        <f t="shared" si="32"/>
        <v>0</v>
      </c>
      <c r="BR30" s="151">
        <f t="shared" si="32"/>
        <v>0</v>
      </c>
      <c r="BS30" s="151">
        <f t="shared" si="32"/>
        <v>0</v>
      </c>
      <c r="BT30" s="151">
        <f t="shared" si="32"/>
        <v>0</v>
      </c>
      <c r="BV30" s="158" t="str">
        <f t="shared" si="19"/>
        <v>Entsorgung - Gewinn in € (Gewinn heute)</v>
      </c>
      <c r="BW30" s="151">
        <f t="shared" ref="BW30:DB30" si="33">IF(BW21+BX21=1,$D$30*(1+$L$30)^(BW20)/((1+$I30)^(BW$20)),0)</f>
        <v>0</v>
      </c>
      <c r="BX30" s="151">
        <f t="shared" si="33"/>
        <v>0</v>
      </c>
      <c r="BY30" s="151">
        <f t="shared" si="33"/>
        <v>0</v>
      </c>
      <c r="BZ30" s="151">
        <f t="shared" si="33"/>
        <v>0</v>
      </c>
      <c r="CA30" s="151">
        <f t="shared" si="33"/>
        <v>0</v>
      </c>
      <c r="CB30" s="151">
        <f t="shared" si="33"/>
        <v>0</v>
      </c>
      <c r="CC30" s="151">
        <f t="shared" si="33"/>
        <v>0</v>
      </c>
      <c r="CD30" s="151">
        <f t="shared" si="33"/>
        <v>0</v>
      </c>
      <c r="CE30" s="151">
        <f t="shared" si="33"/>
        <v>0</v>
      </c>
      <c r="CF30" s="151">
        <f t="shared" si="33"/>
        <v>0</v>
      </c>
      <c r="CG30" s="151">
        <f t="shared" si="33"/>
        <v>0</v>
      </c>
      <c r="CH30" s="151">
        <f t="shared" si="33"/>
        <v>0</v>
      </c>
      <c r="CI30" s="151">
        <f t="shared" si="33"/>
        <v>0</v>
      </c>
      <c r="CJ30" s="151">
        <f t="shared" si="33"/>
        <v>0</v>
      </c>
      <c r="CK30" s="151">
        <f t="shared" si="33"/>
        <v>0</v>
      </c>
      <c r="CL30" s="151">
        <f t="shared" si="33"/>
        <v>0</v>
      </c>
      <c r="CM30" s="151">
        <f t="shared" si="33"/>
        <v>0</v>
      </c>
      <c r="CN30" s="151">
        <f t="shared" si="33"/>
        <v>0</v>
      </c>
      <c r="CO30" s="151">
        <f t="shared" si="33"/>
        <v>0</v>
      </c>
      <c r="CP30" s="151">
        <f t="shared" si="33"/>
        <v>0</v>
      </c>
      <c r="CQ30" s="151">
        <f t="shared" si="33"/>
        <v>0</v>
      </c>
      <c r="CR30" s="151">
        <f t="shared" si="33"/>
        <v>0</v>
      </c>
      <c r="CS30" s="151">
        <f t="shared" si="33"/>
        <v>0</v>
      </c>
      <c r="CT30" s="151">
        <f t="shared" si="33"/>
        <v>0</v>
      </c>
      <c r="CU30" s="151">
        <f t="shared" si="33"/>
        <v>0</v>
      </c>
      <c r="CV30" s="151">
        <f t="shared" si="33"/>
        <v>0</v>
      </c>
      <c r="CW30" s="151">
        <f t="shared" si="33"/>
        <v>0</v>
      </c>
      <c r="CX30" s="151">
        <f t="shared" si="33"/>
        <v>0</v>
      </c>
      <c r="CY30" s="151">
        <f t="shared" si="33"/>
        <v>0</v>
      </c>
      <c r="CZ30" s="151">
        <f t="shared" si="33"/>
        <v>0</v>
      </c>
      <c r="DA30" s="151">
        <f t="shared" si="33"/>
        <v>0</v>
      </c>
      <c r="DB30" s="151">
        <f t="shared" si="33"/>
        <v>0</v>
      </c>
      <c r="DC30" s="151">
        <f t="shared" ref="DC30:DX30" si="34">IF(DC21+DD21=1,$D$30*(1+$L$30)^(DC20)/((1+$I30)^(DC$20)),0)</f>
        <v>0</v>
      </c>
      <c r="DD30" s="151">
        <f t="shared" si="34"/>
        <v>0</v>
      </c>
      <c r="DE30" s="151">
        <f t="shared" si="34"/>
        <v>0</v>
      </c>
      <c r="DF30" s="151">
        <f t="shared" si="34"/>
        <v>0</v>
      </c>
      <c r="DG30" s="151">
        <f t="shared" si="34"/>
        <v>0</v>
      </c>
      <c r="DH30" s="151">
        <f t="shared" si="34"/>
        <v>0</v>
      </c>
      <c r="DI30" s="151">
        <f t="shared" si="34"/>
        <v>0</v>
      </c>
      <c r="DJ30" s="151">
        <f t="shared" si="34"/>
        <v>0</v>
      </c>
      <c r="DK30" s="151">
        <f t="shared" si="34"/>
        <v>0</v>
      </c>
      <c r="DL30" s="151">
        <f t="shared" si="34"/>
        <v>0</v>
      </c>
      <c r="DM30" s="151">
        <f t="shared" si="34"/>
        <v>0</v>
      </c>
      <c r="DN30" s="151">
        <f t="shared" si="34"/>
        <v>0</v>
      </c>
      <c r="DO30" s="151">
        <f t="shared" si="34"/>
        <v>0</v>
      </c>
      <c r="DP30" s="151">
        <f t="shared" si="34"/>
        <v>0</v>
      </c>
      <c r="DQ30" s="151">
        <f t="shared" si="34"/>
        <v>0</v>
      </c>
      <c r="DR30" s="151">
        <f t="shared" si="34"/>
        <v>0</v>
      </c>
      <c r="DS30" s="151">
        <f t="shared" si="34"/>
        <v>0</v>
      </c>
      <c r="DT30" s="151">
        <f t="shared" si="34"/>
        <v>0</v>
      </c>
      <c r="DU30" s="151">
        <f t="shared" si="34"/>
        <v>0</v>
      </c>
      <c r="DV30" s="151">
        <f t="shared" si="34"/>
        <v>0</v>
      </c>
      <c r="DW30" s="151">
        <f t="shared" si="34"/>
        <v>0</v>
      </c>
      <c r="DX30" s="151">
        <f t="shared" si="34"/>
        <v>0</v>
      </c>
      <c r="DZ30" s="158" t="str">
        <f t="shared" si="22"/>
        <v>Entsorgung - Gewinn in € (Gewinn heute)</v>
      </c>
      <c r="EA30" s="151">
        <f t="shared" ref="EA30:FF30" si="35">IF(EA21+EB21=1,$F$30*(1+$N$30)^(EA20)/((1+$K30)^(EA$20)),0)</f>
        <v>0</v>
      </c>
      <c r="EB30" s="151">
        <f t="shared" si="35"/>
        <v>0</v>
      </c>
      <c r="EC30" s="151">
        <f t="shared" si="35"/>
        <v>0</v>
      </c>
      <c r="ED30" s="151">
        <f t="shared" si="35"/>
        <v>0</v>
      </c>
      <c r="EE30" s="151">
        <f t="shared" si="35"/>
        <v>0</v>
      </c>
      <c r="EF30" s="151">
        <f t="shared" si="35"/>
        <v>0</v>
      </c>
      <c r="EG30" s="151">
        <f t="shared" si="35"/>
        <v>0</v>
      </c>
      <c r="EH30" s="151">
        <f t="shared" si="35"/>
        <v>0</v>
      </c>
      <c r="EI30" s="151">
        <f t="shared" si="35"/>
        <v>0</v>
      </c>
      <c r="EJ30" s="151">
        <f t="shared" si="35"/>
        <v>0</v>
      </c>
      <c r="EK30" s="151">
        <f t="shared" si="35"/>
        <v>0</v>
      </c>
      <c r="EL30" s="151">
        <f t="shared" si="35"/>
        <v>0</v>
      </c>
      <c r="EM30" s="151">
        <f t="shared" si="35"/>
        <v>0</v>
      </c>
      <c r="EN30" s="151">
        <f t="shared" si="35"/>
        <v>0</v>
      </c>
      <c r="EO30" s="151">
        <f t="shared" si="35"/>
        <v>0</v>
      </c>
      <c r="EP30" s="151">
        <f t="shared" si="35"/>
        <v>0</v>
      </c>
      <c r="EQ30" s="151">
        <f t="shared" si="35"/>
        <v>0</v>
      </c>
      <c r="ER30" s="151">
        <f t="shared" si="35"/>
        <v>0</v>
      </c>
      <c r="ES30" s="151">
        <f t="shared" si="35"/>
        <v>0</v>
      </c>
      <c r="ET30" s="151">
        <f t="shared" si="35"/>
        <v>0</v>
      </c>
      <c r="EU30" s="151">
        <f t="shared" si="35"/>
        <v>0</v>
      </c>
      <c r="EV30" s="151">
        <f t="shared" si="35"/>
        <v>0</v>
      </c>
      <c r="EW30" s="151">
        <f t="shared" si="35"/>
        <v>0</v>
      </c>
      <c r="EX30" s="151">
        <f t="shared" si="35"/>
        <v>0</v>
      </c>
      <c r="EY30" s="151">
        <f t="shared" si="35"/>
        <v>0</v>
      </c>
      <c r="EZ30" s="151">
        <f t="shared" si="35"/>
        <v>0</v>
      </c>
      <c r="FA30" s="151">
        <f t="shared" si="35"/>
        <v>0</v>
      </c>
      <c r="FB30" s="151">
        <f t="shared" si="35"/>
        <v>0</v>
      </c>
      <c r="FC30" s="151">
        <f t="shared" si="35"/>
        <v>0</v>
      </c>
      <c r="FD30" s="151">
        <f t="shared" si="35"/>
        <v>0</v>
      </c>
      <c r="FE30" s="151">
        <f t="shared" si="35"/>
        <v>0</v>
      </c>
      <c r="FF30" s="151">
        <f t="shared" si="35"/>
        <v>0</v>
      </c>
      <c r="FG30" s="151">
        <f t="shared" ref="FG30:GB30" si="36">IF(FG21+FH21=1,$F$30*(1+$N$30)^(FG20)/((1+$K30)^(FG$20)),0)</f>
        <v>0</v>
      </c>
      <c r="FH30" s="151">
        <f t="shared" si="36"/>
        <v>0</v>
      </c>
      <c r="FI30" s="151">
        <f t="shared" si="36"/>
        <v>0</v>
      </c>
      <c r="FJ30" s="151">
        <f t="shared" si="36"/>
        <v>0</v>
      </c>
      <c r="FK30" s="151">
        <f t="shared" si="36"/>
        <v>0</v>
      </c>
      <c r="FL30" s="151">
        <f t="shared" si="36"/>
        <v>0</v>
      </c>
      <c r="FM30" s="151">
        <f t="shared" si="36"/>
        <v>0</v>
      </c>
      <c r="FN30" s="151">
        <f t="shared" si="36"/>
        <v>0</v>
      </c>
      <c r="FO30" s="151">
        <f t="shared" si="36"/>
        <v>0</v>
      </c>
      <c r="FP30" s="151">
        <f t="shared" si="36"/>
        <v>0</v>
      </c>
      <c r="FQ30" s="151">
        <f t="shared" si="36"/>
        <v>0</v>
      </c>
      <c r="FR30" s="151">
        <f t="shared" si="36"/>
        <v>0</v>
      </c>
      <c r="FS30" s="151">
        <f t="shared" si="36"/>
        <v>0</v>
      </c>
      <c r="FT30" s="151">
        <f t="shared" si="36"/>
        <v>0</v>
      </c>
      <c r="FU30" s="151">
        <f t="shared" si="36"/>
        <v>0</v>
      </c>
      <c r="FV30" s="151">
        <f t="shared" si="36"/>
        <v>0</v>
      </c>
      <c r="FW30" s="151">
        <f t="shared" si="36"/>
        <v>0</v>
      </c>
      <c r="FX30" s="151">
        <f t="shared" si="36"/>
        <v>0</v>
      </c>
      <c r="FY30" s="151">
        <f t="shared" si="36"/>
        <v>0</v>
      </c>
      <c r="FZ30" s="151">
        <f t="shared" si="36"/>
        <v>0</v>
      </c>
      <c r="GA30" s="151">
        <f t="shared" si="36"/>
        <v>0</v>
      </c>
      <c r="GB30" s="151">
        <f t="shared" si="36"/>
        <v>0</v>
      </c>
    </row>
    <row r="31" spans="1:184" ht="17.25" customHeight="1" x14ac:dyDescent="0.5">
      <c r="A31" s="88"/>
      <c r="B31" s="322"/>
      <c r="C31" s="101" t="s">
        <v>230</v>
      </c>
      <c r="D31" s="169"/>
      <c r="E31" s="169"/>
      <c r="F31" s="170"/>
      <c r="G31" s="177"/>
      <c r="H31" s="178"/>
      <c r="I31" s="154">
        <v>0</v>
      </c>
      <c r="J31" s="155">
        <v>0</v>
      </c>
      <c r="K31" s="156">
        <v>0</v>
      </c>
      <c r="L31" s="179">
        <f t="shared" si="13"/>
        <v>0.02</v>
      </c>
      <c r="M31" s="180">
        <f t="shared" si="14"/>
        <v>0.03</v>
      </c>
      <c r="N31" s="181">
        <f t="shared" si="15"/>
        <v>0.05</v>
      </c>
      <c r="R31" s="158" t="str">
        <f t="shared" si="16"/>
        <v>Einsparung Arbeitskraft in €/Jahr</v>
      </c>
      <c r="S31" s="151">
        <f t="shared" ref="S31:AB38" si="37">IF(AND($G31=99,$H31=99),S$22*$E31*(1+$M31)^(S$20)/((1+$J31)^(S$20)),IF(AND($H31=99,S$20&gt;=$G31,S$20&lt;=$E$20),$E31*(1+$M31)^(S$20)/((1+$J31)^(S$20)),IF(AND($G31=99,S$20&lt;=$H31,S$20&gt;=$E$18),$E31*(1+$M31)^(S$20)/((1+$J31)^(S$20)),IF(AND(S$20&lt;=$H31,S$20&gt;=$G31,$G31&lt;&gt;99,$H31&lt;&gt;99),$E31*(1+$M31)^(S$20)/((1+$J31)^(S$20)),0))))</f>
        <v>0</v>
      </c>
      <c r="T31" s="151">
        <f t="shared" si="37"/>
        <v>0</v>
      </c>
      <c r="U31" s="151">
        <f t="shared" si="37"/>
        <v>0</v>
      </c>
      <c r="V31" s="151">
        <f t="shared" si="37"/>
        <v>0</v>
      </c>
      <c r="W31" s="151">
        <f t="shared" si="37"/>
        <v>0</v>
      </c>
      <c r="X31" s="151">
        <f t="shared" si="37"/>
        <v>0</v>
      </c>
      <c r="Y31" s="151">
        <f t="shared" si="37"/>
        <v>0</v>
      </c>
      <c r="Z31" s="151">
        <f t="shared" si="37"/>
        <v>0</v>
      </c>
      <c r="AA31" s="151">
        <f t="shared" si="37"/>
        <v>0</v>
      </c>
      <c r="AB31" s="151">
        <f t="shared" si="37"/>
        <v>0</v>
      </c>
      <c r="AC31" s="151">
        <f t="shared" ref="AC31:AL38" si="38">IF(AND($G31=99,$H31=99),AC$22*$E31*(1+$M31)^(AC$20)/((1+$J31)^(AC$20)),IF(AND($H31=99,AC$20&gt;=$G31,AC$20&lt;=$E$20),$E31*(1+$M31)^(AC$20)/((1+$J31)^(AC$20)),IF(AND($G31=99,AC$20&lt;=$H31,AC$20&gt;=$E$18),$E31*(1+$M31)^(AC$20)/((1+$J31)^(AC$20)),IF(AND(AC$20&lt;=$H31,AC$20&gt;=$G31,$G31&lt;&gt;99,$H31&lt;&gt;99),$E31*(1+$M31)^(AC$20)/((1+$J31)^(AC$20)),0))))</f>
        <v>0</v>
      </c>
      <c r="AD31" s="151">
        <f t="shared" si="38"/>
        <v>0</v>
      </c>
      <c r="AE31" s="151">
        <f t="shared" si="38"/>
        <v>0</v>
      </c>
      <c r="AF31" s="151">
        <f t="shared" si="38"/>
        <v>0</v>
      </c>
      <c r="AG31" s="151">
        <f t="shared" si="38"/>
        <v>0</v>
      </c>
      <c r="AH31" s="151">
        <f t="shared" si="38"/>
        <v>0</v>
      </c>
      <c r="AI31" s="151">
        <f t="shared" si="38"/>
        <v>0</v>
      </c>
      <c r="AJ31" s="151">
        <f t="shared" si="38"/>
        <v>0</v>
      </c>
      <c r="AK31" s="151">
        <f t="shared" si="38"/>
        <v>0</v>
      </c>
      <c r="AL31" s="151">
        <f t="shared" si="38"/>
        <v>0</v>
      </c>
      <c r="AM31" s="151">
        <f t="shared" ref="AM31:AV38" si="39">IF(AND($G31=99,$H31=99),AM$22*$E31*(1+$M31)^(AM$20)/((1+$J31)^(AM$20)),IF(AND($H31=99,AM$20&gt;=$G31,AM$20&lt;=$E$20),$E31*(1+$M31)^(AM$20)/((1+$J31)^(AM$20)),IF(AND($G31=99,AM$20&lt;=$H31,AM$20&gt;=$E$18),$E31*(1+$M31)^(AM$20)/((1+$J31)^(AM$20)),IF(AND(AM$20&lt;=$H31,AM$20&gt;=$G31,$G31&lt;&gt;99,$H31&lt;&gt;99),$E31*(1+$M31)^(AM$20)/((1+$J31)^(AM$20)),0))))</f>
        <v>0</v>
      </c>
      <c r="AN31" s="151">
        <f t="shared" si="39"/>
        <v>0</v>
      </c>
      <c r="AO31" s="151">
        <f t="shared" si="39"/>
        <v>0</v>
      </c>
      <c r="AP31" s="151">
        <f t="shared" si="39"/>
        <v>0</v>
      </c>
      <c r="AQ31" s="151">
        <f t="shared" si="39"/>
        <v>0</v>
      </c>
      <c r="AR31" s="151">
        <f t="shared" si="39"/>
        <v>0</v>
      </c>
      <c r="AS31" s="151">
        <f t="shared" si="39"/>
        <v>0</v>
      </c>
      <c r="AT31" s="151">
        <f t="shared" si="39"/>
        <v>0</v>
      </c>
      <c r="AU31" s="151">
        <f t="shared" si="39"/>
        <v>0</v>
      </c>
      <c r="AV31" s="151">
        <f t="shared" si="39"/>
        <v>0</v>
      </c>
      <c r="AW31" s="151">
        <f t="shared" ref="AW31:BF38" si="40">IF(AND($G31=99,$H31=99),AW$22*$E31*(1+$M31)^(AW$20)/((1+$J31)^(AW$20)),IF(AND($H31=99,AW$20&gt;=$G31,AW$20&lt;=$E$20),$E31*(1+$M31)^(AW$20)/((1+$J31)^(AW$20)),IF(AND($G31=99,AW$20&lt;=$H31,AW$20&gt;=$E$18),$E31*(1+$M31)^(AW$20)/((1+$J31)^(AW$20)),IF(AND(AW$20&lt;=$H31,AW$20&gt;=$G31,$G31&lt;&gt;99,$H31&lt;&gt;99),$E31*(1+$M31)^(AW$20)/((1+$J31)^(AW$20)),0))))</f>
        <v>0</v>
      </c>
      <c r="AX31" s="151">
        <f t="shared" si="40"/>
        <v>0</v>
      </c>
      <c r="AY31" s="151">
        <f t="shared" si="40"/>
        <v>0</v>
      </c>
      <c r="AZ31" s="151">
        <f t="shared" si="40"/>
        <v>0</v>
      </c>
      <c r="BA31" s="151">
        <f t="shared" si="40"/>
        <v>0</v>
      </c>
      <c r="BB31" s="151">
        <f t="shared" si="40"/>
        <v>0</v>
      </c>
      <c r="BC31" s="151">
        <f t="shared" si="40"/>
        <v>0</v>
      </c>
      <c r="BD31" s="151">
        <f t="shared" si="40"/>
        <v>0</v>
      </c>
      <c r="BE31" s="151">
        <f t="shared" si="40"/>
        <v>0</v>
      </c>
      <c r="BF31" s="151">
        <f t="shared" si="40"/>
        <v>0</v>
      </c>
      <c r="BG31" s="151">
        <f t="shared" ref="BG31:BT38" si="41">IF(AND($G31=99,$H31=99),BG$22*$E31*(1+$M31)^(BG$20)/((1+$J31)^(BG$20)),IF(AND($H31=99,BG$20&gt;=$G31,BG$20&lt;=$E$20),$E31*(1+$M31)^(BG$20)/((1+$J31)^(BG$20)),IF(AND($G31=99,BG$20&lt;=$H31,BG$20&gt;=$E$18),$E31*(1+$M31)^(BG$20)/((1+$J31)^(BG$20)),IF(AND(BG$20&lt;=$H31,BG$20&gt;=$G31,$G31&lt;&gt;99,$H31&lt;&gt;99),$E31*(1+$M31)^(BG$20)/((1+$J31)^(BG$20)),0))))</f>
        <v>0</v>
      </c>
      <c r="BH31" s="151">
        <f t="shared" si="41"/>
        <v>0</v>
      </c>
      <c r="BI31" s="151">
        <f t="shared" si="41"/>
        <v>0</v>
      </c>
      <c r="BJ31" s="151">
        <f t="shared" si="41"/>
        <v>0</v>
      </c>
      <c r="BK31" s="151">
        <f t="shared" si="41"/>
        <v>0</v>
      </c>
      <c r="BL31" s="151">
        <f t="shared" si="41"/>
        <v>0</v>
      </c>
      <c r="BM31" s="151">
        <f t="shared" si="41"/>
        <v>0</v>
      </c>
      <c r="BN31" s="151">
        <f t="shared" si="41"/>
        <v>0</v>
      </c>
      <c r="BO31" s="151">
        <f t="shared" si="41"/>
        <v>0</v>
      </c>
      <c r="BP31" s="151">
        <f t="shared" si="41"/>
        <v>0</v>
      </c>
      <c r="BQ31" s="151">
        <f t="shared" si="41"/>
        <v>0</v>
      </c>
      <c r="BR31" s="151">
        <f t="shared" si="41"/>
        <v>0</v>
      </c>
      <c r="BS31" s="151">
        <f t="shared" si="41"/>
        <v>0</v>
      </c>
      <c r="BT31" s="151">
        <f t="shared" si="41"/>
        <v>0</v>
      </c>
      <c r="BV31" s="158" t="str">
        <f t="shared" si="19"/>
        <v>Einsparung Arbeitskraft in €/Jahr</v>
      </c>
      <c r="BW31" s="151">
        <f t="shared" ref="BW31:CF38" si="42">IF(AND($G31=99,$H31=99),BW$22*$D31*(1+$L31)^(BW$20)/((1+$I31)^(BW$20)),IF(AND($H31=99,BW$20&gt;=$G31,BW$20&lt;=$D$20),$D31*(1+$L31)^(BW$20)/((1+$I31)^(BW$20)),IF(AND($G31=99,BW$20&lt;=$H31,BW$20&gt;=$D$18),$D31*(1+$L31)^(BW$20)/((1+$I31)^(BW$20)),IF(AND(BW$20&lt;=$H31,BW$20&gt;=$G31,$G31&lt;&gt;99,$H31&lt;&gt;99),$D31*(1+$L31)^(BW$20)/((1+$I31)^(BW$20)),0))))</f>
        <v>0</v>
      </c>
      <c r="BX31" s="151">
        <f t="shared" si="42"/>
        <v>0</v>
      </c>
      <c r="BY31" s="151">
        <f t="shared" si="42"/>
        <v>0</v>
      </c>
      <c r="BZ31" s="151">
        <f t="shared" si="42"/>
        <v>0</v>
      </c>
      <c r="CA31" s="151">
        <f t="shared" si="42"/>
        <v>0</v>
      </c>
      <c r="CB31" s="151">
        <f t="shared" si="42"/>
        <v>0</v>
      </c>
      <c r="CC31" s="151">
        <f t="shared" si="42"/>
        <v>0</v>
      </c>
      <c r="CD31" s="151">
        <f t="shared" si="42"/>
        <v>0</v>
      </c>
      <c r="CE31" s="151">
        <f t="shared" si="42"/>
        <v>0</v>
      </c>
      <c r="CF31" s="151">
        <f t="shared" si="42"/>
        <v>0</v>
      </c>
      <c r="CG31" s="151">
        <f t="shared" ref="CG31:CP38" si="43">IF(AND($G31=99,$H31=99),CG$22*$D31*(1+$L31)^(CG$20)/((1+$I31)^(CG$20)),IF(AND($H31=99,CG$20&gt;=$G31,CG$20&lt;=$D$20),$D31*(1+$L31)^(CG$20)/((1+$I31)^(CG$20)),IF(AND($G31=99,CG$20&lt;=$H31,CG$20&gt;=$D$18),$D31*(1+$L31)^(CG$20)/((1+$I31)^(CG$20)),IF(AND(CG$20&lt;=$H31,CG$20&gt;=$G31,$G31&lt;&gt;99,$H31&lt;&gt;99),$D31*(1+$L31)^(CG$20)/((1+$I31)^(CG$20)),0))))</f>
        <v>0</v>
      </c>
      <c r="CH31" s="151">
        <f t="shared" si="43"/>
        <v>0</v>
      </c>
      <c r="CI31" s="151">
        <f t="shared" si="43"/>
        <v>0</v>
      </c>
      <c r="CJ31" s="151">
        <f t="shared" si="43"/>
        <v>0</v>
      </c>
      <c r="CK31" s="151">
        <f t="shared" si="43"/>
        <v>0</v>
      </c>
      <c r="CL31" s="151">
        <f t="shared" si="43"/>
        <v>0</v>
      </c>
      <c r="CM31" s="151">
        <f t="shared" si="43"/>
        <v>0</v>
      </c>
      <c r="CN31" s="151">
        <f t="shared" si="43"/>
        <v>0</v>
      </c>
      <c r="CO31" s="151">
        <f t="shared" si="43"/>
        <v>0</v>
      </c>
      <c r="CP31" s="151">
        <f t="shared" si="43"/>
        <v>0</v>
      </c>
      <c r="CQ31" s="151">
        <f t="shared" ref="CQ31:CZ38" si="44">IF(AND($G31=99,$H31=99),CQ$22*$D31*(1+$L31)^(CQ$20)/((1+$I31)^(CQ$20)),IF(AND($H31=99,CQ$20&gt;=$G31,CQ$20&lt;=$D$20),$D31*(1+$L31)^(CQ$20)/((1+$I31)^(CQ$20)),IF(AND($G31=99,CQ$20&lt;=$H31,CQ$20&gt;=$D$18),$D31*(1+$L31)^(CQ$20)/((1+$I31)^(CQ$20)),IF(AND(CQ$20&lt;=$H31,CQ$20&gt;=$G31,$G31&lt;&gt;99,$H31&lt;&gt;99),$D31*(1+$L31)^(CQ$20)/((1+$I31)^(CQ$20)),0))))</f>
        <v>0</v>
      </c>
      <c r="CR31" s="151">
        <f t="shared" si="44"/>
        <v>0</v>
      </c>
      <c r="CS31" s="151">
        <f t="shared" si="44"/>
        <v>0</v>
      </c>
      <c r="CT31" s="151">
        <f t="shared" si="44"/>
        <v>0</v>
      </c>
      <c r="CU31" s="151">
        <f t="shared" si="44"/>
        <v>0</v>
      </c>
      <c r="CV31" s="151">
        <f t="shared" si="44"/>
        <v>0</v>
      </c>
      <c r="CW31" s="151">
        <f t="shared" si="44"/>
        <v>0</v>
      </c>
      <c r="CX31" s="151">
        <f t="shared" si="44"/>
        <v>0</v>
      </c>
      <c r="CY31" s="151">
        <f t="shared" si="44"/>
        <v>0</v>
      </c>
      <c r="CZ31" s="151">
        <f t="shared" si="44"/>
        <v>0</v>
      </c>
      <c r="DA31" s="151">
        <f t="shared" ref="DA31:DJ38" si="45">IF(AND($G31=99,$H31=99),DA$22*$D31*(1+$L31)^(DA$20)/((1+$I31)^(DA$20)),IF(AND($H31=99,DA$20&gt;=$G31,DA$20&lt;=$D$20),$D31*(1+$L31)^(DA$20)/((1+$I31)^(DA$20)),IF(AND($G31=99,DA$20&lt;=$H31,DA$20&gt;=$D$18),$D31*(1+$L31)^(DA$20)/((1+$I31)^(DA$20)),IF(AND(DA$20&lt;=$H31,DA$20&gt;=$G31,$G31&lt;&gt;99,$H31&lt;&gt;99),$D31*(1+$L31)^(DA$20)/((1+$I31)^(DA$20)),0))))</f>
        <v>0</v>
      </c>
      <c r="DB31" s="151">
        <f t="shared" si="45"/>
        <v>0</v>
      </c>
      <c r="DC31" s="151">
        <f t="shared" si="45"/>
        <v>0</v>
      </c>
      <c r="DD31" s="151">
        <f t="shared" si="45"/>
        <v>0</v>
      </c>
      <c r="DE31" s="151">
        <f t="shared" si="45"/>
        <v>0</v>
      </c>
      <c r="DF31" s="151">
        <f t="shared" si="45"/>
        <v>0</v>
      </c>
      <c r="DG31" s="151">
        <f t="shared" si="45"/>
        <v>0</v>
      </c>
      <c r="DH31" s="151">
        <f t="shared" si="45"/>
        <v>0</v>
      </c>
      <c r="DI31" s="151">
        <f t="shared" si="45"/>
        <v>0</v>
      </c>
      <c r="DJ31" s="151">
        <f t="shared" si="45"/>
        <v>0</v>
      </c>
      <c r="DK31" s="151">
        <f t="shared" ref="DK31:DX38" si="46">IF(AND($G31=99,$H31=99),DK$22*$D31*(1+$L31)^(DK$20)/((1+$I31)^(DK$20)),IF(AND($H31=99,DK$20&gt;=$G31,DK$20&lt;=$D$20),$D31*(1+$L31)^(DK$20)/((1+$I31)^(DK$20)),IF(AND($G31=99,DK$20&lt;=$H31,DK$20&gt;=$D$18),$D31*(1+$L31)^(DK$20)/((1+$I31)^(DK$20)),IF(AND(DK$20&lt;=$H31,DK$20&gt;=$G31,$G31&lt;&gt;99,$H31&lt;&gt;99),$D31*(1+$L31)^(DK$20)/((1+$I31)^(DK$20)),0))))</f>
        <v>0</v>
      </c>
      <c r="DL31" s="151">
        <f t="shared" si="46"/>
        <v>0</v>
      </c>
      <c r="DM31" s="151">
        <f t="shared" si="46"/>
        <v>0</v>
      </c>
      <c r="DN31" s="151">
        <f t="shared" si="46"/>
        <v>0</v>
      </c>
      <c r="DO31" s="151">
        <f t="shared" si="46"/>
        <v>0</v>
      </c>
      <c r="DP31" s="151">
        <f t="shared" si="46"/>
        <v>0</v>
      </c>
      <c r="DQ31" s="151">
        <f t="shared" si="46"/>
        <v>0</v>
      </c>
      <c r="DR31" s="151">
        <f t="shared" si="46"/>
        <v>0</v>
      </c>
      <c r="DS31" s="151">
        <f t="shared" si="46"/>
        <v>0</v>
      </c>
      <c r="DT31" s="151">
        <f t="shared" si="46"/>
        <v>0</v>
      </c>
      <c r="DU31" s="151">
        <f t="shared" si="46"/>
        <v>0</v>
      </c>
      <c r="DV31" s="151">
        <f t="shared" si="46"/>
        <v>0</v>
      </c>
      <c r="DW31" s="151">
        <f t="shared" si="46"/>
        <v>0</v>
      </c>
      <c r="DX31" s="151">
        <f t="shared" si="46"/>
        <v>0</v>
      </c>
      <c r="DZ31" s="158" t="str">
        <f t="shared" si="22"/>
        <v>Einsparung Arbeitskraft in €/Jahr</v>
      </c>
      <c r="EA31" s="151">
        <f t="shared" ref="EA31:EJ38" si="47">IF(AND($G31=99,$H31=99),EA$22*$F31*(1+$N31)^(EA$20)/((1+$K31)^(EA$20)),IF(AND($H31=99,EA$20&gt;=$G31,EA$20&lt;=$F$20),$F31*(1+$N31)^(EA$20)/((1+$K31)^(EA$20)),IF(AND($G31=99,EA$20&lt;=$H31,EA$20&gt;=$F$18),$F31*(1+$N31)^(EA$20)/((1+$K31)^(EA$20)),IF(AND(EA$20&lt;=$H31,EA$20&gt;=$G31,$G31&lt;&gt;99,$H31&lt;&gt;99),$F31*(1+$N31)^(EA$20)/((1+$K31)^(EA$20)),0))))</f>
        <v>0</v>
      </c>
      <c r="EB31" s="151">
        <f t="shared" si="47"/>
        <v>0</v>
      </c>
      <c r="EC31" s="151">
        <f t="shared" si="47"/>
        <v>0</v>
      </c>
      <c r="ED31" s="151">
        <f t="shared" si="47"/>
        <v>0</v>
      </c>
      <c r="EE31" s="151">
        <f t="shared" si="47"/>
        <v>0</v>
      </c>
      <c r="EF31" s="151">
        <f t="shared" si="47"/>
        <v>0</v>
      </c>
      <c r="EG31" s="151">
        <f t="shared" si="47"/>
        <v>0</v>
      </c>
      <c r="EH31" s="151">
        <f t="shared" si="47"/>
        <v>0</v>
      </c>
      <c r="EI31" s="151">
        <f t="shared" si="47"/>
        <v>0</v>
      </c>
      <c r="EJ31" s="151">
        <f t="shared" si="47"/>
        <v>0</v>
      </c>
      <c r="EK31" s="151">
        <f t="shared" ref="EK31:ET38" si="48">IF(AND($G31=99,$H31=99),EK$22*$F31*(1+$N31)^(EK$20)/((1+$K31)^(EK$20)),IF(AND($H31=99,EK$20&gt;=$G31,EK$20&lt;=$F$20),$F31*(1+$N31)^(EK$20)/((1+$K31)^(EK$20)),IF(AND($G31=99,EK$20&lt;=$H31,EK$20&gt;=$F$18),$F31*(1+$N31)^(EK$20)/((1+$K31)^(EK$20)),IF(AND(EK$20&lt;=$H31,EK$20&gt;=$G31,$G31&lt;&gt;99,$H31&lt;&gt;99),$F31*(1+$N31)^(EK$20)/((1+$K31)^(EK$20)),0))))</f>
        <v>0</v>
      </c>
      <c r="EL31" s="151">
        <f t="shared" si="48"/>
        <v>0</v>
      </c>
      <c r="EM31" s="151">
        <f t="shared" si="48"/>
        <v>0</v>
      </c>
      <c r="EN31" s="151">
        <f t="shared" si="48"/>
        <v>0</v>
      </c>
      <c r="EO31" s="151">
        <f t="shared" si="48"/>
        <v>0</v>
      </c>
      <c r="EP31" s="151">
        <f t="shared" si="48"/>
        <v>0</v>
      </c>
      <c r="EQ31" s="151">
        <f t="shared" si="48"/>
        <v>0</v>
      </c>
      <c r="ER31" s="151">
        <f t="shared" si="48"/>
        <v>0</v>
      </c>
      <c r="ES31" s="151">
        <f t="shared" si="48"/>
        <v>0</v>
      </c>
      <c r="ET31" s="151">
        <f t="shared" si="48"/>
        <v>0</v>
      </c>
      <c r="EU31" s="151">
        <f t="shared" ref="EU31:FD38" si="49">IF(AND($G31=99,$H31=99),EU$22*$F31*(1+$N31)^(EU$20)/((1+$K31)^(EU$20)),IF(AND($H31=99,EU$20&gt;=$G31,EU$20&lt;=$F$20),$F31*(1+$N31)^(EU$20)/((1+$K31)^(EU$20)),IF(AND($G31=99,EU$20&lt;=$H31,EU$20&gt;=$F$18),$F31*(1+$N31)^(EU$20)/((1+$K31)^(EU$20)),IF(AND(EU$20&lt;=$H31,EU$20&gt;=$G31,$G31&lt;&gt;99,$H31&lt;&gt;99),$F31*(1+$N31)^(EU$20)/((1+$K31)^(EU$20)),0))))</f>
        <v>0</v>
      </c>
      <c r="EV31" s="151">
        <f t="shared" si="49"/>
        <v>0</v>
      </c>
      <c r="EW31" s="151">
        <f t="shared" si="49"/>
        <v>0</v>
      </c>
      <c r="EX31" s="151">
        <f t="shared" si="49"/>
        <v>0</v>
      </c>
      <c r="EY31" s="151">
        <f t="shared" si="49"/>
        <v>0</v>
      </c>
      <c r="EZ31" s="151">
        <f t="shared" si="49"/>
        <v>0</v>
      </c>
      <c r="FA31" s="151">
        <f t="shared" si="49"/>
        <v>0</v>
      </c>
      <c r="FB31" s="151">
        <f t="shared" si="49"/>
        <v>0</v>
      </c>
      <c r="FC31" s="151">
        <f t="shared" si="49"/>
        <v>0</v>
      </c>
      <c r="FD31" s="151">
        <f t="shared" si="49"/>
        <v>0</v>
      </c>
      <c r="FE31" s="151">
        <f t="shared" ref="FE31:FN38" si="50">IF(AND($G31=99,$H31=99),FE$22*$F31*(1+$N31)^(FE$20)/((1+$K31)^(FE$20)),IF(AND($H31=99,FE$20&gt;=$G31,FE$20&lt;=$F$20),$F31*(1+$N31)^(FE$20)/((1+$K31)^(FE$20)),IF(AND($G31=99,FE$20&lt;=$H31,FE$20&gt;=$F$18),$F31*(1+$N31)^(FE$20)/((1+$K31)^(FE$20)),IF(AND(FE$20&lt;=$H31,FE$20&gt;=$G31,$G31&lt;&gt;99,$H31&lt;&gt;99),$F31*(1+$N31)^(FE$20)/((1+$K31)^(FE$20)),0))))</f>
        <v>0</v>
      </c>
      <c r="FF31" s="151">
        <f t="shared" si="50"/>
        <v>0</v>
      </c>
      <c r="FG31" s="151">
        <f t="shared" si="50"/>
        <v>0</v>
      </c>
      <c r="FH31" s="151">
        <f t="shared" si="50"/>
        <v>0</v>
      </c>
      <c r="FI31" s="151">
        <f t="shared" si="50"/>
        <v>0</v>
      </c>
      <c r="FJ31" s="151">
        <f t="shared" si="50"/>
        <v>0</v>
      </c>
      <c r="FK31" s="151">
        <f t="shared" si="50"/>
        <v>0</v>
      </c>
      <c r="FL31" s="151">
        <f t="shared" si="50"/>
        <v>0</v>
      </c>
      <c r="FM31" s="151">
        <f t="shared" si="50"/>
        <v>0</v>
      </c>
      <c r="FN31" s="151">
        <f t="shared" si="50"/>
        <v>0</v>
      </c>
      <c r="FO31" s="151">
        <f t="shared" ref="FO31:GB38" si="51">IF(AND($G31=99,$H31=99),FO$22*$F31*(1+$N31)^(FO$20)/((1+$K31)^(FO$20)),IF(AND($H31=99,FO$20&gt;=$G31,FO$20&lt;=$F$20),$F31*(1+$N31)^(FO$20)/((1+$K31)^(FO$20)),IF(AND($G31=99,FO$20&lt;=$H31,FO$20&gt;=$F$18),$F31*(1+$N31)^(FO$20)/((1+$K31)^(FO$20)),IF(AND(FO$20&lt;=$H31,FO$20&gt;=$G31,$G31&lt;&gt;99,$H31&lt;&gt;99),$F31*(1+$N31)^(FO$20)/((1+$K31)^(FO$20)),0))))</f>
        <v>0</v>
      </c>
      <c r="FP31" s="151">
        <f t="shared" si="51"/>
        <v>0</v>
      </c>
      <c r="FQ31" s="151">
        <f t="shared" si="51"/>
        <v>0</v>
      </c>
      <c r="FR31" s="151">
        <f t="shared" si="51"/>
        <v>0</v>
      </c>
      <c r="FS31" s="151">
        <f t="shared" si="51"/>
        <v>0</v>
      </c>
      <c r="FT31" s="151">
        <f t="shared" si="51"/>
        <v>0</v>
      </c>
      <c r="FU31" s="151">
        <f t="shared" si="51"/>
        <v>0</v>
      </c>
      <c r="FV31" s="151">
        <f t="shared" si="51"/>
        <v>0</v>
      </c>
      <c r="FW31" s="151">
        <f t="shared" si="51"/>
        <v>0</v>
      </c>
      <c r="FX31" s="151">
        <f t="shared" si="51"/>
        <v>0</v>
      </c>
      <c r="FY31" s="151">
        <f t="shared" si="51"/>
        <v>0</v>
      </c>
      <c r="FZ31" s="151">
        <f t="shared" si="51"/>
        <v>0</v>
      </c>
      <c r="GA31" s="151">
        <f t="shared" si="51"/>
        <v>0</v>
      </c>
      <c r="GB31" s="151">
        <f t="shared" si="51"/>
        <v>0</v>
      </c>
    </row>
    <row r="32" spans="1:184" ht="17.25" customHeight="1" x14ac:dyDescent="0.5">
      <c r="A32" s="88"/>
      <c r="B32" s="322"/>
      <c r="C32" s="101" t="s">
        <v>134</v>
      </c>
      <c r="D32" s="169"/>
      <c r="E32" s="169"/>
      <c r="F32" s="170"/>
      <c r="G32" s="177"/>
      <c r="H32" s="182"/>
      <c r="I32" s="154">
        <v>0</v>
      </c>
      <c r="J32" s="155">
        <v>0</v>
      </c>
      <c r="K32" s="156">
        <v>0</v>
      </c>
      <c r="L32" s="179">
        <f t="shared" si="13"/>
        <v>0.02</v>
      </c>
      <c r="M32" s="180">
        <f t="shared" si="14"/>
        <v>0.03</v>
      </c>
      <c r="N32" s="181">
        <f t="shared" si="15"/>
        <v>0.05</v>
      </c>
      <c r="R32" s="158" t="str">
        <f t="shared" si="16"/>
        <v>XX in €/Jahr</v>
      </c>
      <c r="S32" s="151">
        <f t="shared" si="37"/>
        <v>0</v>
      </c>
      <c r="T32" s="151">
        <f t="shared" si="37"/>
        <v>0</v>
      </c>
      <c r="U32" s="151">
        <f t="shared" si="37"/>
        <v>0</v>
      </c>
      <c r="V32" s="151">
        <f t="shared" si="37"/>
        <v>0</v>
      </c>
      <c r="W32" s="151">
        <f t="shared" si="37"/>
        <v>0</v>
      </c>
      <c r="X32" s="151">
        <f t="shared" si="37"/>
        <v>0</v>
      </c>
      <c r="Y32" s="151">
        <f t="shared" si="37"/>
        <v>0</v>
      </c>
      <c r="Z32" s="151">
        <f t="shared" si="37"/>
        <v>0</v>
      </c>
      <c r="AA32" s="151">
        <f t="shared" si="37"/>
        <v>0</v>
      </c>
      <c r="AB32" s="151">
        <f t="shared" si="37"/>
        <v>0</v>
      </c>
      <c r="AC32" s="151">
        <f t="shared" si="38"/>
        <v>0</v>
      </c>
      <c r="AD32" s="151">
        <f t="shared" si="38"/>
        <v>0</v>
      </c>
      <c r="AE32" s="151">
        <f t="shared" si="38"/>
        <v>0</v>
      </c>
      <c r="AF32" s="151">
        <f t="shared" si="38"/>
        <v>0</v>
      </c>
      <c r="AG32" s="151">
        <f t="shared" si="38"/>
        <v>0</v>
      </c>
      <c r="AH32" s="151">
        <f t="shared" si="38"/>
        <v>0</v>
      </c>
      <c r="AI32" s="151">
        <f t="shared" si="38"/>
        <v>0</v>
      </c>
      <c r="AJ32" s="151">
        <f t="shared" si="38"/>
        <v>0</v>
      </c>
      <c r="AK32" s="151">
        <f t="shared" si="38"/>
        <v>0</v>
      </c>
      <c r="AL32" s="151">
        <f t="shared" si="38"/>
        <v>0</v>
      </c>
      <c r="AM32" s="151">
        <f t="shared" si="39"/>
        <v>0</v>
      </c>
      <c r="AN32" s="151">
        <f t="shared" si="39"/>
        <v>0</v>
      </c>
      <c r="AO32" s="151">
        <f t="shared" si="39"/>
        <v>0</v>
      </c>
      <c r="AP32" s="151">
        <f t="shared" si="39"/>
        <v>0</v>
      </c>
      <c r="AQ32" s="151">
        <f t="shared" si="39"/>
        <v>0</v>
      </c>
      <c r="AR32" s="151">
        <f t="shared" si="39"/>
        <v>0</v>
      </c>
      <c r="AS32" s="151">
        <f t="shared" si="39"/>
        <v>0</v>
      </c>
      <c r="AT32" s="151">
        <f t="shared" si="39"/>
        <v>0</v>
      </c>
      <c r="AU32" s="151">
        <f t="shared" si="39"/>
        <v>0</v>
      </c>
      <c r="AV32" s="151">
        <f t="shared" si="39"/>
        <v>0</v>
      </c>
      <c r="AW32" s="151">
        <f t="shared" si="40"/>
        <v>0</v>
      </c>
      <c r="AX32" s="151">
        <f t="shared" si="40"/>
        <v>0</v>
      </c>
      <c r="AY32" s="151">
        <f t="shared" si="40"/>
        <v>0</v>
      </c>
      <c r="AZ32" s="151">
        <f t="shared" si="40"/>
        <v>0</v>
      </c>
      <c r="BA32" s="151">
        <f t="shared" si="40"/>
        <v>0</v>
      </c>
      <c r="BB32" s="151">
        <f t="shared" si="40"/>
        <v>0</v>
      </c>
      <c r="BC32" s="151">
        <f t="shared" si="40"/>
        <v>0</v>
      </c>
      <c r="BD32" s="151">
        <f t="shared" si="40"/>
        <v>0</v>
      </c>
      <c r="BE32" s="151">
        <f t="shared" si="40"/>
        <v>0</v>
      </c>
      <c r="BF32" s="151">
        <f t="shared" si="40"/>
        <v>0</v>
      </c>
      <c r="BG32" s="151">
        <f t="shared" si="41"/>
        <v>0</v>
      </c>
      <c r="BH32" s="151">
        <f t="shared" si="41"/>
        <v>0</v>
      </c>
      <c r="BI32" s="151">
        <f t="shared" si="41"/>
        <v>0</v>
      </c>
      <c r="BJ32" s="151">
        <f t="shared" si="41"/>
        <v>0</v>
      </c>
      <c r="BK32" s="151">
        <f t="shared" si="41"/>
        <v>0</v>
      </c>
      <c r="BL32" s="151">
        <f t="shared" si="41"/>
        <v>0</v>
      </c>
      <c r="BM32" s="151">
        <f t="shared" si="41"/>
        <v>0</v>
      </c>
      <c r="BN32" s="151">
        <f t="shared" si="41"/>
        <v>0</v>
      </c>
      <c r="BO32" s="151">
        <f t="shared" si="41"/>
        <v>0</v>
      </c>
      <c r="BP32" s="151">
        <f t="shared" si="41"/>
        <v>0</v>
      </c>
      <c r="BQ32" s="151">
        <f t="shared" si="41"/>
        <v>0</v>
      </c>
      <c r="BR32" s="151">
        <f t="shared" si="41"/>
        <v>0</v>
      </c>
      <c r="BS32" s="151">
        <f t="shared" si="41"/>
        <v>0</v>
      </c>
      <c r="BT32" s="151">
        <f t="shared" si="41"/>
        <v>0</v>
      </c>
      <c r="BV32" s="158" t="str">
        <f t="shared" si="19"/>
        <v>XX in €/Jahr</v>
      </c>
      <c r="BW32" s="151">
        <f t="shared" si="42"/>
        <v>0</v>
      </c>
      <c r="BX32" s="151">
        <f t="shared" si="42"/>
        <v>0</v>
      </c>
      <c r="BY32" s="151">
        <f t="shared" si="42"/>
        <v>0</v>
      </c>
      <c r="BZ32" s="151">
        <f t="shared" si="42"/>
        <v>0</v>
      </c>
      <c r="CA32" s="151">
        <f t="shared" si="42"/>
        <v>0</v>
      </c>
      <c r="CB32" s="151">
        <f t="shared" si="42"/>
        <v>0</v>
      </c>
      <c r="CC32" s="151">
        <f t="shared" si="42"/>
        <v>0</v>
      </c>
      <c r="CD32" s="151">
        <f t="shared" si="42"/>
        <v>0</v>
      </c>
      <c r="CE32" s="151">
        <f t="shared" si="42"/>
        <v>0</v>
      </c>
      <c r="CF32" s="151">
        <f t="shared" si="42"/>
        <v>0</v>
      </c>
      <c r="CG32" s="151">
        <f t="shared" si="43"/>
        <v>0</v>
      </c>
      <c r="CH32" s="151">
        <f t="shared" si="43"/>
        <v>0</v>
      </c>
      <c r="CI32" s="151">
        <f t="shared" si="43"/>
        <v>0</v>
      </c>
      <c r="CJ32" s="151">
        <f t="shared" si="43"/>
        <v>0</v>
      </c>
      <c r="CK32" s="151">
        <f t="shared" si="43"/>
        <v>0</v>
      </c>
      <c r="CL32" s="151">
        <f t="shared" si="43"/>
        <v>0</v>
      </c>
      <c r="CM32" s="151">
        <f t="shared" si="43"/>
        <v>0</v>
      </c>
      <c r="CN32" s="151">
        <f t="shared" si="43"/>
        <v>0</v>
      </c>
      <c r="CO32" s="151">
        <f t="shared" si="43"/>
        <v>0</v>
      </c>
      <c r="CP32" s="151">
        <f t="shared" si="43"/>
        <v>0</v>
      </c>
      <c r="CQ32" s="151">
        <f t="shared" si="44"/>
        <v>0</v>
      </c>
      <c r="CR32" s="151">
        <f t="shared" si="44"/>
        <v>0</v>
      </c>
      <c r="CS32" s="151">
        <f t="shared" si="44"/>
        <v>0</v>
      </c>
      <c r="CT32" s="151">
        <f t="shared" si="44"/>
        <v>0</v>
      </c>
      <c r="CU32" s="151">
        <f t="shared" si="44"/>
        <v>0</v>
      </c>
      <c r="CV32" s="151">
        <f t="shared" si="44"/>
        <v>0</v>
      </c>
      <c r="CW32" s="151">
        <f t="shared" si="44"/>
        <v>0</v>
      </c>
      <c r="CX32" s="151">
        <f t="shared" si="44"/>
        <v>0</v>
      </c>
      <c r="CY32" s="151">
        <f t="shared" si="44"/>
        <v>0</v>
      </c>
      <c r="CZ32" s="151">
        <f t="shared" si="44"/>
        <v>0</v>
      </c>
      <c r="DA32" s="151">
        <f t="shared" si="45"/>
        <v>0</v>
      </c>
      <c r="DB32" s="151">
        <f t="shared" si="45"/>
        <v>0</v>
      </c>
      <c r="DC32" s="151">
        <f t="shared" si="45"/>
        <v>0</v>
      </c>
      <c r="DD32" s="151">
        <f t="shared" si="45"/>
        <v>0</v>
      </c>
      <c r="DE32" s="151">
        <f t="shared" si="45"/>
        <v>0</v>
      </c>
      <c r="DF32" s="151">
        <f t="shared" si="45"/>
        <v>0</v>
      </c>
      <c r="DG32" s="151">
        <f t="shared" si="45"/>
        <v>0</v>
      </c>
      <c r="DH32" s="151">
        <f t="shared" si="45"/>
        <v>0</v>
      </c>
      <c r="DI32" s="151">
        <f t="shared" si="45"/>
        <v>0</v>
      </c>
      <c r="DJ32" s="151">
        <f t="shared" si="45"/>
        <v>0</v>
      </c>
      <c r="DK32" s="151">
        <f t="shared" si="46"/>
        <v>0</v>
      </c>
      <c r="DL32" s="151">
        <f t="shared" si="46"/>
        <v>0</v>
      </c>
      <c r="DM32" s="151">
        <f t="shared" si="46"/>
        <v>0</v>
      </c>
      <c r="DN32" s="151">
        <f t="shared" si="46"/>
        <v>0</v>
      </c>
      <c r="DO32" s="151">
        <f t="shared" si="46"/>
        <v>0</v>
      </c>
      <c r="DP32" s="151">
        <f t="shared" si="46"/>
        <v>0</v>
      </c>
      <c r="DQ32" s="151">
        <f t="shared" si="46"/>
        <v>0</v>
      </c>
      <c r="DR32" s="151">
        <f t="shared" si="46"/>
        <v>0</v>
      </c>
      <c r="DS32" s="151">
        <f t="shared" si="46"/>
        <v>0</v>
      </c>
      <c r="DT32" s="151">
        <f t="shared" si="46"/>
        <v>0</v>
      </c>
      <c r="DU32" s="151">
        <f t="shared" si="46"/>
        <v>0</v>
      </c>
      <c r="DV32" s="151">
        <f t="shared" si="46"/>
        <v>0</v>
      </c>
      <c r="DW32" s="151">
        <f t="shared" si="46"/>
        <v>0</v>
      </c>
      <c r="DX32" s="151">
        <f t="shared" si="46"/>
        <v>0</v>
      </c>
      <c r="DZ32" s="158" t="str">
        <f t="shared" si="22"/>
        <v>XX in €/Jahr</v>
      </c>
      <c r="EA32" s="151">
        <f t="shared" si="47"/>
        <v>0</v>
      </c>
      <c r="EB32" s="151">
        <f t="shared" si="47"/>
        <v>0</v>
      </c>
      <c r="EC32" s="151">
        <f t="shared" si="47"/>
        <v>0</v>
      </c>
      <c r="ED32" s="151">
        <f t="shared" si="47"/>
        <v>0</v>
      </c>
      <c r="EE32" s="151">
        <f t="shared" si="47"/>
        <v>0</v>
      </c>
      <c r="EF32" s="151">
        <f t="shared" si="47"/>
        <v>0</v>
      </c>
      <c r="EG32" s="151">
        <f t="shared" si="47"/>
        <v>0</v>
      </c>
      <c r="EH32" s="151">
        <f t="shared" si="47"/>
        <v>0</v>
      </c>
      <c r="EI32" s="151">
        <f t="shared" si="47"/>
        <v>0</v>
      </c>
      <c r="EJ32" s="151">
        <f t="shared" si="47"/>
        <v>0</v>
      </c>
      <c r="EK32" s="151">
        <f t="shared" si="48"/>
        <v>0</v>
      </c>
      <c r="EL32" s="151">
        <f t="shared" si="48"/>
        <v>0</v>
      </c>
      <c r="EM32" s="151">
        <f t="shared" si="48"/>
        <v>0</v>
      </c>
      <c r="EN32" s="151">
        <f t="shared" si="48"/>
        <v>0</v>
      </c>
      <c r="EO32" s="151">
        <f t="shared" si="48"/>
        <v>0</v>
      </c>
      <c r="EP32" s="151">
        <f t="shared" si="48"/>
        <v>0</v>
      </c>
      <c r="EQ32" s="151">
        <f t="shared" si="48"/>
        <v>0</v>
      </c>
      <c r="ER32" s="151">
        <f t="shared" si="48"/>
        <v>0</v>
      </c>
      <c r="ES32" s="151">
        <f t="shared" si="48"/>
        <v>0</v>
      </c>
      <c r="ET32" s="151">
        <f t="shared" si="48"/>
        <v>0</v>
      </c>
      <c r="EU32" s="151">
        <f t="shared" si="49"/>
        <v>0</v>
      </c>
      <c r="EV32" s="151">
        <f t="shared" si="49"/>
        <v>0</v>
      </c>
      <c r="EW32" s="151">
        <f t="shared" si="49"/>
        <v>0</v>
      </c>
      <c r="EX32" s="151">
        <f t="shared" si="49"/>
        <v>0</v>
      </c>
      <c r="EY32" s="151">
        <f t="shared" si="49"/>
        <v>0</v>
      </c>
      <c r="EZ32" s="151">
        <f t="shared" si="49"/>
        <v>0</v>
      </c>
      <c r="FA32" s="151">
        <f t="shared" si="49"/>
        <v>0</v>
      </c>
      <c r="FB32" s="151">
        <f t="shared" si="49"/>
        <v>0</v>
      </c>
      <c r="FC32" s="151">
        <f t="shared" si="49"/>
        <v>0</v>
      </c>
      <c r="FD32" s="151">
        <f t="shared" si="49"/>
        <v>0</v>
      </c>
      <c r="FE32" s="151">
        <f t="shared" si="50"/>
        <v>0</v>
      </c>
      <c r="FF32" s="151">
        <f t="shared" si="50"/>
        <v>0</v>
      </c>
      <c r="FG32" s="151">
        <f t="shared" si="50"/>
        <v>0</v>
      </c>
      <c r="FH32" s="151">
        <f t="shared" si="50"/>
        <v>0</v>
      </c>
      <c r="FI32" s="151">
        <f t="shared" si="50"/>
        <v>0</v>
      </c>
      <c r="FJ32" s="151">
        <f t="shared" si="50"/>
        <v>0</v>
      </c>
      <c r="FK32" s="151">
        <f t="shared" si="50"/>
        <v>0</v>
      </c>
      <c r="FL32" s="151">
        <f t="shared" si="50"/>
        <v>0</v>
      </c>
      <c r="FM32" s="151">
        <f t="shared" si="50"/>
        <v>0</v>
      </c>
      <c r="FN32" s="151">
        <f t="shared" si="50"/>
        <v>0</v>
      </c>
      <c r="FO32" s="151">
        <f t="shared" si="51"/>
        <v>0</v>
      </c>
      <c r="FP32" s="151">
        <f t="shared" si="51"/>
        <v>0</v>
      </c>
      <c r="FQ32" s="151">
        <f t="shared" si="51"/>
        <v>0</v>
      </c>
      <c r="FR32" s="151">
        <f t="shared" si="51"/>
        <v>0</v>
      </c>
      <c r="FS32" s="151">
        <f t="shared" si="51"/>
        <v>0</v>
      </c>
      <c r="FT32" s="151">
        <f t="shared" si="51"/>
        <v>0</v>
      </c>
      <c r="FU32" s="151">
        <f t="shared" si="51"/>
        <v>0</v>
      </c>
      <c r="FV32" s="151">
        <f t="shared" si="51"/>
        <v>0</v>
      </c>
      <c r="FW32" s="151">
        <f t="shared" si="51"/>
        <v>0</v>
      </c>
      <c r="FX32" s="151">
        <f t="shared" si="51"/>
        <v>0</v>
      </c>
      <c r="FY32" s="151">
        <f t="shared" si="51"/>
        <v>0</v>
      </c>
      <c r="FZ32" s="151">
        <f t="shared" si="51"/>
        <v>0</v>
      </c>
      <c r="GA32" s="151">
        <f t="shared" si="51"/>
        <v>0</v>
      </c>
      <c r="GB32" s="151">
        <f t="shared" si="51"/>
        <v>0</v>
      </c>
    </row>
    <row r="33" spans="1:184" ht="17.25" customHeight="1" x14ac:dyDescent="0.5">
      <c r="A33" s="88"/>
      <c r="B33" s="322"/>
      <c r="C33" s="101" t="s">
        <v>134</v>
      </c>
      <c r="D33" s="169"/>
      <c r="E33" s="169"/>
      <c r="F33" s="170"/>
      <c r="G33" s="177"/>
      <c r="H33" s="182"/>
      <c r="I33" s="154">
        <v>0</v>
      </c>
      <c r="J33" s="155">
        <v>0</v>
      </c>
      <c r="K33" s="156">
        <v>0</v>
      </c>
      <c r="L33" s="179">
        <f t="shared" si="13"/>
        <v>0.02</v>
      </c>
      <c r="M33" s="180">
        <f t="shared" si="14"/>
        <v>0.03</v>
      </c>
      <c r="N33" s="181">
        <f t="shared" si="15"/>
        <v>0.05</v>
      </c>
      <c r="R33" s="158" t="str">
        <f t="shared" si="16"/>
        <v>XX in €/Jahr</v>
      </c>
      <c r="S33" s="151">
        <f t="shared" si="37"/>
        <v>0</v>
      </c>
      <c r="T33" s="151">
        <f t="shared" si="37"/>
        <v>0</v>
      </c>
      <c r="U33" s="151">
        <f t="shared" si="37"/>
        <v>0</v>
      </c>
      <c r="V33" s="151">
        <f t="shared" si="37"/>
        <v>0</v>
      </c>
      <c r="W33" s="151">
        <f t="shared" si="37"/>
        <v>0</v>
      </c>
      <c r="X33" s="151">
        <f t="shared" si="37"/>
        <v>0</v>
      </c>
      <c r="Y33" s="151">
        <f t="shared" si="37"/>
        <v>0</v>
      </c>
      <c r="Z33" s="151">
        <f t="shared" si="37"/>
        <v>0</v>
      </c>
      <c r="AA33" s="151">
        <f t="shared" si="37"/>
        <v>0</v>
      </c>
      <c r="AB33" s="151">
        <f t="shared" si="37"/>
        <v>0</v>
      </c>
      <c r="AC33" s="151">
        <f t="shared" si="38"/>
        <v>0</v>
      </c>
      <c r="AD33" s="151">
        <f t="shared" si="38"/>
        <v>0</v>
      </c>
      <c r="AE33" s="151">
        <f t="shared" si="38"/>
        <v>0</v>
      </c>
      <c r="AF33" s="151">
        <f t="shared" si="38"/>
        <v>0</v>
      </c>
      <c r="AG33" s="151">
        <f t="shared" si="38"/>
        <v>0</v>
      </c>
      <c r="AH33" s="151">
        <f t="shared" si="38"/>
        <v>0</v>
      </c>
      <c r="AI33" s="151">
        <f t="shared" si="38"/>
        <v>0</v>
      </c>
      <c r="AJ33" s="151">
        <f t="shared" si="38"/>
        <v>0</v>
      </c>
      <c r="AK33" s="151">
        <f t="shared" si="38"/>
        <v>0</v>
      </c>
      <c r="AL33" s="151">
        <f t="shared" si="38"/>
        <v>0</v>
      </c>
      <c r="AM33" s="151">
        <f t="shared" si="39"/>
        <v>0</v>
      </c>
      <c r="AN33" s="151">
        <f t="shared" si="39"/>
        <v>0</v>
      </c>
      <c r="AO33" s="151">
        <f t="shared" si="39"/>
        <v>0</v>
      </c>
      <c r="AP33" s="151">
        <f t="shared" si="39"/>
        <v>0</v>
      </c>
      <c r="AQ33" s="151">
        <f t="shared" si="39"/>
        <v>0</v>
      </c>
      <c r="AR33" s="151">
        <f t="shared" si="39"/>
        <v>0</v>
      </c>
      <c r="AS33" s="151">
        <f t="shared" si="39"/>
        <v>0</v>
      </c>
      <c r="AT33" s="151">
        <f t="shared" si="39"/>
        <v>0</v>
      </c>
      <c r="AU33" s="151">
        <f t="shared" si="39"/>
        <v>0</v>
      </c>
      <c r="AV33" s="151">
        <f t="shared" si="39"/>
        <v>0</v>
      </c>
      <c r="AW33" s="151">
        <f t="shared" si="40"/>
        <v>0</v>
      </c>
      <c r="AX33" s="151">
        <f t="shared" si="40"/>
        <v>0</v>
      </c>
      <c r="AY33" s="151">
        <f t="shared" si="40"/>
        <v>0</v>
      </c>
      <c r="AZ33" s="151">
        <f t="shared" si="40"/>
        <v>0</v>
      </c>
      <c r="BA33" s="151">
        <f t="shared" si="40"/>
        <v>0</v>
      </c>
      <c r="BB33" s="151">
        <f t="shared" si="40"/>
        <v>0</v>
      </c>
      <c r="BC33" s="151">
        <f t="shared" si="40"/>
        <v>0</v>
      </c>
      <c r="BD33" s="151">
        <f t="shared" si="40"/>
        <v>0</v>
      </c>
      <c r="BE33" s="151">
        <f t="shared" si="40"/>
        <v>0</v>
      </c>
      <c r="BF33" s="151">
        <f t="shared" si="40"/>
        <v>0</v>
      </c>
      <c r="BG33" s="151">
        <f t="shared" si="41"/>
        <v>0</v>
      </c>
      <c r="BH33" s="151">
        <f t="shared" si="41"/>
        <v>0</v>
      </c>
      <c r="BI33" s="151">
        <f t="shared" si="41"/>
        <v>0</v>
      </c>
      <c r="BJ33" s="151">
        <f t="shared" si="41"/>
        <v>0</v>
      </c>
      <c r="BK33" s="151">
        <f t="shared" si="41"/>
        <v>0</v>
      </c>
      <c r="BL33" s="151">
        <f t="shared" si="41"/>
        <v>0</v>
      </c>
      <c r="BM33" s="151">
        <f t="shared" si="41"/>
        <v>0</v>
      </c>
      <c r="BN33" s="151">
        <f t="shared" si="41"/>
        <v>0</v>
      </c>
      <c r="BO33" s="151">
        <f t="shared" si="41"/>
        <v>0</v>
      </c>
      <c r="BP33" s="151">
        <f t="shared" si="41"/>
        <v>0</v>
      </c>
      <c r="BQ33" s="151">
        <f t="shared" si="41"/>
        <v>0</v>
      </c>
      <c r="BR33" s="151">
        <f t="shared" si="41"/>
        <v>0</v>
      </c>
      <c r="BS33" s="151">
        <f t="shared" si="41"/>
        <v>0</v>
      </c>
      <c r="BT33" s="151">
        <f t="shared" si="41"/>
        <v>0</v>
      </c>
      <c r="BV33" s="158" t="str">
        <f t="shared" si="19"/>
        <v>XX in €/Jahr</v>
      </c>
      <c r="BW33" s="151">
        <f t="shared" si="42"/>
        <v>0</v>
      </c>
      <c r="BX33" s="151">
        <f t="shared" si="42"/>
        <v>0</v>
      </c>
      <c r="BY33" s="151">
        <f t="shared" si="42"/>
        <v>0</v>
      </c>
      <c r="BZ33" s="151">
        <f t="shared" si="42"/>
        <v>0</v>
      </c>
      <c r="CA33" s="151">
        <f t="shared" si="42"/>
        <v>0</v>
      </c>
      <c r="CB33" s="151">
        <f t="shared" si="42"/>
        <v>0</v>
      </c>
      <c r="CC33" s="151">
        <f t="shared" si="42"/>
        <v>0</v>
      </c>
      <c r="CD33" s="151">
        <f t="shared" si="42"/>
        <v>0</v>
      </c>
      <c r="CE33" s="151">
        <f t="shared" si="42"/>
        <v>0</v>
      </c>
      <c r="CF33" s="151">
        <f t="shared" si="42"/>
        <v>0</v>
      </c>
      <c r="CG33" s="151">
        <f t="shared" si="43"/>
        <v>0</v>
      </c>
      <c r="CH33" s="151">
        <f t="shared" si="43"/>
        <v>0</v>
      </c>
      <c r="CI33" s="151">
        <f t="shared" si="43"/>
        <v>0</v>
      </c>
      <c r="CJ33" s="151">
        <f t="shared" si="43"/>
        <v>0</v>
      </c>
      <c r="CK33" s="151">
        <f t="shared" si="43"/>
        <v>0</v>
      </c>
      <c r="CL33" s="151">
        <f t="shared" si="43"/>
        <v>0</v>
      </c>
      <c r="CM33" s="151">
        <f t="shared" si="43"/>
        <v>0</v>
      </c>
      <c r="CN33" s="151">
        <f t="shared" si="43"/>
        <v>0</v>
      </c>
      <c r="CO33" s="151">
        <f t="shared" si="43"/>
        <v>0</v>
      </c>
      <c r="CP33" s="151">
        <f t="shared" si="43"/>
        <v>0</v>
      </c>
      <c r="CQ33" s="151">
        <f t="shared" si="44"/>
        <v>0</v>
      </c>
      <c r="CR33" s="151">
        <f t="shared" si="44"/>
        <v>0</v>
      </c>
      <c r="CS33" s="151">
        <f t="shared" si="44"/>
        <v>0</v>
      </c>
      <c r="CT33" s="151">
        <f t="shared" si="44"/>
        <v>0</v>
      </c>
      <c r="CU33" s="151">
        <f t="shared" si="44"/>
        <v>0</v>
      </c>
      <c r="CV33" s="151">
        <f t="shared" si="44"/>
        <v>0</v>
      </c>
      <c r="CW33" s="151">
        <f t="shared" si="44"/>
        <v>0</v>
      </c>
      <c r="CX33" s="151">
        <f t="shared" si="44"/>
        <v>0</v>
      </c>
      <c r="CY33" s="151">
        <f t="shared" si="44"/>
        <v>0</v>
      </c>
      <c r="CZ33" s="151">
        <f t="shared" si="44"/>
        <v>0</v>
      </c>
      <c r="DA33" s="151">
        <f t="shared" si="45"/>
        <v>0</v>
      </c>
      <c r="DB33" s="151">
        <f t="shared" si="45"/>
        <v>0</v>
      </c>
      <c r="DC33" s="151">
        <f t="shared" si="45"/>
        <v>0</v>
      </c>
      <c r="DD33" s="151">
        <f t="shared" si="45"/>
        <v>0</v>
      </c>
      <c r="DE33" s="151">
        <f t="shared" si="45"/>
        <v>0</v>
      </c>
      <c r="DF33" s="151">
        <f t="shared" si="45"/>
        <v>0</v>
      </c>
      <c r="DG33" s="151">
        <f t="shared" si="45"/>
        <v>0</v>
      </c>
      <c r="DH33" s="151">
        <f t="shared" si="45"/>
        <v>0</v>
      </c>
      <c r="DI33" s="151">
        <f t="shared" si="45"/>
        <v>0</v>
      </c>
      <c r="DJ33" s="151">
        <f t="shared" si="45"/>
        <v>0</v>
      </c>
      <c r="DK33" s="151">
        <f t="shared" si="46"/>
        <v>0</v>
      </c>
      <c r="DL33" s="151">
        <f t="shared" si="46"/>
        <v>0</v>
      </c>
      <c r="DM33" s="151">
        <f t="shared" si="46"/>
        <v>0</v>
      </c>
      <c r="DN33" s="151">
        <f t="shared" si="46"/>
        <v>0</v>
      </c>
      <c r="DO33" s="151">
        <f t="shared" si="46"/>
        <v>0</v>
      </c>
      <c r="DP33" s="151">
        <f t="shared" si="46"/>
        <v>0</v>
      </c>
      <c r="DQ33" s="151">
        <f t="shared" si="46"/>
        <v>0</v>
      </c>
      <c r="DR33" s="151">
        <f t="shared" si="46"/>
        <v>0</v>
      </c>
      <c r="DS33" s="151">
        <f t="shared" si="46"/>
        <v>0</v>
      </c>
      <c r="DT33" s="151">
        <f t="shared" si="46"/>
        <v>0</v>
      </c>
      <c r="DU33" s="151">
        <f t="shared" si="46"/>
        <v>0</v>
      </c>
      <c r="DV33" s="151">
        <f t="shared" si="46"/>
        <v>0</v>
      </c>
      <c r="DW33" s="151">
        <f t="shared" si="46"/>
        <v>0</v>
      </c>
      <c r="DX33" s="151">
        <f t="shared" si="46"/>
        <v>0</v>
      </c>
      <c r="DZ33" s="158" t="str">
        <f t="shared" si="22"/>
        <v>XX in €/Jahr</v>
      </c>
      <c r="EA33" s="151">
        <f t="shared" si="47"/>
        <v>0</v>
      </c>
      <c r="EB33" s="151">
        <f t="shared" si="47"/>
        <v>0</v>
      </c>
      <c r="EC33" s="151">
        <f t="shared" si="47"/>
        <v>0</v>
      </c>
      <c r="ED33" s="151">
        <f t="shared" si="47"/>
        <v>0</v>
      </c>
      <c r="EE33" s="151">
        <f t="shared" si="47"/>
        <v>0</v>
      </c>
      <c r="EF33" s="151">
        <f t="shared" si="47"/>
        <v>0</v>
      </c>
      <c r="EG33" s="151">
        <f t="shared" si="47"/>
        <v>0</v>
      </c>
      <c r="EH33" s="151">
        <f t="shared" si="47"/>
        <v>0</v>
      </c>
      <c r="EI33" s="151">
        <f t="shared" si="47"/>
        <v>0</v>
      </c>
      <c r="EJ33" s="151">
        <f t="shared" si="47"/>
        <v>0</v>
      </c>
      <c r="EK33" s="151">
        <f t="shared" si="48"/>
        <v>0</v>
      </c>
      <c r="EL33" s="151">
        <f t="shared" si="48"/>
        <v>0</v>
      </c>
      <c r="EM33" s="151">
        <f t="shared" si="48"/>
        <v>0</v>
      </c>
      <c r="EN33" s="151">
        <f t="shared" si="48"/>
        <v>0</v>
      </c>
      <c r="EO33" s="151">
        <f t="shared" si="48"/>
        <v>0</v>
      </c>
      <c r="EP33" s="151">
        <f t="shared" si="48"/>
        <v>0</v>
      </c>
      <c r="EQ33" s="151">
        <f t="shared" si="48"/>
        <v>0</v>
      </c>
      <c r="ER33" s="151">
        <f t="shared" si="48"/>
        <v>0</v>
      </c>
      <c r="ES33" s="151">
        <f t="shared" si="48"/>
        <v>0</v>
      </c>
      <c r="ET33" s="151">
        <f t="shared" si="48"/>
        <v>0</v>
      </c>
      <c r="EU33" s="151">
        <f t="shared" si="49"/>
        <v>0</v>
      </c>
      <c r="EV33" s="151">
        <f t="shared" si="49"/>
        <v>0</v>
      </c>
      <c r="EW33" s="151">
        <f t="shared" si="49"/>
        <v>0</v>
      </c>
      <c r="EX33" s="151">
        <f t="shared" si="49"/>
        <v>0</v>
      </c>
      <c r="EY33" s="151">
        <f t="shared" si="49"/>
        <v>0</v>
      </c>
      <c r="EZ33" s="151">
        <f t="shared" si="49"/>
        <v>0</v>
      </c>
      <c r="FA33" s="151">
        <f t="shared" si="49"/>
        <v>0</v>
      </c>
      <c r="FB33" s="151">
        <f t="shared" si="49"/>
        <v>0</v>
      </c>
      <c r="FC33" s="151">
        <f t="shared" si="49"/>
        <v>0</v>
      </c>
      <c r="FD33" s="151">
        <f t="shared" si="49"/>
        <v>0</v>
      </c>
      <c r="FE33" s="151">
        <f t="shared" si="50"/>
        <v>0</v>
      </c>
      <c r="FF33" s="151">
        <f t="shared" si="50"/>
        <v>0</v>
      </c>
      <c r="FG33" s="151">
        <f t="shared" si="50"/>
        <v>0</v>
      </c>
      <c r="FH33" s="151">
        <f t="shared" si="50"/>
        <v>0</v>
      </c>
      <c r="FI33" s="151">
        <f t="shared" si="50"/>
        <v>0</v>
      </c>
      <c r="FJ33" s="151">
        <f t="shared" si="50"/>
        <v>0</v>
      </c>
      <c r="FK33" s="151">
        <f t="shared" si="50"/>
        <v>0</v>
      </c>
      <c r="FL33" s="151">
        <f t="shared" si="50"/>
        <v>0</v>
      </c>
      <c r="FM33" s="151">
        <f t="shared" si="50"/>
        <v>0</v>
      </c>
      <c r="FN33" s="151">
        <f t="shared" si="50"/>
        <v>0</v>
      </c>
      <c r="FO33" s="151">
        <f t="shared" si="51"/>
        <v>0</v>
      </c>
      <c r="FP33" s="151">
        <f t="shared" si="51"/>
        <v>0</v>
      </c>
      <c r="FQ33" s="151">
        <f t="shared" si="51"/>
        <v>0</v>
      </c>
      <c r="FR33" s="151">
        <f t="shared" si="51"/>
        <v>0</v>
      </c>
      <c r="FS33" s="151">
        <f t="shared" si="51"/>
        <v>0</v>
      </c>
      <c r="FT33" s="151">
        <f t="shared" si="51"/>
        <v>0</v>
      </c>
      <c r="FU33" s="151">
        <f t="shared" si="51"/>
        <v>0</v>
      </c>
      <c r="FV33" s="151">
        <f t="shared" si="51"/>
        <v>0</v>
      </c>
      <c r="FW33" s="151">
        <f t="shared" si="51"/>
        <v>0</v>
      </c>
      <c r="FX33" s="151">
        <f t="shared" si="51"/>
        <v>0</v>
      </c>
      <c r="FY33" s="151">
        <f t="shared" si="51"/>
        <v>0</v>
      </c>
      <c r="FZ33" s="151">
        <f t="shared" si="51"/>
        <v>0</v>
      </c>
      <c r="GA33" s="151">
        <f t="shared" si="51"/>
        <v>0</v>
      </c>
      <c r="GB33" s="151">
        <f t="shared" si="51"/>
        <v>0</v>
      </c>
    </row>
    <row r="34" spans="1:184" ht="17.25" customHeight="1" x14ac:dyDescent="0.5">
      <c r="A34" s="88"/>
      <c r="B34" s="322"/>
      <c r="C34" s="101" t="s">
        <v>134</v>
      </c>
      <c r="D34" s="169"/>
      <c r="E34" s="169"/>
      <c r="F34" s="170"/>
      <c r="G34" s="177"/>
      <c r="H34" s="182"/>
      <c r="I34" s="154">
        <v>0</v>
      </c>
      <c r="J34" s="155">
        <v>0</v>
      </c>
      <c r="K34" s="156">
        <v>0</v>
      </c>
      <c r="L34" s="179">
        <f t="shared" si="13"/>
        <v>0.02</v>
      </c>
      <c r="M34" s="180">
        <f t="shared" si="14"/>
        <v>0.03</v>
      </c>
      <c r="N34" s="181">
        <f t="shared" si="15"/>
        <v>0.05</v>
      </c>
      <c r="R34" s="158" t="str">
        <f t="shared" si="16"/>
        <v>XX in €/Jahr</v>
      </c>
      <c r="S34" s="151">
        <f t="shared" si="37"/>
        <v>0</v>
      </c>
      <c r="T34" s="151">
        <f t="shared" si="37"/>
        <v>0</v>
      </c>
      <c r="U34" s="151">
        <f t="shared" si="37"/>
        <v>0</v>
      </c>
      <c r="V34" s="151">
        <f t="shared" si="37"/>
        <v>0</v>
      </c>
      <c r="W34" s="151">
        <f t="shared" si="37"/>
        <v>0</v>
      </c>
      <c r="X34" s="151">
        <f t="shared" si="37"/>
        <v>0</v>
      </c>
      <c r="Y34" s="151">
        <f t="shared" si="37"/>
        <v>0</v>
      </c>
      <c r="Z34" s="151">
        <f t="shared" si="37"/>
        <v>0</v>
      </c>
      <c r="AA34" s="151">
        <f t="shared" si="37"/>
        <v>0</v>
      </c>
      <c r="AB34" s="151">
        <f t="shared" si="37"/>
        <v>0</v>
      </c>
      <c r="AC34" s="151">
        <f t="shared" si="38"/>
        <v>0</v>
      </c>
      <c r="AD34" s="151">
        <f t="shared" si="38"/>
        <v>0</v>
      </c>
      <c r="AE34" s="151">
        <f t="shared" si="38"/>
        <v>0</v>
      </c>
      <c r="AF34" s="151">
        <f t="shared" si="38"/>
        <v>0</v>
      </c>
      <c r="AG34" s="151">
        <f t="shared" si="38"/>
        <v>0</v>
      </c>
      <c r="AH34" s="151">
        <f t="shared" si="38"/>
        <v>0</v>
      </c>
      <c r="AI34" s="151">
        <f t="shared" si="38"/>
        <v>0</v>
      </c>
      <c r="AJ34" s="151">
        <f t="shared" si="38"/>
        <v>0</v>
      </c>
      <c r="AK34" s="151">
        <f t="shared" si="38"/>
        <v>0</v>
      </c>
      <c r="AL34" s="151">
        <f t="shared" si="38"/>
        <v>0</v>
      </c>
      <c r="AM34" s="151">
        <f t="shared" si="39"/>
        <v>0</v>
      </c>
      <c r="AN34" s="151">
        <f t="shared" si="39"/>
        <v>0</v>
      </c>
      <c r="AO34" s="151">
        <f t="shared" si="39"/>
        <v>0</v>
      </c>
      <c r="AP34" s="151">
        <f t="shared" si="39"/>
        <v>0</v>
      </c>
      <c r="AQ34" s="151">
        <f t="shared" si="39"/>
        <v>0</v>
      </c>
      <c r="AR34" s="151">
        <f t="shared" si="39"/>
        <v>0</v>
      </c>
      <c r="AS34" s="151">
        <f t="shared" si="39"/>
        <v>0</v>
      </c>
      <c r="AT34" s="151">
        <f t="shared" si="39"/>
        <v>0</v>
      </c>
      <c r="AU34" s="151">
        <f t="shared" si="39"/>
        <v>0</v>
      </c>
      <c r="AV34" s="151">
        <f t="shared" si="39"/>
        <v>0</v>
      </c>
      <c r="AW34" s="151">
        <f t="shared" si="40"/>
        <v>0</v>
      </c>
      <c r="AX34" s="151">
        <f t="shared" si="40"/>
        <v>0</v>
      </c>
      <c r="AY34" s="151">
        <f t="shared" si="40"/>
        <v>0</v>
      </c>
      <c r="AZ34" s="151">
        <f t="shared" si="40"/>
        <v>0</v>
      </c>
      <c r="BA34" s="151">
        <f t="shared" si="40"/>
        <v>0</v>
      </c>
      <c r="BB34" s="151">
        <f t="shared" si="40"/>
        <v>0</v>
      </c>
      <c r="BC34" s="151">
        <f t="shared" si="40"/>
        <v>0</v>
      </c>
      <c r="BD34" s="151">
        <f t="shared" si="40"/>
        <v>0</v>
      </c>
      <c r="BE34" s="151">
        <f t="shared" si="40"/>
        <v>0</v>
      </c>
      <c r="BF34" s="151">
        <f t="shared" si="40"/>
        <v>0</v>
      </c>
      <c r="BG34" s="151">
        <f t="shared" si="41"/>
        <v>0</v>
      </c>
      <c r="BH34" s="151">
        <f t="shared" si="41"/>
        <v>0</v>
      </c>
      <c r="BI34" s="151">
        <f t="shared" si="41"/>
        <v>0</v>
      </c>
      <c r="BJ34" s="151">
        <f t="shared" si="41"/>
        <v>0</v>
      </c>
      <c r="BK34" s="151">
        <f t="shared" si="41"/>
        <v>0</v>
      </c>
      <c r="BL34" s="151">
        <f t="shared" si="41"/>
        <v>0</v>
      </c>
      <c r="BM34" s="151">
        <f t="shared" si="41"/>
        <v>0</v>
      </c>
      <c r="BN34" s="151">
        <f t="shared" si="41"/>
        <v>0</v>
      </c>
      <c r="BO34" s="151">
        <f t="shared" si="41"/>
        <v>0</v>
      </c>
      <c r="BP34" s="151">
        <f t="shared" si="41"/>
        <v>0</v>
      </c>
      <c r="BQ34" s="151">
        <f t="shared" si="41"/>
        <v>0</v>
      </c>
      <c r="BR34" s="151">
        <f t="shared" si="41"/>
        <v>0</v>
      </c>
      <c r="BS34" s="151">
        <f t="shared" si="41"/>
        <v>0</v>
      </c>
      <c r="BT34" s="151">
        <f t="shared" si="41"/>
        <v>0</v>
      </c>
      <c r="BV34" s="158" t="str">
        <f t="shared" si="19"/>
        <v>XX in €/Jahr</v>
      </c>
      <c r="BW34" s="151">
        <f t="shared" si="42"/>
        <v>0</v>
      </c>
      <c r="BX34" s="151">
        <f t="shared" si="42"/>
        <v>0</v>
      </c>
      <c r="BY34" s="151">
        <f t="shared" si="42"/>
        <v>0</v>
      </c>
      <c r="BZ34" s="151">
        <f t="shared" si="42"/>
        <v>0</v>
      </c>
      <c r="CA34" s="151">
        <f t="shared" si="42"/>
        <v>0</v>
      </c>
      <c r="CB34" s="151">
        <f t="shared" si="42"/>
        <v>0</v>
      </c>
      <c r="CC34" s="151">
        <f t="shared" si="42"/>
        <v>0</v>
      </c>
      <c r="CD34" s="151">
        <f t="shared" si="42"/>
        <v>0</v>
      </c>
      <c r="CE34" s="151">
        <f t="shared" si="42"/>
        <v>0</v>
      </c>
      <c r="CF34" s="151">
        <f t="shared" si="42"/>
        <v>0</v>
      </c>
      <c r="CG34" s="151">
        <f t="shared" si="43"/>
        <v>0</v>
      </c>
      <c r="CH34" s="151">
        <f t="shared" si="43"/>
        <v>0</v>
      </c>
      <c r="CI34" s="151">
        <f t="shared" si="43"/>
        <v>0</v>
      </c>
      <c r="CJ34" s="151">
        <f t="shared" si="43"/>
        <v>0</v>
      </c>
      <c r="CK34" s="151">
        <f t="shared" si="43"/>
        <v>0</v>
      </c>
      <c r="CL34" s="151">
        <f t="shared" si="43"/>
        <v>0</v>
      </c>
      <c r="CM34" s="151">
        <f t="shared" si="43"/>
        <v>0</v>
      </c>
      <c r="CN34" s="151">
        <f t="shared" si="43"/>
        <v>0</v>
      </c>
      <c r="CO34" s="151">
        <f t="shared" si="43"/>
        <v>0</v>
      </c>
      <c r="CP34" s="151">
        <f t="shared" si="43"/>
        <v>0</v>
      </c>
      <c r="CQ34" s="151">
        <f t="shared" si="44"/>
        <v>0</v>
      </c>
      <c r="CR34" s="151">
        <f t="shared" si="44"/>
        <v>0</v>
      </c>
      <c r="CS34" s="151">
        <f t="shared" si="44"/>
        <v>0</v>
      </c>
      <c r="CT34" s="151">
        <f t="shared" si="44"/>
        <v>0</v>
      </c>
      <c r="CU34" s="151">
        <f t="shared" si="44"/>
        <v>0</v>
      </c>
      <c r="CV34" s="151">
        <f t="shared" si="44"/>
        <v>0</v>
      </c>
      <c r="CW34" s="151">
        <f t="shared" si="44"/>
        <v>0</v>
      </c>
      <c r="CX34" s="151">
        <f t="shared" si="44"/>
        <v>0</v>
      </c>
      <c r="CY34" s="151">
        <f t="shared" si="44"/>
        <v>0</v>
      </c>
      <c r="CZ34" s="151">
        <f t="shared" si="44"/>
        <v>0</v>
      </c>
      <c r="DA34" s="151">
        <f t="shared" si="45"/>
        <v>0</v>
      </c>
      <c r="DB34" s="151">
        <f t="shared" si="45"/>
        <v>0</v>
      </c>
      <c r="DC34" s="151">
        <f t="shared" si="45"/>
        <v>0</v>
      </c>
      <c r="DD34" s="151">
        <f t="shared" si="45"/>
        <v>0</v>
      </c>
      <c r="DE34" s="151">
        <f t="shared" si="45"/>
        <v>0</v>
      </c>
      <c r="DF34" s="151">
        <f t="shared" si="45"/>
        <v>0</v>
      </c>
      <c r="DG34" s="151">
        <f t="shared" si="45"/>
        <v>0</v>
      </c>
      <c r="DH34" s="151">
        <f t="shared" si="45"/>
        <v>0</v>
      </c>
      <c r="DI34" s="151">
        <f t="shared" si="45"/>
        <v>0</v>
      </c>
      <c r="DJ34" s="151">
        <f t="shared" si="45"/>
        <v>0</v>
      </c>
      <c r="DK34" s="151">
        <f t="shared" si="46"/>
        <v>0</v>
      </c>
      <c r="DL34" s="151">
        <f t="shared" si="46"/>
        <v>0</v>
      </c>
      <c r="DM34" s="151">
        <f t="shared" si="46"/>
        <v>0</v>
      </c>
      <c r="DN34" s="151">
        <f t="shared" si="46"/>
        <v>0</v>
      </c>
      <c r="DO34" s="151">
        <f t="shared" si="46"/>
        <v>0</v>
      </c>
      <c r="DP34" s="151">
        <f t="shared" si="46"/>
        <v>0</v>
      </c>
      <c r="DQ34" s="151">
        <f t="shared" si="46"/>
        <v>0</v>
      </c>
      <c r="DR34" s="151">
        <f t="shared" si="46"/>
        <v>0</v>
      </c>
      <c r="DS34" s="151">
        <f t="shared" si="46"/>
        <v>0</v>
      </c>
      <c r="DT34" s="151">
        <f t="shared" si="46"/>
        <v>0</v>
      </c>
      <c r="DU34" s="151">
        <f t="shared" si="46"/>
        <v>0</v>
      </c>
      <c r="DV34" s="151">
        <f t="shared" si="46"/>
        <v>0</v>
      </c>
      <c r="DW34" s="151">
        <f t="shared" si="46"/>
        <v>0</v>
      </c>
      <c r="DX34" s="151">
        <f t="shared" si="46"/>
        <v>0</v>
      </c>
      <c r="DZ34" s="158" t="str">
        <f t="shared" si="22"/>
        <v>XX in €/Jahr</v>
      </c>
      <c r="EA34" s="151">
        <f t="shared" si="47"/>
        <v>0</v>
      </c>
      <c r="EB34" s="151">
        <f t="shared" si="47"/>
        <v>0</v>
      </c>
      <c r="EC34" s="151">
        <f t="shared" si="47"/>
        <v>0</v>
      </c>
      <c r="ED34" s="151">
        <f t="shared" si="47"/>
        <v>0</v>
      </c>
      <c r="EE34" s="151">
        <f t="shared" si="47"/>
        <v>0</v>
      </c>
      <c r="EF34" s="151">
        <f t="shared" si="47"/>
        <v>0</v>
      </c>
      <c r="EG34" s="151">
        <f t="shared" si="47"/>
        <v>0</v>
      </c>
      <c r="EH34" s="151">
        <f t="shared" si="47"/>
        <v>0</v>
      </c>
      <c r="EI34" s="151">
        <f t="shared" si="47"/>
        <v>0</v>
      </c>
      <c r="EJ34" s="151">
        <f t="shared" si="47"/>
        <v>0</v>
      </c>
      <c r="EK34" s="151">
        <f t="shared" si="48"/>
        <v>0</v>
      </c>
      <c r="EL34" s="151">
        <f t="shared" si="48"/>
        <v>0</v>
      </c>
      <c r="EM34" s="151">
        <f t="shared" si="48"/>
        <v>0</v>
      </c>
      <c r="EN34" s="151">
        <f t="shared" si="48"/>
        <v>0</v>
      </c>
      <c r="EO34" s="151">
        <f t="shared" si="48"/>
        <v>0</v>
      </c>
      <c r="EP34" s="151">
        <f t="shared" si="48"/>
        <v>0</v>
      </c>
      <c r="EQ34" s="151">
        <f t="shared" si="48"/>
        <v>0</v>
      </c>
      <c r="ER34" s="151">
        <f t="shared" si="48"/>
        <v>0</v>
      </c>
      <c r="ES34" s="151">
        <f t="shared" si="48"/>
        <v>0</v>
      </c>
      <c r="ET34" s="151">
        <f t="shared" si="48"/>
        <v>0</v>
      </c>
      <c r="EU34" s="151">
        <f t="shared" si="49"/>
        <v>0</v>
      </c>
      <c r="EV34" s="151">
        <f t="shared" si="49"/>
        <v>0</v>
      </c>
      <c r="EW34" s="151">
        <f t="shared" si="49"/>
        <v>0</v>
      </c>
      <c r="EX34" s="151">
        <f t="shared" si="49"/>
        <v>0</v>
      </c>
      <c r="EY34" s="151">
        <f t="shared" si="49"/>
        <v>0</v>
      </c>
      <c r="EZ34" s="151">
        <f t="shared" si="49"/>
        <v>0</v>
      </c>
      <c r="FA34" s="151">
        <f t="shared" si="49"/>
        <v>0</v>
      </c>
      <c r="FB34" s="151">
        <f t="shared" si="49"/>
        <v>0</v>
      </c>
      <c r="FC34" s="151">
        <f t="shared" si="49"/>
        <v>0</v>
      </c>
      <c r="FD34" s="151">
        <f t="shared" si="49"/>
        <v>0</v>
      </c>
      <c r="FE34" s="151">
        <f t="shared" si="50"/>
        <v>0</v>
      </c>
      <c r="FF34" s="151">
        <f t="shared" si="50"/>
        <v>0</v>
      </c>
      <c r="FG34" s="151">
        <f t="shared" si="50"/>
        <v>0</v>
      </c>
      <c r="FH34" s="151">
        <f t="shared" si="50"/>
        <v>0</v>
      </c>
      <c r="FI34" s="151">
        <f t="shared" si="50"/>
        <v>0</v>
      </c>
      <c r="FJ34" s="151">
        <f t="shared" si="50"/>
        <v>0</v>
      </c>
      <c r="FK34" s="151">
        <f t="shared" si="50"/>
        <v>0</v>
      </c>
      <c r="FL34" s="151">
        <f t="shared" si="50"/>
        <v>0</v>
      </c>
      <c r="FM34" s="151">
        <f t="shared" si="50"/>
        <v>0</v>
      </c>
      <c r="FN34" s="151">
        <f t="shared" si="50"/>
        <v>0</v>
      </c>
      <c r="FO34" s="151">
        <f t="shared" si="51"/>
        <v>0</v>
      </c>
      <c r="FP34" s="151">
        <f t="shared" si="51"/>
        <v>0</v>
      </c>
      <c r="FQ34" s="151">
        <f t="shared" si="51"/>
        <v>0</v>
      </c>
      <c r="FR34" s="151">
        <f t="shared" si="51"/>
        <v>0</v>
      </c>
      <c r="FS34" s="151">
        <f t="shared" si="51"/>
        <v>0</v>
      </c>
      <c r="FT34" s="151">
        <f t="shared" si="51"/>
        <v>0</v>
      </c>
      <c r="FU34" s="151">
        <f t="shared" si="51"/>
        <v>0</v>
      </c>
      <c r="FV34" s="151">
        <f t="shared" si="51"/>
        <v>0</v>
      </c>
      <c r="FW34" s="151">
        <f t="shared" si="51"/>
        <v>0</v>
      </c>
      <c r="FX34" s="151">
        <f t="shared" si="51"/>
        <v>0</v>
      </c>
      <c r="FY34" s="151">
        <f t="shared" si="51"/>
        <v>0</v>
      </c>
      <c r="FZ34" s="151">
        <f t="shared" si="51"/>
        <v>0</v>
      </c>
      <c r="GA34" s="151">
        <f t="shared" si="51"/>
        <v>0</v>
      </c>
      <c r="GB34" s="151">
        <f t="shared" si="51"/>
        <v>0</v>
      </c>
    </row>
    <row r="35" spans="1:184" ht="17.25" customHeight="1" x14ac:dyDescent="0.5">
      <c r="A35" s="88"/>
      <c r="B35" s="322"/>
      <c r="C35" s="101" t="s">
        <v>134</v>
      </c>
      <c r="D35" s="169"/>
      <c r="E35" s="169"/>
      <c r="F35" s="170"/>
      <c r="G35" s="177"/>
      <c r="H35" s="182"/>
      <c r="I35" s="154">
        <v>0</v>
      </c>
      <c r="J35" s="155">
        <v>0</v>
      </c>
      <c r="K35" s="156">
        <v>0</v>
      </c>
      <c r="L35" s="179">
        <f t="shared" si="13"/>
        <v>0.02</v>
      </c>
      <c r="M35" s="180">
        <f t="shared" si="14"/>
        <v>0.03</v>
      </c>
      <c r="N35" s="181">
        <f t="shared" si="15"/>
        <v>0.05</v>
      </c>
      <c r="R35" s="158" t="str">
        <f t="shared" si="16"/>
        <v>XX in €/Jahr</v>
      </c>
      <c r="S35" s="151">
        <f t="shared" si="37"/>
        <v>0</v>
      </c>
      <c r="T35" s="151">
        <f t="shared" si="37"/>
        <v>0</v>
      </c>
      <c r="U35" s="151">
        <f t="shared" si="37"/>
        <v>0</v>
      </c>
      <c r="V35" s="151">
        <f t="shared" si="37"/>
        <v>0</v>
      </c>
      <c r="W35" s="151">
        <f t="shared" si="37"/>
        <v>0</v>
      </c>
      <c r="X35" s="151">
        <f t="shared" si="37"/>
        <v>0</v>
      </c>
      <c r="Y35" s="151">
        <f t="shared" si="37"/>
        <v>0</v>
      </c>
      <c r="Z35" s="151">
        <f t="shared" si="37"/>
        <v>0</v>
      </c>
      <c r="AA35" s="151">
        <f t="shared" si="37"/>
        <v>0</v>
      </c>
      <c r="AB35" s="151">
        <f t="shared" si="37"/>
        <v>0</v>
      </c>
      <c r="AC35" s="151">
        <f t="shared" si="38"/>
        <v>0</v>
      </c>
      <c r="AD35" s="151">
        <f t="shared" si="38"/>
        <v>0</v>
      </c>
      <c r="AE35" s="151">
        <f t="shared" si="38"/>
        <v>0</v>
      </c>
      <c r="AF35" s="151">
        <f t="shared" si="38"/>
        <v>0</v>
      </c>
      <c r="AG35" s="151">
        <f t="shared" si="38"/>
        <v>0</v>
      </c>
      <c r="AH35" s="151">
        <f t="shared" si="38"/>
        <v>0</v>
      </c>
      <c r="AI35" s="151">
        <f t="shared" si="38"/>
        <v>0</v>
      </c>
      <c r="AJ35" s="151">
        <f t="shared" si="38"/>
        <v>0</v>
      </c>
      <c r="AK35" s="151">
        <f t="shared" si="38"/>
        <v>0</v>
      </c>
      <c r="AL35" s="151">
        <f t="shared" si="38"/>
        <v>0</v>
      </c>
      <c r="AM35" s="151">
        <f t="shared" si="39"/>
        <v>0</v>
      </c>
      <c r="AN35" s="151">
        <f t="shared" si="39"/>
        <v>0</v>
      </c>
      <c r="AO35" s="151">
        <f t="shared" si="39"/>
        <v>0</v>
      </c>
      <c r="AP35" s="151">
        <f t="shared" si="39"/>
        <v>0</v>
      </c>
      <c r="AQ35" s="151">
        <f t="shared" si="39"/>
        <v>0</v>
      </c>
      <c r="AR35" s="151">
        <f t="shared" si="39"/>
        <v>0</v>
      </c>
      <c r="AS35" s="151">
        <f t="shared" si="39"/>
        <v>0</v>
      </c>
      <c r="AT35" s="151">
        <f t="shared" si="39"/>
        <v>0</v>
      </c>
      <c r="AU35" s="151">
        <f t="shared" si="39"/>
        <v>0</v>
      </c>
      <c r="AV35" s="151">
        <f t="shared" si="39"/>
        <v>0</v>
      </c>
      <c r="AW35" s="151">
        <f t="shared" si="40"/>
        <v>0</v>
      </c>
      <c r="AX35" s="151">
        <f t="shared" si="40"/>
        <v>0</v>
      </c>
      <c r="AY35" s="151">
        <f t="shared" si="40"/>
        <v>0</v>
      </c>
      <c r="AZ35" s="151">
        <f t="shared" si="40"/>
        <v>0</v>
      </c>
      <c r="BA35" s="151">
        <f t="shared" si="40"/>
        <v>0</v>
      </c>
      <c r="BB35" s="151">
        <f t="shared" si="40"/>
        <v>0</v>
      </c>
      <c r="BC35" s="151">
        <f t="shared" si="40"/>
        <v>0</v>
      </c>
      <c r="BD35" s="151">
        <f t="shared" si="40"/>
        <v>0</v>
      </c>
      <c r="BE35" s="151">
        <f t="shared" si="40"/>
        <v>0</v>
      </c>
      <c r="BF35" s="151">
        <f t="shared" si="40"/>
        <v>0</v>
      </c>
      <c r="BG35" s="151">
        <f t="shared" si="41"/>
        <v>0</v>
      </c>
      <c r="BH35" s="151">
        <f t="shared" si="41"/>
        <v>0</v>
      </c>
      <c r="BI35" s="151">
        <f t="shared" si="41"/>
        <v>0</v>
      </c>
      <c r="BJ35" s="151">
        <f t="shared" si="41"/>
        <v>0</v>
      </c>
      <c r="BK35" s="151">
        <f t="shared" si="41"/>
        <v>0</v>
      </c>
      <c r="BL35" s="151">
        <f t="shared" si="41"/>
        <v>0</v>
      </c>
      <c r="BM35" s="151">
        <f t="shared" si="41"/>
        <v>0</v>
      </c>
      <c r="BN35" s="151">
        <f t="shared" si="41"/>
        <v>0</v>
      </c>
      <c r="BO35" s="151">
        <f t="shared" si="41"/>
        <v>0</v>
      </c>
      <c r="BP35" s="151">
        <f t="shared" si="41"/>
        <v>0</v>
      </c>
      <c r="BQ35" s="151">
        <f t="shared" si="41"/>
        <v>0</v>
      </c>
      <c r="BR35" s="151">
        <f t="shared" si="41"/>
        <v>0</v>
      </c>
      <c r="BS35" s="151">
        <f t="shared" si="41"/>
        <v>0</v>
      </c>
      <c r="BT35" s="151">
        <f t="shared" si="41"/>
        <v>0</v>
      </c>
      <c r="BV35" s="158" t="str">
        <f t="shared" si="19"/>
        <v>XX in €/Jahr</v>
      </c>
      <c r="BW35" s="151">
        <f t="shared" si="42"/>
        <v>0</v>
      </c>
      <c r="BX35" s="151">
        <f t="shared" si="42"/>
        <v>0</v>
      </c>
      <c r="BY35" s="151">
        <f t="shared" si="42"/>
        <v>0</v>
      </c>
      <c r="BZ35" s="151">
        <f t="shared" si="42"/>
        <v>0</v>
      </c>
      <c r="CA35" s="151">
        <f t="shared" si="42"/>
        <v>0</v>
      </c>
      <c r="CB35" s="151">
        <f t="shared" si="42"/>
        <v>0</v>
      </c>
      <c r="CC35" s="151">
        <f t="shared" si="42"/>
        <v>0</v>
      </c>
      <c r="CD35" s="151">
        <f t="shared" si="42"/>
        <v>0</v>
      </c>
      <c r="CE35" s="151">
        <f t="shared" si="42"/>
        <v>0</v>
      </c>
      <c r="CF35" s="151">
        <f t="shared" si="42"/>
        <v>0</v>
      </c>
      <c r="CG35" s="151">
        <f t="shared" si="43"/>
        <v>0</v>
      </c>
      <c r="CH35" s="151">
        <f t="shared" si="43"/>
        <v>0</v>
      </c>
      <c r="CI35" s="151">
        <f t="shared" si="43"/>
        <v>0</v>
      </c>
      <c r="CJ35" s="151">
        <f t="shared" si="43"/>
        <v>0</v>
      </c>
      <c r="CK35" s="151">
        <f t="shared" si="43"/>
        <v>0</v>
      </c>
      <c r="CL35" s="151">
        <f t="shared" si="43"/>
        <v>0</v>
      </c>
      <c r="CM35" s="151">
        <f t="shared" si="43"/>
        <v>0</v>
      </c>
      <c r="CN35" s="151">
        <f t="shared" si="43"/>
        <v>0</v>
      </c>
      <c r="CO35" s="151">
        <f t="shared" si="43"/>
        <v>0</v>
      </c>
      <c r="CP35" s="151">
        <f t="shared" si="43"/>
        <v>0</v>
      </c>
      <c r="CQ35" s="151">
        <f t="shared" si="44"/>
        <v>0</v>
      </c>
      <c r="CR35" s="151">
        <f t="shared" si="44"/>
        <v>0</v>
      </c>
      <c r="CS35" s="151">
        <f t="shared" si="44"/>
        <v>0</v>
      </c>
      <c r="CT35" s="151">
        <f t="shared" si="44"/>
        <v>0</v>
      </c>
      <c r="CU35" s="151">
        <f t="shared" si="44"/>
        <v>0</v>
      </c>
      <c r="CV35" s="151">
        <f t="shared" si="44"/>
        <v>0</v>
      </c>
      <c r="CW35" s="151">
        <f t="shared" si="44"/>
        <v>0</v>
      </c>
      <c r="CX35" s="151">
        <f t="shared" si="44"/>
        <v>0</v>
      </c>
      <c r="CY35" s="151">
        <f t="shared" si="44"/>
        <v>0</v>
      </c>
      <c r="CZ35" s="151">
        <f t="shared" si="44"/>
        <v>0</v>
      </c>
      <c r="DA35" s="151">
        <f t="shared" si="45"/>
        <v>0</v>
      </c>
      <c r="DB35" s="151">
        <f t="shared" si="45"/>
        <v>0</v>
      </c>
      <c r="DC35" s="151">
        <f t="shared" si="45"/>
        <v>0</v>
      </c>
      <c r="DD35" s="151">
        <f t="shared" si="45"/>
        <v>0</v>
      </c>
      <c r="DE35" s="151">
        <f t="shared" si="45"/>
        <v>0</v>
      </c>
      <c r="DF35" s="151">
        <f t="shared" si="45"/>
        <v>0</v>
      </c>
      <c r="DG35" s="151">
        <f t="shared" si="45"/>
        <v>0</v>
      </c>
      <c r="DH35" s="151">
        <f t="shared" si="45"/>
        <v>0</v>
      </c>
      <c r="DI35" s="151">
        <f t="shared" si="45"/>
        <v>0</v>
      </c>
      <c r="DJ35" s="151">
        <f t="shared" si="45"/>
        <v>0</v>
      </c>
      <c r="DK35" s="151">
        <f t="shared" si="46"/>
        <v>0</v>
      </c>
      <c r="DL35" s="151">
        <f t="shared" si="46"/>
        <v>0</v>
      </c>
      <c r="DM35" s="151">
        <f t="shared" si="46"/>
        <v>0</v>
      </c>
      <c r="DN35" s="151">
        <f t="shared" si="46"/>
        <v>0</v>
      </c>
      <c r="DO35" s="151">
        <f t="shared" si="46"/>
        <v>0</v>
      </c>
      <c r="DP35" s="151">
        <f t="shared" si="46"/>
        <v>0</v>
      </c>
      <c r="DQ35" s="151">
        <f t="shared" si="46"/>
        <v>0</v>
      </c>
      <c r="DR35" s="151">
        <f t="shared" si="46"/>
        <v>0</v>
      </c>
      <c r="DS35" s="151">
        <f t="shared" si="46"/>
        <v>0</v>
      </c>
      <c r="DT35" s="151">
        <f t="shared" si="46"/>
        <v>0</v>
      </c>
      <c r="DU35" s="151">
        <f t="shared" si="46"/>
        <v>0</v>
      </c>
      <c r="DV35" s="151">
        <f t="shared" si="46"/>
        <v>0</v>
      </c>
      <c r="DW35" s="151">
        <f t="shared" si="46"/>
        <v>0</v>
      </c>
      <c r="DX35" s="151">
        <f t="shared" si="46"/>
        <v>0</v>
      </c>
      <c r="DZ35" s="158" t="str">
        <f t="shared" si="22"/>
        <v>XX in €/Jahr</v>
      </c>
      <c r="EA35" s="151">
        <f t="shared" si="47"/>
        <v>0</v>
      </c>
      <c r="EB35" s="151">
        <f t="shared" si="47"/>
        <v>0</v>
      </c>
      <c r="EC35" s="151">
        <f t="shared" si="47"/>
        <v>0</v>
      </c>
      <c r="ED35" s="151">
        <f t="shared" si="47"/>
        <v>0</v>
      </c>
      <c r="EE35" s="151">
        <f t="shared" si="47"/>
        <v>0</v>
      </c>
      <c r="EF35" s="151">
        <f t="shared" si="47"/>
        <v>0</v>
      </c>
      <c r="EG35" s="151">
        <f t="shared" si="47"/>
        <v>0</v>
      </c>
      <c r="EH35" s="151">
        <f t="shared" si="47"/>
        <v>0</v>
      </c>
      <c r="EI35" s="151">
        <f t="shared" si="47"/>
        <v>0</v>
      </c>
      <c r="EJ35" s="151">
        <f t="shared" si="47"/>
        <v>0</v>
      </c>
      <c r="EK35" s="151">
        <f t="shared" si="48"/>
        <v>0</v>
      </c>
      <c r="EL35" s="151">
        <f t="shared" si="48"/>
        <v>0</v>
      </c>
      <c r="EM35" s="151">
        <f t="shared" si="48"/>
        <v>0</v>
      </c>
      <c r="EN35" s="151">
        <f t="shared" si="48"/>
        <v>0</v>
      </c>
      <c r="EO35" s="151">
        <f t="shared" si="48"/>
        <v>0</v>
      </c>
      <c r="EP35" s="151">
        <f t="shared" si="48"/>
        <v>0</v>
      </c>
      <c r="EQ35" s="151">
        <f t="shared" si="48"/>
        <v>0</v>
      </c>
      <c r="ER35" s="151">
        <f t="shared" si="48"/>
        <v>0</v>
      </c>
      <c r="ES35" s="151">
        <f t="shared" si="48"/>
        <v>0</v>
      </c>
      <c r="ET35" s="151">
        <f t="shared" si="48"/>
        <v>0</v>
      </c>
      <c r="EU35" s="151">
        <f t="shared" si="49"/>
        <v>0</v>
      </c>
      <c r="EV35" s="151">
        <f t="shared" si="49"/>
        <v>0</v>
      </c>
      <c r="EW35" s="151">
        <f t="shared" si="49"/>
        <v>0</v>
      </c>
      <c r="EX35" s="151">
        <f t="shared" si="49"/>
        <v>0</v>
      </c>
      <c r="EY35" s="151">
        <f t="shared" si="49"/>
        <v>0</v>
      </c>
      <c r="EZ35" s="151">
        <f t="shared" si="49"/>
        <v>0</v>
      </c>
      <c r="FA35" s="151">
        <f t="shared" si="49"/>
        <v>0</v>
      </c>
      <c r="FB35" s="151">
        <f t="shared" si="49"/>
        <v>0</v>
      </c>
      <c r="FC35" s="151">
        <f t="shared" si="49"/>
        <v>0</v>
      </c>
      <c r="FD35" s="151">
        <f t="shared" si="49"/>
        <v>0</v>
      </c>
      <c r="FE35" s="151">
        <f t="shared" si="50"/>
        <v>0</v>
      </c>
      <c r="FF35" s="151">
        <f t="shared" si="50"/>
        <v>0</v>
      </c>
      <c r="FG35" s="151">
        <f t="shared" si="50"/>
        <v>0</v>
      </c>
      <c r="FH35" s="151">
        <f t="shared" si="50"/>
        <v>0</v>
      </c>
      <c r="FI35" s="151">
        <f t="shared" si="50"/>
        <v>0</v>
      </c>
      <c r="FJ35" s="151">
        <f t="shared" si="50"/>
        <v>0</v>
      </c>
      <c r="FK35" s="151">
        <f t="shared" si="50"/>
        <v>0</v>
      </c>
      <c r="FL35" s="151">
        <f t="shared" si="50"/>
        <v>0</v>
      </c>
      <c r="FM35" s="151">
        <f t="shared" si="50"/>
        <v>0</v>
      </c>
      <c r="FN35" s="151">
        <f t="shared" si="50"/>
        <v>0</v>
      </c>
      <c r="FO35" s="151">
        <f t="shared" si="51"/>
        <v>0</v>
      </c>
      <c r="FP35" s="151">
        <f t="shared" si="51"/>
        <v>0</v>
      </c>
      <c r="FQ35" s="151">
        <f t="shared" si="51"/>
        <v>0</v>
      </c>
      <c r="FR35" s="151">
        <f t="shared" si="51"/>
        <v>0</v>
      </c>
      <c r="FS35" s="151">
        <f t="shared" si="51"/>
        <v>0</v>
      </c>
      <c r="FT35" s="151">
        <f t="shared" si="51"/>
        <v>0</v>
      </c>
      <c r="FU35" s="151">
        <f t="shared" si="51"/>
        <v>0</v>
      </c>
      <c r="FV35" s="151">
        <f t="shared" si="51"/>
        <v>0</v>
      </c>
      <c r="FW35" s="151">
        <f t="shared" si="51"/>
        <v>0</v>
      </c>
      <c r="FX35" s="151">
        <f t="shared" si="51"/>
        <v>0</v>
      </c>
      <c r="FY35" s="151">
        <f t="shared" si="51"/>
        <v>0</v>
      </c>
      <c r="FZ35" s="151">
        <f t="shared" si="51"/>
        <v>0</v>
      </c>
      <c r="GA35" s="151">
        <f t="shared" si="51"/>
        <v>0</v>
      </c>
      <c r="GB35" s="151">
        <f t="shared" si="51"/>
        <v>0</v>
      </c>
    </row>
    <row r="36" spans="1:184" ht="17.25" customHeight="1" x14ac:dyDescent="0.5">
      <c r="A36" s="88"/>
      <c r="B36" s="322"/>
      <c r="C36" s="101" t="s">
        <v>134</v>
      </c>
      <c r="D36" s="169"/>
      <c r="E36" s="169"/>
      <c r="F36" s="170"/>
      <c r="G36" s="177"/>
      <c r="H36" s="182"/>
      <c r="I36" s="154">
        <v>0</v>
      </c>
      <c r="J36" s="155">
        <v>0</v>
      </c>
      <c r="K36" s="156">
        <v>0</v>
      </c>
      <c r="L36" s="179">
        <f t="shared" si="13"/>
        <v>0.02</v>
      </c>
      <c r="M36" s="180">
        <f t="shared" si="14"/>
        <v>0.03</v>
      </c>
      <c r="N36" s="181">
        <f t="shared" si="15"/>
        <v>0.05</v>
      </c>
      <c r="R36" s="158" t="str">
        <f t="shared" si="16"/>
        <v>XX in €/Jahr</v>
      </c>
      <c r="S36" s="151">
        <f t="shared" si="37"/>
        <v>0</v>
      </c>
      <c r="T36" s="151">
        <f t="shared" si="37"/>
        <v>0</v>
      </c>
      <c r="U36" s="151">
        <f t="shared" si="37"/>
        <v>0</v>
      </c>
      <c r="V36" s="151">
        <f t="shared" si="37"/>
        <v>0</v>
      </c>
      <c r="W36" s="151">
        <f t="shared" si="37"/>
        <v>0</v>
      </c>
      <c r="X36" s="151">
        <f t="shared" si="37"/>
        <v>0</v>
      </c>
      <c r="Y36" s="151">
        <f t="shared" si="37"/>
        <v>0</v>
      </c>
      <c r="Z36" s="151">
        <f t="shared" si="37"/>
        <v>0</v>
      </c>
      <c r="AA36" s="151">
        <f t="shared" si="37"/>
        <v>0</v>
      </c>
      <c r="AB36" s="151">
        <f t="shared" si="37"/>
        <v>0</v>
      </c>
      <c r="AC36" s="151">
        <f t="shared" si="38"/>
        <v>0</v>
      </c>
      <c r="AD36" s="151">
        <f t="shared" si="38"/>
        <v>0</v>
      </c>
      <c r="AE36" s="151">
        <f t="shared" si="38"/>
        <v>0</v>
      </c>
      <c r="AF36" s="151">
        <f t="shared" si="38"/>
        <v>0</v>
      </c>
      <c r="AG36" s="151">
        <f t="shared" si="38"/>
        <v>0</v>
      </c>
      <c r="AH36" s="151">
        <f t="shared" si="38"/>
        <v>0</v>
      </c>
      <c r="AI36" s="151">
        <f t="shared" si="38"/>
        <v>0</v>
      </c>
      <c r="AJ36" s="151">
        <f t="shared" si="38"/>
        <v>0</v>
      </c>
      <c r="AK36" s="151">
        <f t="shared" si="38"/>
        <v>0</v>
      </c>
      <c r="AL36" s="151">
        <f t="shared" si="38"/>
        <v>0</v>
      </c>
      <c r="AM36" s="151">
        <f t="shared" si="39"/>
        <v>0</v>
      </c>
      <c r="AN36" s="151">
        <f t="shared" si="39"/>
        <v>0</v>
      </c>
      <c r="AO36" s="151">
        <f t="shared" si="39"/>
        <v>0</v>
      </c>
      <c r="AP36" s="151">
        <f t="shared" si="39"/>
        <v>0</v>
      </c>
      <c r="AQ36" s="151">
        <f t="shared" si="39"/>
        <v>0</v>
      </c>
      <c r="AR36" s="151">
        <f t="shared" si="39"/>
        <v>0</v>
      </c>
      <c r="AS36" s="151">
        <f t="shared" si="39"/>
        <v>0</v>
      </c>
      <c r="AT36" s="151">
        <f t="shared" si="39"/>
        <v>0</v>
      </c>
      <c r="AU36" s="151">
        <f t="shared" si="39"/>
        <v>0</v>
      </c>
      <c r="AV36" s="151">
        <f t="shared" si="39"/>
        <v>0</v>
      </c>
      <c r="AW36" s="151">
        <f t="shared" si="40"/>
        <v>0</v>
      </c>
      <c r="AX36" s="151">
        <f t="shared" si="40"/>
        <v>0</v>
      </c>
      <c r="AY36" s="151">
        <f t="shared" si="40"/>
        <v>0</v>
      </c>
      <c r="AZ36" s="151">
        <f t="shared" si="40"/>
        <v>0</v>
      </c>
      <c r="BA36" s="151">
        <f t="shared" si="40"/>
        <v>0</v>
      </c>
      <c r="BB36" s="151">
        <f t="shared" si="40"/>
        <v>0</v>
      </c>
      <c r="BC36" s="151">
        <f t="shared" si="40"/>
        <v>0</v>
      </c>
      <c r="BD36" s="151">
        <f t="shared" si="40"/>
        <v>0</v>
      </c>
      <c r="BE36" s="151">
        <f t="shared" si="40"/>
        <v>0</v>
      </c>
      <c r="BF36" s="151">
        <f t="shared" si="40"/>
        <v>0</v>
      </c>
      <c r="BG36" s="151">
        <f t="shared" si="41"/>
        <v>0</v>
      </c>
      <c r="BH36" s="151">
        <f t="shared" si="41"/>
        <v>0</v>
      </c>
      <c r="BI36" s="151">
        <f t="shared" si="41"/>
        <v>0</v>
      </c>
      <c r="BJ36" s="151">
        <f t="shared" si="41"/>
        <v>0</v>
      </c>
      <c r="BK36" s="151">
        <f t="shared" si="41"/>
        <v>0</v>
      </c>
      <c r="BL36" s="151">
        <f t="shared" si="41"/>
        <v>0</v>
      </c>
      <c r="BM36" s="151">
        <f t="shared" si="41"/>
        <v>0</v>
      </c>
      <c r="BN36" s="151">
        <f t="shared" si="41"/>
        <v>0</v>
      </c>
      <c r="BO36" s="151">
        <f t="shared" si="41"/>
        <v>0</v>
      </c>
      <c r="BP36" s="151">
        <f t="shared" si="41"/>
        <v>0</v>
      </c>
      <c r="BQ36" s="151">
        <f t="shared" si="41"/>
        <v>0</v>
      </c>
      <c r="BR36" s="151">
        <f t="shared" si="41"/>
        <v>0</v>
      </c>
      <c r="BS36" s="151">
        <f t="shared" si="41"/>
        <v>0</v>
      </c>
      <c r="BT36" s="151">
        <f t="shared" si="41"/>
        <v>0</v>
      </c>
      <c r="BV36" s="158" t="str">
        <f t="shared" si="19"/>
        <v>XX in €/Jahr</v>
      </c>
      <c r="BW36" s="151">
        <f t="shared" si="42"/>
        <v>0</v>
      </c>
      <c r="BX36" s="151">
        <f t="shared" si="42"/>
        <v>0</v>
      </c>
      <c r="BY36" s="151">
        <f t="shared" si="42"/>
        <v>0</v>
      </c>
      <c r="BZ36" s="151">
        <f t="shared" si="42"/>
        <v>0</v>
      </c>
      <c r="CA36" s="151">
        <f t="shared" si="42"/>
        <v>0</v>
      </c>
      <c r="CB36" s="151">
        <f t="shared" si="42"/>
        <v>0</v>
      </c>
      <c r="CC36" s="151">
        <f t="shared" si="42"/>
        <v>0</v>
      </c>
      <c r="CD36" s="151">
        <f t="shared" si="42"/>
        <v>0</v>
      </c>
      <c r="CE36" s="151">
        <f t="shared" si="42"/>
        <v>0</v>
      </c>
      <c r="CF36" s="151">
        <f t="shared" si="42"/>
        <v>0</v>
      </c>
      <c r="CG36" s="151">
        <f t="shared" si="43"/>
        <v>0</v>
      </c>
      <c r="CH36" s="151">
        <f t="shared" si="43"/>
        <v>0</v>
      </c>
      <c r="CI36" s="151">
        <f t="shared" si="43"/>
        <v>0</v>
      </c>
      <c r="CJ36" s="151">
        <f t="shared" si="43"/>
        <v>0</v>
      </c>
      <c r="CK36" s="151">
        <f t="shared" si="43"/>
        <v>0</v>
      </c>
      <c r="CL36" s="151">
        <f t="shared" si="43"/>
        <v>0</v>
      </c>
      <c r="CM36" s="151">
        <f t="shared" si="43"/>
        <v>0</v>
      </c>
      <c r="CN36" s="151">
        <f t="shared" si="43"/>
        <v>0</v>
      </c>
      <c r="CO36" s="151">
        <f t="shared" si="43"/>
        <v>0</v>
      </c>
      <c r="CP36" s="151">
        <f t="shared" si="43"/>
        <v>0</v>
      </c>
      <c r="CQ36" s="151">
        <f t="shared" si="44"/>
        <v>0</v>
      </c>
      <c r="CR36" s="151">
        <f t="shared" si="44"/>
        <v>0</v>
      </c>
      <c r="CS36" s="151">
        <f t="shared" si="44"/>
        <v>0</v>
      </c>
      <c r="CT36" s="151">
        <f t="shared" si="44"/>
        <v>0</v>
      </c>
      <c r="CU36" s="151">
        <f t="shared" si="44"/>
        <v>0</v>
      </c>
      <c r="CV36" s="151">
        <f t="shared" si="44"/>
        <v>0</v>
      </c>
      <c r="CW36" s="151">
        <f t="shared" si="44"/>
        <v>0</v>
      </c>
      <c r="CX36" s="151">
        <f t="shared" si="44"/>
        <v>0</v>
      </c>
      <c r="CY36" s="151">
        <f t="shared" si="44"/>
        <v>0</v>
      </c>
      <c r="CZ36" s="151">
        <f t="shared" si="44"/>
        <v>0</v>
      </c>
      <c r="DA36" s="151">
        <f t="shared" si="45"/>
        <v>0</v>
      </c>
      <c r="DB36" s="151">
        <f t="shared" si="45"/>
        <v>0</v>
      </c>
      <c r="DC36" s="151">
        <f t="shared" si="45"/>
        <v>0</v>
      </c>
      <c r="DD36" s="151">
        <f t="shared" si="45"/>
        <v>0</v>
      </c>
      <c r="DE36" s="151">
        <f t="shared" si="45"/>
        <v>0</v>
      </c>
      <c r="DF36" s="151">
        <f t="shared" si="45"/>
        <v>0</v>
      </c>
      <c r="DG36" s="151">
        <f t="shared" si="45"/>
        <v>0</v>
      </c>
      <c r="DH36" s="151">
        <f t="shared" si="45"/>
        <v>0</v>
      </c>
      <c r="DI36" s="151">
        <f t="shared" si="45"/>
        <v>0</v>
      </c>
      <c r="DJ36" s="151">
        <f t="shared" si="45"/>
        <v>0</v>
      </c>
      <c r="DK36" s="151">
        <f t="shared" si="46"/>
        <v>0</v>
      </c>
      <c r="DL36" s="151">
        <f t="shared" si="46"/>
        <v>0</v>
      </c>
      <c r="DM36" s="151">
        <f t="shared" si="46"/>
        <v>0</v>
      </c>
      <c r="DN36" s="151">
        <f t="shared" si="46"/>
        <v>0</v>
      </c>
      <c r="DO36" s="151">
        <f t="shared" si="46"/>
        <v>0</v>
      </c>
      <c r="DP36" s="151">
        <f t="shared" si="46"/>
        <v>0</v>
      </c>
      <c r="DQ36" s="151">
        <f t="shared" si="46"/>
        <v>0</v>
      </c>
      <c r="DR36" s="151">
        <f t="shared" si="46"/>
        <v>0</v>
      </c>
      <c r="DS36" s="151">
        <f t="shared" si="46"/>
        <v>0</v>
      </c>
      <c r="DT36" s="151">
        <f t="shared" si="46"/>
        <v>0</v>
      </c>
      <c r="DU36" s="151">
        <f t="shared" si="46"/>
        <v>0</v>
      </c>
      <c r="DV36" s="151">
        <f t="shared" si="46"/>
        <v>0</v>
      </c>
      <c r="DW36" s="151">
        <f t="shared" si="46"/>
        <v>0</v>
      </c>
      <c r="DX36" s="151">
        <f t="shared" si="46"/>
        <v>0</v>
      </c>
      <c r="DZ36" s="158" t="str">
        <f t="shared" si="22"/>
        <v>XX in €/Jahr</v>
      </c>
      <c r="EA36" s="151">
        <f t="shared" si="47"/>
        <v>0</v>
      </c>
      <c r="EB36" s="151">
        <f t="shared" si="47"/>
        <v>0</v>
      </c>
      <c r="EC36" s="151">
        <f t="shared" si="47"/>
        <v>0</v>
      </c>
      <c r="ED36" s="151">
        <f t="shared" si="47"/>
        <v>0</v>
      </c>
      <c r="EE36" s="151">
        <f t="shared" si="47"/>
        <v>0</v>
      </c>
      <c r="EF36" s="151">
        <f t="shared" si="47"/>
        <v>0</v>
      </c>
      <c r="EG36" s="151">
        <f t="shared" si="47"/>
        <v>0</v>
      </c>
      <c r="EH36" s="151">
        <f t="shared" si="47"/>
        <v>0</v>
      </c>
      <c r="EI36" s="151">
        <f t="shared" si="47"/>
        <v>0</v>
      </c>
      <c r="EJ36" s="151">
        <f t="shared" si="47"/>
        <v>0</v>
      </c>
      <c r="EK36" s="151">
        <f t="shared" si="48"/>
        <v>0</v>
      </c>
      <c r="EL36" s="151">
        <f t="shared" si="48"/>
        <v>0</v>
      </c>
      <c r="EM36" s="151">
        <f t="shared" si="48"/>
        <v>0</v>
      </c>
      <c r="EN36" s="151">
        <f t="shared" si="48"/>
        <v>0</v>
      </c>
      <c r="EO36" s="151">
        <f t="shared" si="48"/>
        <v>0</v>
      </c>
      <c r="EP36" s="151">
        <f t="shared" si="48"/>
        <v>0</v>
      </c>
      <c r="EQ36" s="151">
        <f t="shared" si="48"/>
        <v>0</v>
      </c>
      <c r="ER36" s="151">
        <f t="shared" si="48"/>
        <v>0</v>
      </c>
      <c r="ES36" s="151">
        <f t="shared" si="48"/>
        <v>0</v>
      </c>
      <c r="ET36" s="151">
        <f t="shared" si="48"/>
        <v>0</v>
      </c>
      <c r="EU36" s="151">
        <f t="shared" si="49"/>
        <v>0</v>
      </c>
      <c r="EV36" s="151">
        <f t="shared" si="49"/>
        <v>0</v>
      </c>
      <c r="EW36" s="151">
        <f t="shared" si="49"/>
        <v>0</v>
      </c>
      <c r="EX36" s="151">
        <f t="shared" si="49"/>
        <v>0</v>
      </c>
      <c r="EY36" s="151">
        <f t="shared" si="49"/>
        <v>0</v>
      </c>
      <c r="EZ36" s="151">
        <f t="shared" si="49"/>
        <v>0</v>
      </c>
      <c r="FA36" s="151">
        <f t="shared" si="49"/>
        <v>0</v>
      </c>
      <c r="FB36" s="151">
        <f t="shared" si="49"/>
        <v>0</v>
      </c>
      <c r="FC36" s="151">
        <f t="shared" si="49"/>
        <v>0</v>
      </c>
      <c r="FD36" s="151">
        <f t="shared" si="49"/>
        <v>0</v>
      </c>
      <c r="FE36" s="151">
        <f t="shared" si="50"/>
        <v>0</v>
      </c>
      <c r="FF36" s="151">
        <f t="shared" si="50"/>
        <v>0</v>
      </c>
      <c r="FG36" s="151">
        <f t="shared" si="50"/>
        <v>0</v>
      </c>
      <c r="FH36" s="151">
        <f t="shared" si="50"/>
        <v>0</v>
      </c>
      <c r="FI36" s="151">
        <f t="shared" si="50"/>
        <v>0</v>
      </c>
      <c r="FJ36" s="151">
        <f t="shared" si="50"/>
        <v>0</v>
      </c>
      <c r="FK36" s="151">
        <f t="shared" si="50"/>
        <v>0</v>
      </c>
      <c r="FL36" s="151">
        <f t="shared" si="50"/>
        <v>0</v>
      </c>
      <c r="FM36" s="151">
        <f t="shared" si="50"/>
        <v>0</v>
      </c>
      <c r="FN36" s="151">
        <f t="shared" si="50"/>
        <v>0</v>
      </c>
      <c r="FO36" s="151">
        <f t="shared" si="51"/>
        <v>0</v>
      </c>
      <c r="FP36" s="151">
        <f t="shared" si="51"/>
        <v>0</v>
      </c>
      <c r="FQ36" s="151">
        <f t="shared" si="51"/>
        <v>0</v>
      </c>
      <c r="FR36" s="151">
        <f t="shared" si="51"/>
        <v>0</v>
      </c>
      <c r="FS36" s="151">
        <f t="shared" si="51"/>
        <v>0</v>
      </c>
      <c r="FT36" s="151">
        <f t="shared" si="51"/>
        <v>0</v>
      </c>
      <c r="FU36" s="151">
        <f t="shared" si="51"/>
        <v>0</v>
      </c>
      <c r="FV36" s="151">
        <f t="shared" si="51"/>
        <v>0</v>
      </c>
      <c r="FW36" s="151">
        <f t="shared" si="51"/>
        <v>0</v>
      </c>
      <c r="FX36" s="151">
        <f t="shared" si="51"/>
        <v>0</v>
      </c>
      <c r="FY36" s="151">
        <f t="shared" si="51"/>
        <v>0</v>
      </c>
      <c r="FZ36" s="151">
        <f t="shared" si="51"/>
        <v>0</v>
      </c>
      <c r="GA36" s="151">
        <f t="shared" si="51"/>
        <v>0</v>
      </c>
      <c r="GB36" s="151">
        <f t="shared" si="51"/>
        <v>0</v>
      </c>
    </row>
    <row r="37" spans="1:184" ht="17.25" customHeight="1" x14ac:dyDescent="0.5">
      <c r="A37" s="88"/>
      <c r="B37" s="322"/>
      <c r="C37" s="101" t="s">
        <v>134</v>
      </c>
      <c r="D37" s="169"/>
      <c r="E37" s="169"/>
      <c r="F37" s="170"/>
      <c r="G37" s="177"/>
      <c r="H37" s="182"/>
      <c r="I37" s="154">
        <v>0</v>
      </c>
      <c r="J37" s="155">
        <v>0</v>
      </c>
      <c r="K37" s="156">
        <v>0</v>
      </c>
      <c r="L37" s="179">
        <f t="shared" si="13"/>
        <v>0.02</v>
      </c>
      <c r="M37" s="180">
        <f t="shared" si="14"/>
        <v>0.03</v>
      </c>
      <c r="N37" s="181">
        <f t="shared" si="15"/>
        <v>0.05</v>
      </c>
      <c r="R37" s="158" t="str">
        <f t="shared" si="16"/>
        <v>XX in €/Jahr</v>
      </c>
      <c r="S37" s="151">
        <f t="shared" si="37"/>
        <v>0</v>
      </c>
      <c r="T37" s="151">
        <f t="shared" si="37"/>
        <v>0</v>
      </c>
      <c r="U37" s="151">
        <f t="shared" si="37"/>
        <v>0</v>
      </c>
      <c r="V37" s="151">
        <f t="shared" si="37"/>
        <v>0</v>
      </c>
      <c r="W37" s="151">
        <f t="shared" si="37"/>
        <v>0</v>
      </c>
      <c r="X37" s="151">
        <f t="shared" si="37"/>
        <v>0</v>
      </c>
      <c r="Y37" s="151">
        <f t="shared" si="37"/>
        <v>0</v>
      </c>
      <c r="Z37" s="151">
        <f t="shared" si="37"/>
        <v>0</v>
      </c>
      <c r="AA37" s="151">
        <f t="shared" si="37"/>
        <v>0</v>
      </c>
      <c r="AB37" s="151">
        <f t="shared" si="37"/>
        <v>0</v>
      </c>
      <c r="AC37" s="151">
        <f t="shared" si="38"/>
        <v>0</v>
      </c>
      <c r="AD37" s="151">
        <f t="shared" si="38"/>
        <v>0</v>
      </c>
      <c r="AE37" s="151">
        <f t="shared" si="38"/>
        <v>0</v>
      </c>
      <c r="AF37" s="151">
        <f t="shared" si="38"/>
        <v>0</v>
      </c>
      <c r="AG37" s="151">
        <f t="shared" si="38"/>
        <v>0</v>
      </c>
      <c r="AH37" s="151">
        <f t="shared" si="38"/>
        <v>0</v>
      </c>
      <c r="AI37" s="151">
        <f t="shared" si="38"/>
        <v>0</v>
      </c>
      <c r="AJ37" s="151">
        <f t="shared" si="38"/>
        <v>0</v>
      </c>
      <c r="AK37" s="151">
        <f t="shared" si="38"/>
        <v>0</v>
      </c>
      <c r="AL37" s="151">
        <f t="shared" si="38"/>
        <v>0</v>
      </c>
      <c r="AM37" s="151">
        <f t="shared" si="39"/>
        <v>0</v>
      </c>
      <c r="AN37" s="151">
        <f t="shared" si="39"/>
        <v>0</v>
      </c>
      <c r="AO37" s="151">
        <f t="shared" si="39"/>
        <v>0</v>
      </c>
      <c r="AP37" s="151">
        <f t="shared" si="39"/>
        <v>0</v>
      </c>
      <c r="AQ37" s="151">
        <f t="shared" si="39"/>
        <v>0</v>
      </c>
      <c r="AR37" s="151">
        <f t="shared" si="39"/>
        <v>0</v>
      </c>
      <c r="AS37" s="151">
        <f t="shared" si="39"/>
        <v>0</v>
      </c>
      <c r="AT37" s="151">
        <f t="shared" si="39"/>
        <v>0</v>
      </c>
      <c r="AU37" s="151">
        <f t="shared" si="39"/>
        <v>0</v>
      </c>
      <c r="AV37" s="151">
        <f t="shared" si="39"/>
        <v>0</v>
      </c>
      <c r="AW37" s="151">
        <f t="shared" si="40"/>
        <v>0</v>
      </c>
      <c r="AX37" s="151">
        <f t="shared" si="40"/>
        <v>0</v>
      </c>
      <c r="AY37" s="151">
        <f t="shared" si="40"/>
        <v>0</v>
      </c>
      <c r="AZ37" s="151">
        <f t="shared" si="40"/>
        <v>0</v>
      </c>
      <c r="BA37" s="151">
        <f t="shared" si="40"/>
        <v>0</v>
      </c>
      <c r="BB37" s="151">
        <f t="shared" si="40"/>
        <v>0</v>
      </c>
      <c r="BC37" s="151">
        <f t="shared" si="40"/>
        <v>0</v>
      </c>
      <c r="BD37" s="151">
        <f t="shared" si="40"/>
        <v>0</v>
      </c>
      <c r="BE37" s="151">
        <f t="shared" si="40"/>
        <v>0</v>
      </c>
      <c r="BF37" s="151">
        <f t="shared" si="40"/>
        <v>0</v>
      </c>
      <c r="BG37" s="151">
        <f t="shared" si="41"/>
        <v>0</v>
      </c>
      <c r="BH37" s="151">
        <f t="shared" si="41"/>
        <v>0</v>
      </c>
      <c r="BI37" s="151">
        <f t="shared" si="41"/>
        <v>0</v>
      </c>
      <c r="BJ37" s="151">
        <f t="shared" si="41"/>
        <v>0</v>
      </c>
      <c r="BK37" s="151">
        <f t="shared" si="41"/>
        <v>0</v>
      </c>
      <c r="BL37" s="151">
        <f t="shared" si="41"/>
        <v>0</v>
      </c>
      <c r="BM37" s="151">
        <f t="shared" si="41"/>
        <v>0</v>
      </c>
      <c r="BN37" s="151">
        <f t="shared" si="41"/>
        <v>0</v>
      </c>
      <c r="BO37" s="151">
        <f t="shared" si="41"/>
        <v>0</v>
      </c>
      <c r="BP37" s="151">
        <f t="shared" si="41"/>
        <v>0</v>
      </c>
      <c r="BQ37" s="151">
        <f t="shared" si="41"/>
        <v>0</v>
      </c>
      <c r="BR37" s="151">
        <f t="shared" si="41"/>
        <v>0</v>
      </c>
      <c r="BS37" s="151">
        <f t="shared" si="41"/>
        <v>0</v>
      </c>
      <c r="BT37" s="151">
        <f t="shared" si="41"/>
        <v>0</v>
      </c>
      <c r="BV37" s="158" t="str">
        <f t="shared" si="19"/>
        <v>XX in €/Jahr</v>
      </c>
      <c r="BW37" s="151">
        <f t="shared" si="42"/>
        <v>0</v>
      </c>
      <c r="BX37" s="151">
        <f t="shared" si="42"/>
        <v>0</v>
      </c>
      <c r="BY37" s="151">
        <f t="shared" si="42"/>
        <v>0</v>
      </c>
      <c r="BZ37" s="151">
        <f t="shared" si="42"/>
        <v>0</v>
      </c>
      <c r="CA37" s="151">
        <f t="shared" si="42"/>
        <v>0</v>
      </c>
      <c r="CB37" s="151">
        <f t="shared" si="42"/>
        <v>0</v>
      </c>
      <c r="CC37" s="151">
        <f t="shared" si="42"/>
        <v>0</v>
      </c>
      <c r="CD37" s="151">
        <f t="shared" si="42"/>
        <v>0</v>
      </c>
      <c r="CE37" s="151">
        <f t="shared" si="42"/>
        <v>0</v>
      </c>
      <c r="CF37" s="151">
        <f t="shared" si="42"/>
        <v>0</v>
      </c>
      <c r="CG37" s="151">
        <f t="shared" si="43"/>
        <v>0</v>
      </c>
      <c r="CH37" s="151">
        <f t="shared" si="43"/>
        <v>0</v>
      </c>
      <c r="CI37" s="151">
        <f t="shared" si="43"/>
        <v>0</v>
      </c>
      <c r="CJ37" s="151">
        <f t="shared" si="43"/>
        <v>0</v>
      </c>
      <c r="CK37" s="151">
        <f t="shared" si="43"/>
        <v>0</v>
      </c>
      <c r="CL37" s="151">
        <f t="shared" si="43"/>
        <v>0</v>
      </c>
      <c r="CM37" s="151">
        <f t="shared" si="43"/>
        <v>0</v>
      </c>
      <c r="CN37" s="151">
        <f t="shared" si="43"/>
        <v>0</v>
      </c>
      <c r="CO37" s="151">
        <f t="shared" si="43"/>
        <v>0</v>
      </c>
      <c r="CP37" s="151">
        <f t="shared" si="43"/>
        <v>0</v>
      </c>
      <c r="CQ37" s="151">
        <f t="shared" si="44"/>
        <v>0</v>
      </c>
      <c r="CR37" s="151">
        <f t="shared" si="44"/>
        <v>0</v>
      </c>
      <c r="CS37" s="151">
        <f t="shared" si="44"/>
        <v>0</v>
      </c>
      <c r="CT37" s="151">
        <f t="shared" si="44"/>
        <v>0</v>
      </c>
      <c r="CU37" s="151">
        <f t="shared" si="44"/>
        <v>0</v>
      </c>
      <c r="CV37" s="151">
        <f t="shared" si="44"/>
        <v>0</v>
      </c>
      <c r="CW37" s="151">
        <f t="shared" si="44"/>
        <v>0</v>
      </c>
      <c r="CX37" s="151">
        <f t="shared" si="44"/>
        <v>0</v>
      </c>
      <c r="CY37" s="151">
        <f t="shared" si="44"/>
        <v>0</v>
      </c>
      <c r="CZ37" s="151">
        <f t="shared" si="44"/>
        <v>0</v>
      </c>
      <c r="DA37" s="151">
        <f t="shared" si="45"/>
        <v>0</v>
      </c>
      <c r="DB37" s="151">
        <f t="shared" si="45"/>
        <v>0</v>
      </c>
      <c r="DC37" s="151">
        <f t="shared" si="45"/>
        <v>0</v>
      </c>
      <c r="DD37" s="151">
        <f t="shared" si="45"/>
        <v>0</v>
      </c>
      <c r="DE37" s="151">
        <f t="shared" si="45"/>
        <v>0</v>
      </c>
      <c r="DF37" s="151">
        <f t="shared" si="45"/>
        <v>0</v>
      </c>
      <c r="DG37" s="151">
        <f t="shared" si="45"/>
        <v>0</v>
      </c>
      <c r="DH37" s="151">
        <f t="shared" si="45"/>
        <v>0</v>
      </c>
      <c r="DI37" s="151">
        <f t="shared" si="45"/>
        <v>0</v>
      </c>
      <c r="DJ37" s="151">
        <f t="shared" si="45"/>
        <v>0</v>
      </c>
      <c r="DK37" s="151">
        <f t="shared" si="46"/>
        <v>0</v>
      </c>
      <c r="DL37" s="151">
        <f t="shared" si="46"/>
        <v>0</v>
      </c>
      <c r="DM37" s="151">
        <f t="shared" si="46"/>
        <v>0</v>
      </c>
      <c r="DN37" s="151">
        <f t="shared" si="46"/>
        <v>0</v>
      </c>
      <c r="DO37" s="151">
        <f t="shared" si="46"/>
        <v>0</v>
      </c>
      <c r="DP37" s="151">
        <f t="shared" si="46"/>
        <v>0</v>
      </c>
      <c r="DQ37" s="151">
        <f t="shared" si="46"/>
        <v>0</v>
      </c>
      <c r="DR37" s="151">
        <f t="shared" si="46"/>
        <v>0</v>
      </c>
      <c r="DS37" s="151">
        <f t="shared" si="46"/>
        <v>0</v>
      </c>
      <c r="DT37" s="151">
        <f t="shared" si="46"/>
        <v>0</v>
      </c>
      <c r="DU37" s="151">
        <f t="shared" si="46"/>
        <v>0</v>
      </c>
      <c r="DV37" s="151">
        <f t="shared" si="46"/>
        <v>0</v>
      </c>
      <c r="DW37" s="151">
        <f t="shared" si="46"/>
        <v>0</v>
      </c>
      <c r="DX37" s="151">
        <f t="shared" si="46"/>
        <v>0</v>
      </c>
      <c r="DZ37" s="158" t="str">
        <f t="shared" si="22"/>
        <v>XX in €/Jahr</v>
      </c>
      <c r="EA37" s="151">
        <f t="shared" si="47"/>
        <v>0</v>
      </c>
      <c r="EB37" s="151">
        <f t="shared" si="47"/>
        <v>0</v>
      </c>
      <c r="EC37" s="151">
        <f t="shared" si="47"/>
        <v>0</v>
      </c>
      <c r="ED37" s="151">
        <f t="shared" si="47"/>
        <v>0</v>
      </c>
      <c r="EE37" s="151">
        <f t="shared" si="47"/>
        <v>0</v>
      </c>
      <c r="EF37" s="151">
        <f t="shared" si="47"/>
        <v>0</v>
      </c>
      <c r="EG37" s="151">
        <f t="shared" si="47"/>
        <v>0</v>
      </c>
      <c r="EH37" s="151">
        <f t="shared" si="47"/>
        <v>0</v>
      </c>
      <c r="EI37" s="151">
        <f t="shared" si="47"/>
        <v>0</v>
      </c>
      <c r="EJ37" s="151">
        <f t="shared" si="47"/>
        <v>0</v>
      </c>
      <c r="EK37" s="151">
        <f t="shared" si="48"/>
        <v>0</v>
      </c>
      <c r="EL37" s="151">
        <f t="shared" si="48"/>
        <v>0</v>
      </c>
      <c r="EM37" s="151">
        <f t="shared" si="48"/>
        <v>0</v>
      </c>
      <c r="EN37" s="151">
        <f t="shared" si="48"/>
        <v>0</v>
      </c>
      <c r="EO37" s="151">
        <f t="shared" si="48"/>
        <v>0</v>
      </c>
      <c r="EP37" s="151">
        <f t="shared" si="48"/>
        <v>0</v>
      </c>
      <c r="EQ37" s="151">
        <f t="shared" si="48"/>
        <v>0</v>
      </c>
      <c r="ER37" s="151">
        <f t="shared" si="48"/>
        <v>0</v>
      </c>
      <c r="ES37" s="151">
        <f t="shared" si="48"/>
        <v>0</v>
      </c>
      <c r="ET37" s="151">
        <f t="shared" si="48"/>
        <v>0</v>
      </c>
      <c r="EU37" s="151">
        <f t="shared" si="49"/>
        <v>0</v>
      </c>
      <c r="EV37" s="151">
        <f t="shared" si="49"/>
        <v>0</v>
      </c>
      <c r="EW37" s="151">
        <f t="shared" si="49"/>
        <v>0</v>
      </c>
      <c r="EX37" s="151">
        <f t="shared" si="49"/>
        <v>0</v>
      </c>
      <c r="EY37" s="151">
        <f t="shared" si="49"/>
        <v>0</v>
      </c>
      <c r="EZ37" s="151">
        <f t="shared" si="49"/>
        <v>0</v>
      </c>
      <c r="FA37" s="151">
        <f t="shared" si="49"/>
        <v>0</v>
      </c>
      <c r="FB37" s="151">
        <f t="shared" si="49"/>
        <v>0</v>
      </c>
      <c r="FC37" s="151">
        <f t="shared" si="49"/>
        <v>0</v>
      </c>
      <c r="FD37" s="151">
        <f t="shared" si="49"/>
        <v>0</v>
      </c>
      <c r="FE37" s="151">
        <f t="shared" si="50"/>
        <v>0</v>
      </c>
      <c r="FF37" s="151">
        <f t="shared" si="50"/>
        <v>0</v>
      </c>
      <c r="FG37" s="151">
        <f t="shared" si="50"/>
        <v>0</v>
      </c>
      <c r="FH37" s="151">
        <f t="shared" si="50"/>
        <v>0</v>
      </c>
      <c r="FI37" s="151">
        <f t="shared" si="50"/>
        <v>0</v>
      </c>
      <c r="FJ37" s="151">
        <f t="shared" si="50"/>
        <v>0</v>
      </c>
      <c r="FK37" s="151">
        <f t="shared" si="50"/>
        <v>0</v>
      </c>
      <c r="FL37" s="151">
        <f t="shared" si="50"/>
        <v>0</v>
      </c>
      <c r="FM37" s="151">
        <f t="shared" si="50"/>
        <v>0</v>
      </c>
      <c r="FN37" s="151">
        <f t="shared" si="50"/>
        <v>0</v>
      </c>
      <c r="FO37" s="151">
        <f t="shared" si="51"/>
        <v>0</v>
      </c>
      <c r="FP37" s="151">
        <f t="shared" si="51"/>
        <v>0</v>
      </c>
      <c r="FQ37" s="151">
        <f t="shared" si="51"/>
        <v>0</v>
      </c>
      <c r="FR37" s="151">
        <f t="shared" si="51"/>
        <v>0</v>
      </c>
      <c r="FS37" s="151">
        <f t="shared" si="51"/>
        <v>0</v>
      </c>
      <c r="FT37" s="151">
        <f t="shared" si="51"/>
        <v>0</v>
      </c>
      <c r="FU37" s="151">
        <f t="shared" si="51"/>
        <v>0</v>
      </c>
      <c r="FV37" s="151">
        <f t="shared" si="51"/>
        <v>0</v>
      </c>
      <c r="FW37" s="151">
        <f t="shared" si="51"/>
        <v>0</v>
      </c>
      <c r="FX37" s="151">
        <f t="shared" si="51"/>
        <v>0</v>
      </c>
      <c r="FY37" s="151">
        <f t="shared" si="51"/>
        <v>0</v>
      </c>
      <c r="FZ37" s="151">
        <f t="shared" si="51"/>
        <v>0</v>
      </c>
      <c r="GA37" s="151">
        <f t="shared" si="51"/>
        <v>0</v>
      </c>
      <c r="GB37" s="151">
        <f t="shared" si="51"/>
        <v>0</v>
      </c>
    </row>
    <row r="38" spans="1:184" ht="18" customHeight="1" x14ac:dyDescent="0.5">
      <c r="A38" s="88"/>
      <c r="B38" s="322"/>
      <c r="C38" s="114" t="s">
        <v>135</v>
      </c>
      <c r="D38" s="169"/>
      <c r="E38" s="169"/>
      <c r="F38" s="170"/>
      <c r="G38" s="183"/>
      <c r="H38" s="184"/>
      <c r="I38" s="185">
        <v>0</v>
      </c>
      <c r="J38" s="186">
        <v>0</v>
      </c>
      <c r="K38" s="187">
        <v>0</v>
      </c>
      <c r="L38" s="188">
        <f t="shared" si="13"/>
        <v>0.02</v>
      </c>
      <c r="M38" s="189">
        <f t="shared" si="14"/>
        <v>0.03</v>
      </c>
      <c r="N38" s="190">
        <f t="shared" si="15"/>
        <v>0.05</v>
      </c>
      <c r="R38" s="158" t="str">
        <f t="shared" si="16"/>
        <v xml:space="preserve">XX in €/Jahr </v>
      </c>
      <c r="S38" s="151">
        <f t="shared" si="37"/>
        <v>0</v>
      </c>
      <c r="T38" s="151">
        <f t="shared" si="37"/>
        <v>0</v>
      </c>
      <c r="U38" s="151">
        <f t="shared" si="37"/>
        <v>0</v>
      </c>
      <c r="V38" s="151">
        <f t="shared" si="37"/>
        <v>0</v>
      </c>
      <c r="W38" s="151">
        <f t="shared" si="37"/>
        <v>0</v>
      </c>
      <c r="X38" s="151">
        <f t="shared" si="37"/>
        <v>0</v>
      </c>
      <c r="Y38" s="151">
        <f t="shared" si="37"/>
        <v>0</v>
      </c>
      <c r="Z38" s="151">
        <f t="shared" si="37"/>
        <v>0</v>
      </c>
      <c r="AA38" s="151">
        <f t="shared" si="37"/>
        <v>0</v>
      </c>
      <c r="AB38" s="151">
        <f t="shared" si="37"/>
        <v>0</v>
      </c>
      <c r="AC38" s="151">
        <f t="shared" si="38"/>
        <v>0</v>
      </c>
      <c r="AD38" s="151">
        <f t="shared" si="38"/>
        <v>0</v>
      </c>
      <c r="AE38" s="151">
        <f t="shared" si="38"/>
        <v>0</v>
      </c>
      <c r="AF38" s="151">
        <f t="shared" si="38"/>
        <v>0</v>
      </c>
      <c r="AG38" s="151">
        <f t="shared" si="38"/>
        <v>0</v>
      </c>
      <c r="AH38" s="151">
        <f t="shared" si="38"/>
        <v>0</v>
      </c>
      <c r="AI38" s="151">
        <f t="shared" si="38"/>
        <v>0</v>
      </c>
      <c r="AJ38" s="151">
        <f t="shared" si="38"/>
        <v>0</v>
      </c>
      <c r="AK38" s="151">
        <f t="shared" si="38"/>
        <v>0</v>
      </c>
      <c r="AL38" s="151">
        <f t="shared" si="38"/>
        <v>0</v>
      </c>
      <c r="AM38" s="151">
        <f t="shared" si="39"/>
        <v>0</v>
      </c>
      <c r="AN38" s="151">
        <f t="shared" si="39"/>
        <v>0</v>
      </c>
      <c r="AO38" s="151">
        <f t="shared" si="39"/>
        <v>0</v>
      </c>
      <c r="AP38" s="151">
        <f t="shared" si="39"/>
        <v>0</v>
      </c>
      <c r="AQ38" s="151">
        <f t="shared" si="39"/>
        <v>0</v>
      </c>
      <c r="AR38" s="151">
        <f t="shared" si="39"/>
        <v>0</v>
      </c>
      <c r="AS38" s="151">
        <f t="shared" si="39"/>
        <v>0</v>
      </c>
      <c r="AT38" s="151">
        <f t="shared" si="39"/>
        <v>0</v>
      </c>
      <c r="AU38" s="151">
        <f t="shared" si="39"/>
        <v>0</v>
      </c>
      <c r="AV38" s="151">
        <f t="shared" si="39"/>
        <v>0</v>
      </c>
      <c r="AW38" s="151">
        <f t="shared" si="40"/>
        <v>0</v>
      </c>
      <c r="AX38" s="151">
        <f t="shared" si="40"/>
        <v>0</v>
      </c>
      <c r="AY38" s="151">
        <f t="shared" si="40"/>
        <v>0</v>
      </c>
      <c r="AZ38" s="151">
        <f t="shared" si="40"/>
        <v>0</v>
      </c>
      <c r="BA38" s="151">
        <f t="shared" si="40"/>
        <v>0</v>
      </c>
      <c r="BB38" s="151">
        <f t="shared" si="40"/>
        <v>0</v>
      </c>
      <c r="BC38" s="151">
        <f t="shared" si="40"/>
        <v>0</v>
      </c>
      <c r="BD38" s="151">
        <f t="shared" si="40"/>
        <v>0</v>
      </c>
      <c r="BE38" s="151">
        <f t="shared" si="40"/>
        <v>0</v>
      </c>
      <c r="BF38" s="151">
        <f t="shared" si="40"/>
        <v>0</v>
      </c>
      <c r="BG38" s="151">
        <f t="shared" si="41"/>
        <v>0</v>
      </c>
      <c r="BH38" s="151">
        <f t="shared" si="41"/>
        <v>0</v>
      </c>
      <c r="BI38" s="151">
        <f t="shared" si="41"/>
        <v>0</v>
      </c>
      <c r="BJ38" s="151">
        <f t="shared" si="41"/>
        <v>0</v>
      </c>
      <c r="BK38" s="151">
        <f t="shared" si="41"/>
        <v>0</v>
      </c>
      <c r="BL38" s="151">
        <f t="shared" si="41"/>
        <v>0</v>
      </c>
      <c r="BM38" s="151">
        <f t="shared" si="41"/>
        <v>0</v>
      </c>
      <c r="BN38" s="151">
        <f t="shared" si="41"/>
        <v>0</v>
      </c>
      <c r="BO38" s="151">
        <f t="shared" si="41"/>
        <v>0</v>
      </c>
      <c r="BP38" s="151">
        <f t="shared" si="41"/>
        <v>0</v>
      </c>
      <c r="BQ38" s="151">
        <f t="shared" si="41"/>
        <v>0</v>
      </c>
      <c r="BR38" s="151">
        <f t="shared" si="41"/>
        <v>0</v>
      </c>
      <c r="BS38" s="151">
        <f t="shared" si="41"/>
        <v>0</v>
      </c>
      <c r="BT38" s="151">
        <f t="shared" si="41"/>
        <v>0</v>
      </c>
      <c r="BV38" s="158" t="str">
        <f t="shared" si="19"/>
        <v xml:space="preserve">XX in €/Jahr </v>
      </c>
      <c r="BW38" s="151">
        <f t="shared" si="42"/>
        <v>0</v>
      </c>
      <c r="BX38" s="151">
        <f t="shared" si="42"/>
        <v>0</v>
      </c>
      <c r="BY38" s="151">
        <f t="shared" si="42"/>
        <v>0</v>
      </c>
      <c r="BZ38" s="151">
        <f t="shared" si="42"/>
        <v>0</v>
      </c>
      <c r="CA38" s="151">
        <f t="shared" si="42"/>
        <v>0</v>
      </c>
      <c r="CB38" s="151">
        <f t="shared" si="42"/>
        <v>0</v>
      </c>
      <c r="CC38" s="151">
        <f t="shared" si="42"/>
        <v>0</v>
      </c>
      <c r="CD38" s="151">
        <f t="shared" si="42"/>
        <v>0</v>
      </c>
      <c r="CE38" s="151">
        <f t="shared" si="42"/>
        <v>0</v>
      </c>
      <c r="CF38" s="151">
        <f t="shared" si="42"/>
        <v>0</v>
      </c>
      <c r="CG38" s="151">
        <f t="shared" si="43"/>
        <v>0</v>
      </c>
      <c r="CH38" s="151">
        <f t="shared" si="43"/>
        <v>0</v>
      </c>
      <c r="CI38" s="151">
        <f t="shared" si="43"/>
        <v>0</v>
      </c>
      <c r="CJ38" s="151">
        <f t="shared" si="43"/>
        <v>0</v>
      </c>
      <c r="CK38" s="151">
        <f t="shared" si="43"/>
        <v>0</v>
      </c>
      <c r="CL38" s="151">
        <f t="shared" si="43"/>
        <v>0</v>
      </c>
      <c r="CM38" s="151">
        <f t="shared" si="43"/>
        <v>0</v>
      </c>
      <c r="CN38" s="151">
        <f t="shared" si="43"/>
        <v>0</v>
      </c>
      <c r="CO38" s="151">
        <f t="shared" si="43"/>
        <v>0</v>
      </c>
      <c r="CP38" s="151">
        <f t="shared" si="43"/>
        <v>0</v>
      </c>
      <c r="CQ38" s="151">
        <f t="shared" si="44"/>
        <v>0</v>
      </c>
      <c r="CR38" s="151">
        <f t="shared" si="44"/>
        <v>0</v>
      </c>
      <c r="CS38" s="151">
        <f t="shared" si="44"/>
        <v>0</v>
      </c>
      <c r="CT38" s="151">
        <f t="shared" si="44"/>
        <v>0</v>
      </c>
      <c r="CU38" s="151">
        <f t="shared" si="44"/>
        <v>0</v>
      </c>
      <c r="CV38" s="151">
        <f t="shared" si="44"/>
        <v>0</v>
      </c>
      <c r="CW38" s="151">
        <f t="shared" si="44"/>
        <v>0</v>
      </c>
      <c r="CX38" s="151">
        <f t="shared" si="44"/>
        <v>0</v>
      </c>
      <c r="CY38" s="151">
        <f t="shared" si="44"/>
        <v>0</v>
      </c>
      <c r="CZ38" s="151">
        <f t="shared" si="44"/>
        <v>0</v>
      </c>
      <c r="DA38" s="151">
        <f t="shared" si="45"/>
        <v>0</v>
      </c>
      <c r="DB38" s="151">
        <f t="shared" si="45"/>
        <v>0</v>
      </c>
      <c r="DC38" s="151">
        <f t="shared" si="45"/>
        <v>0</v>
      </c>
      <c r="DD38" s="151">
        <f t="shared" si="45"/>
        <v>0</v>
      </c>
      <c r="DE38" s="151">
        <f t="shared" si="45"/>
        <v>0</v>
      </c>
      <c r="DF38" s="151">
        <f t="shared" si="45"/>
        <v>0</v>
      </c>
      <c r="DG38" s="151">
        <f t="shared" si="45"/>
        <v>0</v>
      </c>
      <c r="DH38" s="151">
        <f t="shared" si="45"/>
        <v>0</v>
      </c>
      <c r="DI38" s="151">
        <f t="shared" si="45"/>
        <v>0</v>
      </c>
      <c r="DJ38" s="151">
        <f t="shared" si="45"/>
        <v>0</v>
      </c>
      <c r="DK38" s="151">
        <f t="shared" si="46"/>
        <v>0</v>
      </c>
      <c r="DL38" s="151">
        <f t="shared" si="46"/>
        <v>0</v>
      </c>
      <c r="DM38" s="151">
        <f t="shared" si="46"/>
        <v>0</v>
      </c>
      <c r="DN38" s="151">
        <f t="shared" si="46"/>
        <v>0</v>
      </c>
      <c r="DO38" s="151">
        <f t="shared" si="46"/>
        <v>0</v>
      </c>
      <c r="DP38" s="151">
        <f t="shared" si="46"/>
        <v>0</v>
      </c>
      <c r="DQ38" s="151">
        <f t="shared" si="46"/>
        <v>0</v>
      </c>
      <c r="DR38" s="151">
        <f t="shared" si="46"/>
        <v>0</v>
      </c>
      <c r="DS38" s="151">
        <f t="shared" si="46"/>
        <v>0</v>
      </c>
      <c r="DT38" s="151">
        <f t="shared" si="46"/>
        <v>0</v>
      </c>
      <c r="DU38" s="151">
        <f t="shared" si="46"/>
        <v>0</v>
      </c>
      <c r="DV38" s="151">
        <f t="shared" si="46"/>
        <v>0</v>
      </c>
      <c r="DW38" s="151">
        <f t="shared" si="46"/>
        <v>0</v>
      </c>
      <c r="DX38" s="151">
        <f t="shared" si="46"/>
        <v>0</v>
      </c>
      <c r="DZ38" s="158" t="str">
        <f t="shared" si="22"/>
        <v xml:space="preserve">XX in €/Jahr </v>
      </c>
      <c r="EA38" s="151">
        <f t="shared" si="47"/>
        <v>0</v>
      </c>
      <c r="EB38" s="151">
        <f t="shared" si="47"/>
        <v>0</v>
      </c>
      <c r="EC38" s="151">
        <f t="shared" si="47"/>
        <v>0</v>
      </c>
      <c r="ED38" s="151">
        <f t="shared" si="47"/>
        <v>0</v>
      </c>
      <c r="EE38" s="151">
        <f t="shared" si="47"/>
        <v>0</v>
      </c>
      <c r="EF38" s="151">
        <f t="shared" si="47"/>
        <v>0</v>
      </c>
      <c r="EG38" s="151">
        <f t="shared" si="47"/>
        <v>0</v>
      </c>
      <c r="EH38" s="151">
        <f t="shared" si="47"/>
        <v>0</v>
      </c>
      <c r="EI38" s="151">
        <f t="shared" si="47"/>
        <v>0</v>
      </c>
      <c r="EJ38" s="151">
        <f t="shared" si="47"/>
        <v>0</v>
      </c>
      <c r="EK38" s="151">
        <f t="shared" si="48"/>
        <v>0</v>
      </c>
      <c r="EL38" s="151">
        <f t="shared" si="48"/>
        <v>0</v>
      </c>
      <c r="EM38" s="151">
        <f t="shared" si="48"/>
        <v>0</v>
      </c>
      <c r="EN38" s="151">
        <f t="shared" si="48"/>
        <v>0</v>
      </c>
      <c r="EO38" s="151">
        <f t="shared" si="48"/>
        <v>0</v>
      </c>
      <c r="EP38" s="151">
        <f t="shared" si="48"/>
        <v>0</v>
      </c>
      <c r="EQ38" s="151">
        <f t="shared" si="48"/>
        <v>0</v>
      </c>
      <c r="ER38" s="151">
        <f t="shared" si="48"/>
        <v>0</v>
      </c>
      <c r="ES38" s="151">
        <f t="shared" si="48"/>
        <v>0</v>
      </c>
      <c r="ET38" s="151">
        <f t="shared" si="48"/>
        <v>0</v>
      </c>
      <c r="EU38" s="151">
        <f t="shared" si="49"/>
        <v>0</v>
      </c>
      <c r="EV38" s="151">
        <f t="shared" si="49"/>
        <v>0</v>
      </c>
      <c r="EW38" s="151">
        <f t="shared" si="49"/>
        <v>0</v>
      </c>
      <c r="EX38" s="151">
        <f t="shared" si="49"/>
        <v>0</v>
      </c>
      <c r="EY38" s="151">
        <f t="shared" si="49"/>
        <v>0</v>
      </c>
      <c r="EZ38" s="151">
        <f t="shared" si="49"/>
        <v>0</v>
      </c>
      <c r="FA38" s="151">
        <f t="shared" si="49"/>
        <v>0</v>
      </c>
      <c r="FB38" s="151">
        <f t="shared" si="49"/>
        <v>0</v>
      </c>
      <c r="FC38" s="151">
        <f t="shared" si="49"/>
        <v>0</v>
      </c>
      <c r="FD38" s="151">
        <f t="shared" si="49"/>
        <v>0</v>
      </c>
      <c r="FE38" s="151">
        <f t="shared" si="50"/>
        <v>0</v>
      </c>
      <c r="FF38" s="151">
        <f t="shared" si="50"/>
        <v>0</v>
      </c>
      <c r="FG38" s="151">
        <f t="shared" si="50"/>
        <v>0</v>
      </c>
      <c r="FH38" s="151">
        <f t="shared" si="50"/>
        <v>0</v>
      </c>
      <c r="FI38" s="151">
        <f t="shared" si="50"/>
        <v>0</v>
      </c>
      <c r="FJ38" s="151">
        <f t="shared" si="50"/>
        <v>0</v>
      </c>
      <c r="FK38" s="151">
        <f t="shared" si="50"/>
        <v>0</v>
      </c>
      <c r="FL38" s="151">
        <f t="shared" si="50"/>
        <v>0</v>
      </c>
      <c r="FM38" s="151">
        <f t="shared" si="50"/>
        <v>0</v>
      </c>
      <c r="FN38" s="151">
        <f t="shared" si="50"/>
        <v>0</v>
      </c>
      <c r="FO38" s="151">
        <f t="shared" si="51"/>
        <v>0</v>
      </c>
      <c r="FP38" s="151">
        <f t="shared" si="51"/>
        <v>0</v>
      </c>
      <c r="FQ38" s="151">
        <f t="shared" si="51"/>
        <v>0</v>
      </c>
      <c r="FR38" s="151">
        <f t="shared" si="51"/>
        <v>0</v>
      </c>
      <c r="FS38" s="151">
        <f t="shared" si="51"/>
        <v>0</v>
      </c>
      <c r="FT38" s="151">
        <f t="shared" si="51"/>
        <v>0</v>
      </c>
      <c r="FU38" s="151">
        <f t="shared" si="51"/>
        <v>0</v>
      </c>
      <c r="FV38" s="151">
        <f t="shared" si="51"/>
        <v>0</v>
      </c>
      <c r="FW38" s="151">
        <f t="shared" si="51"/>
        <v>0</v>
      </c>
      <c r="FX38" s="151">
        <f t="shared" si="51"/>
        <v>0</v>
      </c>
      <c r="FY38" s="151">
        <f t="shared" si="51"/>
        <v>0</v>
      </c>
      <c r="FZ38" s="151">
        <f t="shared" si="51"/>
        <v>0</v>
      </c>
      <c r="GA38" s="151">
        <f t="shared" si="51"/>
        <v>0</v>
      </c>
      <c r="GB38" s="151">
        <f t="shared" si="51"/>
        <v>0</v>
      </c>
    </row>
    <row r="39" spans="1:184" ht="17.25" customHeight="1" x14ac:dyDescent="0.5">
      <c r="A39" s="88"/>
      <c r="B39" s="323" t="s">
        <v>136</v>
      </c>
      <c r="C39" s="134" t="s">
        <v>231</v>
      </c>
      <c r="D39" s="191">
        <f t="array" ref="D39">IFERROR(_xlfn.IFS(D11&gt;=G11,0,D11=0,1),(G11-D11)/D11)</f>
        <v>0</v>
      </c>
      <c r="E39" s="191">
        <f t="array" ref="E39">IFERROR(_xlfn.IFS(E11&gt;=H11,0,E11=0,1),(H11-E11)/E11)</f>
        <v>0</v>
      </c>
      <c r="F39" s="191">
        <f t="array" ref="F39">IFERROR(_xlfn.IFS(F11&gt;=I11,0,F11=0,1),(I11-F11)/F11)</f>
        <v>0</v>
      </c>
      <c r="G39" s="3">
        <v>99</v>
      </c>
      <c r="H39" s="192">
        <v>99</v>
      </c>
      <c r="I39" s="193">
        <v>0</v>
      </c>
      <c r="J39" s="194">
        <v>0</v>
      </c>
      <c r="K39" s="195">
        <v>0</v>
      </c>
      <c r="L39" s="196">
        <f>'Allgemeine Unternehmensdaten'!$E$8</f>
        <v>0.04</v>
      </c>
      <c r="M39" s="197">
        <f>'Allgemeine Unternehmensdaten'!$F$8</f>
        <v>0.03</v>
      </c>
      <c r="N39" s="198">
        <f>'Allgemeine Unternehmensdaten'!$G$8</f>
        <v>0.02</v>
      </c>
      <c r="R39" s="199" t="str">
        <f t="shared" si="16"/>
        <v>Mehrverbrauch Strom in %</v>
      </c>
      <c r="S39" s="200">
        <f>IF(AND($E39=1,$E11=0),'Allgemeine Unternehmensdaten'!$F$7*S22*$H11*($M39+1)^(S20)*((1+$J39)^(S$20)),'Allgemeine Unternehmensdaten'!$F$7*S22*$E11*$E39*($M39+1)^(S20)*((1+$J39)^(S$20)))</f>
        <v>0</v>
      </c>
      <c r="T39" s="200">
        <f>IF(AND($E39=1,$E11=0),'Allgemeine Unternehmensdaten'!$F$7*T22*$H11*($M39+1)^(T20)*((1+$J39)^(T$20)),'Allgemeine Unternehmensdaten'!$F$7*T22*$E11*$E39*($M39+1)^(T20)*((1+$J39)^(T$20)))</f>
        <v>0</v>
      </c>
      <c r="U39" s="200">
        <f>IF(AND($E39=1,$E11=0),'Allgemeine Unternehmensdaten'!$F$7*U22*$H11*($M39+1)^(U20)*((1+$J39)^(U$20)),'Allgemeine Unternehmensdaten'!$F$7*U22*$E11*$E39*($M39+1)^(U20)*((1+$J39)^(U$20)))</f>
        <v>0</v>
      </c>
      <c r="V39" s="200">
        <f>IF(AND($E39=1,$E11=0),'Allgemeine Unternehmensdaten'!$F$7*V22*$H11*($M39+1)^(V20)*((1+$J39)^(V$20)),'Allgemeine Unternehmensdaten'!$F$7*V22*$E11*$E39*($M39+1)^(V20)*((1+$J39)^(V$20)))</f>
        <v>0</v>
      </c>
      <c r="W39" s="200">
        <f>IF(AND($E39=1,$E11=0),'Allgemeine Unternehmensdaten'!$F$7*W22*$H11*($M39+1)^(W20)*((1+$J39)^(W$20)),'Allgemeine Unternehmensdaten'!$F$7*W22*$E11*$E39*($M39+1)^(W20)*((1+$J39)^(W$20)))</f>
        <v>0</v>
      </c>
      <c r="X39" s="200">
        <f>IF(AND($E39=1,$E11=0),'Allgemeine Unternehmensdaten'!$F$7*X22*$H11*($M39+1)^(X20)*((1+$J39)^(X$20)),'Allgemeine Unternehmensdaten'!$F$7*X22*$E11*$E39*($M39+1)^(X20)*((1+$J39)^(X$20)))</f>
        <v>0</v>
      </c>
      <c r="Y39" s="200">
        <f>IF(AND($E39=1,$E11=0),'Allgemeine Unternehmensdaten'!$F$7*Y22*$H11*($M39+1)^(Y20)*((1+$J39)^(Y$20)),'Allgemeine Unternehmensdaten'!$F$7*Y22*$E11*$E39*($M39+1)^(Y20)*((1+$J39)^(Y$20)))</f>
        <v>0</v>
      </c>
      <c r="Z39" s="200">
        <f>IF(AND($E39=1,$E11=0),'Allgemeine Unternehmensdaten'!$F$7*Z22*$H11*($M39+1)^(Z20)*((1+$J39)^(Z$20)),'Allgemeine Unternehmensdaten'!$F$7*Z22*$E11*$E39*($M39+1)^(Z20)*((1+$J39)^(Z$20)))</f>
        <v>0</v>
      </c>
      <c r="AA39" s="200">
        <f>IF(AND($E39=1,$E11=0),'Allgemeine Unternehmensdaten'!$F$7*AA22*$H11*($M39+1)^(AA20)*((1+$J39)^(AA$20)),'Allgemeine Unternehmensdaten'!$F$7*AA22*$E11*$E39*($M39+1)^(AA20)*((1+$J39)^(AA$20)))</f>
        <v>0</v>
      </c>
      <c r="AB39" s="200">
        <f>IF(AND($E39=1,$E11=0),'Allgemeine Unternehmensdaten'!$F$7*AB22*$H11*($M39+1)^(AB20)*((1+$J39)^(AB$20)),'Allgemeine Unternehmensdaten'!$F$7*AB22*$E11*$E39*($M39+1)^(AB20)*((1+$J39)^(AB$20)))</f>
        <v>0</v>
      </c>
      <c r="AC39" s="200">
        <f>IF(AND($E39=1,$E11=0),'Allgemeine Unternehmensdaten'!$F$7*AC22*$H11*($M39+1)^(AC20)*((1+$J39)^(AC$20)),'Allgemeine Unternehmensdaten'!$F$7*AC22*$E11*$E39*($M39+1)^(AC20)*((1+$J39)^(AC$20)))</f>
        <v>0</v>
      </c>
      <c r="AD39" s="200">
        <f>IF(AND($E39=1,$E11=0),'Allgemeine Unternehmensdaten'!$F$7*AD22*$H11*($M39+1)^(AD20)*((1+$J39)^(AD$20)),'Allgemeine Unternehmensdaten'!$F$7*AD22*$E11*$E39*($M39+1)^(AD20)*((1+$J39)^(AD$20)))</f>
        <v>0</v>
      </c>
      <c r="AE39" s="200">
        <f>IF(AND($E39=1,$E11=0),'Allgemeine Unternehmensdaten'!$F$7*AE22*$H11*($M39+1)^(AE20)*((1+$J39)^(AE$20)),'Allgemeine Unternehmensdaten'!$F$7*AE22*$E11*$E39*($M39+1)^(AE20)*((1+$J39)^(AE$20)))</f>
        <v>0</v>
      </c>
      <c r="AF39" s="200">
        <f>IF(AND($E39=1,$E11=0),'Allgemeine Unternehmensdaten'!$F$7*AF22*$H11*($M39+1)^(AF20)*((1+$J39)^(AF$20)),'Allgemeine Unternehmensdaten'!$F$7*AF22*$E11*$E39*($M39+1)^(AF20)*((1+$J39)^(AF$20)))</f>
        <v>0</v>
      </c>
      <c r="AG39" s="200">
        <f>IF(AND($E39=1,$E11=0),'Allgemeine Unternehmensdaten'!$F$7*AG22*$H11*($M39+1)^(AG20)*((1+$J39)^(AG$20)),'Allgemeine Unternehmensdaten'!$F$7*AG22*$E11*$E39*($M39+1)^(AG20)*((1+$J39)^(AG$20)))</f>
        <v>0</v>
      </c>
      <c r="AH39" s="200">
        <f>IF(AND($E39=1,$E11=0),'Allgemeine Unternehmensdaten'!$F$7*AH22*$H11*($M39+1)^(AH20)*((1+$J39)^(AH$20)),'Allgemeine Unternehmensdaten'!$F$7*AH22*$E11*$E39*($M39+1)^(AH20)*((1+$J39)^(AH$20)))</f>
        <v>0</v>
      </c>
      <c r="AI39" s="200">
        <f>IF(AND($E39=1,$E11=0),'Allgemeine Unternehmensdaten'!$F$7*AI22*$H11*($M39+1)^(AI20)*((1+$J39)^(AI$20)),'Allgemeine Unternehmensdaten'!$F$7*AI22*$E11*$E39*($M39+1)^(AI20)*((1+$J39)^(AI$20)))</f>
        <v>0</v>
      </c>
      <c r="AJ39" s="200">
        <f>IF(AND($E39=1,$E11=0),'Allgemeine Unternehmensdaten'!$F$7*AJ22*$H11*($M39+1)^(AJ20)*((1+$J39)^(AJ$20)),'Allgemeine Unternehmensdaten'!$F$7*AJ22*$E11*$E39*($M39+1)^(AJ20)*((1+$J39)^(AJ$20)))</f>
        <v>0</v>
      </c>
      <c r="AK39" s="200">
        <f>IF(AND($E39=1,$E11=0),'Allgemeine Unternehmensdaten'!$F$7*AK22*$H11*($M39+1)^(AK20)*((1+$J39)^(AK$20)),'Allgemeine Unternehmensdaten'!$F$7*AK22*$E11*$E39*($M39+1)^(AK20)*((1+$J39)^(AK$20)))</f>
        <v>0</v>
      </c>
      <c r="AL39" s="200">
        <f>IF(AND($E39=1,$E11=0),'Allgemeine Unternehmensdaten'!$F$7*AL22*$H11*($M39+1)^(AL20)*((1+$J39)^(AL$20)),'Allgemeine Unternehmensdaten'!$F$7*AL22*$E11*$E39*($M39+1)^(AL20)*((1+$J39)^(AL$20)))</f>
        <v>0</v>
      </c>
      <c r="AM39" s="200">
        <f>IF(AND($E39=1,$E11=0),'Allgemeine Unternehmensdaten'!$F$7*AM22*$H11*($M39+1)^(AM20)*((1+$J39)^(AM$20)),'Allgemeine Unternehmensdaten'!$F$7*AM22*$E11*$E39*($M39+1)^(AM20)*((1+$J39)^(AM$20)))</f>
        <v>0</v>
      </c>
      <c r="AN39" s="200">
        <f>IF(AND($E39=1,$E11=0),'Allgemeine Unternehmensdaten'!$F$7*AN22*$H11*($M39+1)^(AN20)*((1+$J39)^(AN$20)),'Allgemeine Unternehmensdaten'!$F$7*AN22*$E11*$E39*($M39+1)^(AN20)*((1+$J39)^(AN$20)))</f>
        <v>0</v>
      </c>
      <c r="AO39" s="200">
        <f>IF(AND($E39=1,$E11=0),'Allgemeine Unternehmensdaten'!$F$7*AO22*$H11*($M39+1)^(AO20)*((1+$J39)^(AO$20)),'Allgemeine Unternehmensdaten'!$F$7*AO22*$E11*$E39*($M39+1)^(AO20)*((1+$J39)^(AO$20)))</f>
        <v>0</v>
      </c>
      <c r="AP39" s="200">
        <f>IF(AND($E39=1,$E11=0),'Allgemeine Unternehmensdaten'!$F$7*AP22*$H11*($M39+1)^(AP20)*((1+$J39)^(AP$20)),'Allgemeine Unternehmensdaten'!$F$7*AP22*$E11*$E39*($M39+1)^(AP20)*((1+$J39)^(AP$20)))</f>
        <v>0</v>
      </c>
      <c r="AQ39" s="200">
        <f>IF(AND($E39=1,$E11=0),'Allgemeine Unternehmensdaten'!$F$7*AQ22*$H11*($M39+1)^(AQ20)*((1+$J39)^(AQ$20)),'Allgemeine Unternehmensdaten'!$F$7*AQ22*$E11*$E39*($M39+1)^(AQ20)*((1+$J39)^(AQ$20)))</f>
        <v>0</v>
      </c>
      <c r="AR39" s="200">
        <f>IF(AND($E39=1,$E11=0),'Allgemeine Unternehmensdaten'!$F$7*AR22*$H11*($M39+1)^(AR20)*((1+$J39)^(AR$20)),'Allgemeine Unternehmensdaten'!$F$7*AR22*$E11*$E39*($M39+1)^(AR20)*((1+$J39)^(AR$20)))</f>
        <v>0</v>
      </c>
      <c r="AS39" s="200">
        <f>IF(AND($E39=1,$E11=0),'Allgemeine Unternehmensdaten'!$F$7*AS22*$H11*($M39+1)^(AS20)*((1+$J39)^(AS$20)),'Allgemeine Unternehmensdaten'!$F$7*AS22*$E11*$E39*($M39+1)^(AS20)*((1+$J39)^(AS$20)))</f>
        <v>0</v>
      </c>
      <c r="AT39" s="200">
        <f>IF(AND($E39=1,$E11=0),'Allgemeine Unternehmensdaten'!$F$7*AT22*$H11*($M39+1)^(AT20)*((1+$J39)^(AT$20)),'Allgemeine Unternehmensdaten'!$F$7*AT22*$E11*$E39*($M39+1)^(AT20)*((1+$J39)^(AT$20)))</f>
        <v>0</v>
      </c>
      <c r="AU39" s="200">
        <f>IF(AND($E39=1,$E11=0),'Allgemeine Unternehmensdaten'!$F$7*AU22*$H11*($M39+1)^(AU20)*((1+$J39)^(AU$20)),'Allgemeine Unternehmensdaten'!$F$7*AU22*$E11*$E39*($M39+1)^(AU20)*((1+$J39)^(AU$20)))</f>
        <v>0</v>
      </c>
      <c r="AV39" s="200">
        <f>IF(AND($E39=1,$E11=0),'Allgemeine Unternehmensdaten'!$F$7*AV22*$H11*($M39+1)^(AV20)*((1+$J39)^(AV$20)),'Allgemeine Unternehmensdaten'!$F$7*AV22*$E11*$E39*($M39+1)^(AV20)*((1+$J39)^(AV$20)))</f>
        <v>0</v>
      </c>
      <c r="AW39" s="200">
        <f>IF(AND($E39=1,$E11=0),'Allgemeine Unternehmensdaten'!$F$7*AW22*$H11*($M39+1)^(AW20)*((1+$J39)^(AW$20)),'Allgemeine Unternehmensdaten'!$F$7*AW22*$E11*$E39*($M39+1)^(AW20)*((1+$J39)^(AW$20)))</f>
        <v>0</v>
      </c>
      <c r="AX39" s="200">
        <f>IF(AND($E39=1,$E11=0),'Allgemeine Unternehmensdaten'!$F$7*AX22*$H11*($M39+1)^(AX20)*((1+$J39)^(AX$20)),'Allgemeine Unternehmensdaten'!$F$7*AX22*$E11*$E39*($M39+1)^(AX20)*((1+$J39)^(AX$20)))</f>
        <v>0</v>
      </c>
      <c r="AY39" s="200">
        <f>IF(AND($E39=1,$E11=0),'Allgemeine Unternehmensdaten'!$F$7*AY22*$H11*($M39+1)^(AY20)*((1+$J39)^(AY$20)),'Allgemeine Unternehmensdaten'!$F$7*AY22*$E11*$E39*($M39+1)^(AY20)*((1+$J39)^(AY$20)))</f>
        <v>0</v>
      </c>
      <c r="AZ39" s="200">
        <f>IF(AND($E39=1,$E11=0),'Allgemeine Unternehmensdaten'!$F$7*AZ22*$H11*($M39+1)^(AZ20)*((1+$J39)^(AZ$20)),'Allgemeine Unternehmensdaten'!$F$7*AZ22*$E11*$E39*($M39+1)^(AZ20)*((1+$J39)^(AZ$20)))</f>
        <v>0</v>
      </c>
      <c r="BA39" s="200">
        <f>IF(AND($E39=1,$E11=0),'Allgemeine Unternehmensdaten'!$F$7*BA22*$H11*($M39+1)^(BA20)*((1+$J39)^(BA$20)),'Allgemeine Unternehmensdaten'!$F$7*BA22*$E11*$E39*($M39+1)^(BA20)*((1+$J39)^(BA$20)))</f>
        <v>0</v>
      </c>
      <c r="BB39" s="200">
        <f>IF(AND($E39=1,$E11=0),'Allgemeine Unternehmensdaten'!$F$7*BB22*$H11*($M39+1)^(BB20)*((1+$J39)^(BB$20)),'Allgemeine Unternehmensdaten'!$F$7*BB22*$E11*$E39*($M39+1)^(BB20)*((1+$J39)^(BB$20)))</f>
        <v>0</v>
      </c>
      <c r="BC39" s="200">
        <f>IF(AND($E39=1,$E11=0),'Allgemeine Unternehmensdaten'!$F$7*BC22*$H11*($M39+1)^(BC20)*((1+$J39)^(BC$20)),'Allgemeine Unternehmensdaten'!$F$7*BC22*$E11*$E39*($M39+1)^(BC20)*((1+$J39)^(BC$20)))</f>
        <v>0</v>
      </c>
      <c r="BD39" s="200">
        <f>IF(AND($E39=1,$E11=0),'Allgemeine Unternehmensdaten'!$F$7*BD22*$H11*($M39+1)^(BD20)*((1+$J39)^(BD$20)),'Allgemeine Unternehmensdaten'!$F$7*BD22*$E11*$E39*($M39+1)^(BD20)*((1+$J39)^(BD$20)))</f>
        <v>0</v>
      </c>
      <c r="BE39" s="200">
        <f>IF(AND($E39=1,$E11=0),'Allgemeine Unternehmensdaten'!$F$7*BE22*$H11*($M39+1)^(BE20)*((1+$J39)^(BE$20)),'Allgemeine Unternehmensdaten'!$F$7*BE22*$E11*$E39*($M39+1)^(BE20)*((1+$J39)^(BE$20)))</f>
        <v>0</v>
      </c>
      <c r="BF39" s="200">
        <f>IF(AND($E39=1,$E11=0),'Allgemeine Unternehmensdaten'!$F$7*BF22*$H11*($M39+1)^(BF20)*((1+$J39)^(BF$20)),'Allgemeine Unternehmensdaten'!$F$7*BF22*$E11*$E39*($M39+1)^(BF20)*((1+$J39)^(BF$20)))</f>
        <v>0</v>
      </c>
      <c r="BG39" s="200">
        <f>IF(AND($E39=1,$E11=0),'Allgemeine Unternehmensdaten'!$F$7*BG22*$H11*($M39+1)^(BG20)*((1+$J39)^(BG$20)),'Allgemeine Unternehmensdaten'!$F$7*BG22*$E11*$E39*($M39+1)^(BG20)*((1+$J39)^(BG$20)))</f>
        <v>0</v>
      </c>
      <c r="BH39" s="200">
        <f>IF(AND($E39=1,$E11=0),'Allgemeine Unternehmensdaten'!$F$7*BH22*$H11*($M39+1)^(BH20)*((1+$J39)^(BH$20)),'Allgemeine Unternehmensdaten'!$F$7*BH22*$E11*$E39*($M39+1)^(BH20)*((1+$J39)^(BH$20)))</f>
        <v>0</v>
      </c>
      <c r="BI39" s="200">
        <f>IF(AND($E39=1,$E11=0),'Allgemeine Unternehmensdaten'!$F$7*BI22*$H11*($M39+1)^(BI20)*((1+$J39)^(BI$20)),'Allgemeine Unternehmensdaten'!$F$7*BI22*$E11*$E39*($M39+1)^(BI20)*((1+$J39)^(BI$20)))</f>
        <v>0</v>
      </c>
      <c r="BJ39" s="200">
        <f>IF(AND($E39=1,$E11=0),'Allgemeine Unternehmensdaten'!$F$7*BJ22*$H11*($M39+1)^(BJ20)*((1+$J39)^(BJ$20)),'Allgemeine Unternehmensdaten'!$F$7*BJ22*$E11*$E39*($M39+1)^(BJ20)*((1+$J39)^(BJ$20)))</f>
        <v>0</v>
      </c>
      <c r="BK39" s="200">
        <f>IF(AND($E39=1,$E11=0),'Allgemeine Unternehmensdaten'!$F$7*BK22*$H11*($M39+1)^(BK20)*((1+$J39)^(BK$20)),'Allgemeine Unternehmensdaten'!$F$7*BK22*$E11*$E39*($M39+1)^(BK20)*((1+$J39)^(BK$20)))</f>
        <v>0</v>
      </c>
      <c r="BL39" s="200">
        <f>IF(AND($E39=1,$E11=0),'Allgemeine Unternehmensdaten'!$F$7*BL22*$H11*($M39+1)^(BL20)*((1+$J39)^(BL$20)),'Allgemeine Unternehmensdaten'!$F$7*BL22*$E11*$E39*($M39+1)^(BL20)*((1+$J39)^(BL$20)))</f>
        <v>0</v>
      </c>
      <c r="BM39" s="200">
        <f>IF(AND($E39=1,$E11=0),'Allgemeine Unternehmensdaten'!$F$7*BM22*$H11*($M39+1)^(BM20)*((1+$J39)^(BM$20)),'Allgemeine Unternehmensdaten'!$F$7*BM22*$E11*$E39*($M39+1)^(BM20)*((1+$J39)^(BM$20)))</f>
        <v>0</v>
      </c>
      <c r="BN39" s="200">
        <f>IF(AND($E39=1,$E11=0),'Allgemeine Unternehmensdaten'!$F$7*BN22*$H11*($M39+1)^(BN20)*((1+$J39)^(BN$20)),'Allgemeine Unternehmensdaten'!$F$7*BN22*$E11*$E39*($M39+1)^(BN20)*((1+$J39)^(BN$20)))</f>
        <v>0</v>
      </c>
      <c r="BO39" s="200">
        <f>IF(AND($E39=1,$E11=0),'Allgemeine Unternehmensdaten'!$F$7*BO22*$H11*($M39+1)^(BO20)*((1+$J39)^(BO$20)),'Allgemeine Unternehmensdaten'!$F$7*BO22*$E11*$E39*($M39+1)^(BO20)*((1+$J39)^(BO$20)))</f>
        <v>0</v>
      </c>
      <c r="BP39" s="200">
        <f>IF(AND($E39=1,$E11=0),'Allgemeine Unternehmensdaten'!$F$7*BP22*$H11*($M39+1)^(BP20)*((1+$J39)^(BP$20)),'Allgemeine Unternehmensdaten'!$F$7*BP22*$E11*$E39*($M39+1)^(BP20)*((1+$J39)^(BP$20)))</f>
        <v>0</v>
      </c>
      <c r="BQ39" s="200">
        <f>IF(AND($E39=1,$E11=0),'Allgemeine Unternehmensdaten'!$F$7*BQ22*$H11*($M39+1)^(BQ20)*((1+$J39)^(BQ$20)),'Allgemeine Unternehmensdaten'!$F$7*BQ22*$E11*$E39*($M39+1)^(BQ20)*((1+$J39)^(BQ$20)))</f>
        <v>0</v>
      </c>
      <c r="BR39" s="200">
        <f>IF(AND($E39=1,$E11=0),'Allgemeine Unternehmensdaten'!$F$7*BR22*$H11*($M39+1)^(BR20)*((1+$J39)^(BR$20)),'Allgemeine Unternehmensdaten'!$F$7*BR22*$E11*$E39*($M39+1)^(BR20)*((1+$J39)^(BR$20)))</f>
        <v>0</v>
      </c>
      <c r="BS39" s="200">
        <f>IF(AND($E39=1,$E11=0),'Allgemeine Unternehmensdaten'!$F$7*BS22*$H11*($M39+1)^(BS20)*((1+$J39)^(BS$20)),'Allgemeine Unternehmensdaten'!$F$7*BS22*$E11*$E39*($M39+1)^(BS20)*((1+$J39)^(BS$20)))</f>
        <v>0</v>
      </c>
      <c r="BT39" s="200">
        <f>IF(AND($E39=1,$E11=0),'Allgemeine Unternehmensdaten'!$F$7*BT22*$H11*($M39+1)^(BT20)*((1+$J39)^(BT$20)),'Allgemeine Unternehmensdaten'!$F$7*BT22*$E11*$E39*($M39+1)^(BT20)*((1+$J39)^(BT$20)))</f>
        <v>0</v>
      </c>
      <c r="BV39" s="199" t="str">
        <f t="shared" si="19"/>
        <v>Mehrverbrauch Strom in %</v>
      </c>
      <c r="BW39" s="200">
        <f>IF(AND($D39=1,$D11=0),'Allgemeine Unternehmensdaten'!$E$7*BW22*$G11*($L39+1)^(BW20)*((1+$I39)^(BW$20)),'Allgemeine Unternehmensdaten'!$E$7*BW22*$D11*$D39*($L39+1)^(BW20)*((1+$I39)^(BW$20)))</f>
        <v>0</v>
      </c>
      <c r="BX39" s="200">
        <f>IF(AND($D39=1,$D11=0),'Allgemeine Unternehmensdaten'!$E$7*BX22*$G11*($L39+1)^(BX20)*((1+$I39)^(BX$20)),'Allgemeine Unternehmensdaten'!$E$7*BX22*$D11*$D39*($L39+1)^(BX20)*((1+$I39)^(BX$20)))</f>
        <v>0</v>
      </c>
      <c r="BY39" s="200">
        <f>IF(AND($D39=1,$D11=0),'Allgemeine Unternehmensdaten'!$E$7*BY22*$G11*($L39+1)^(BY20)*((1+$I39)^(BY$20)),'Allgemeine Unternehmensdaten'!$E$7*BY22*$D11*$D39*($L39+1)^(BY20)*((1+$I39)^(BY$20)))</f>
        <v>0</v>
      </c>
      <c r="BZ39" s="200">
        <f>IF(AND($D39=1,$D11=0),'Allgemeine Unternehmensdaten'!$E$7*BZ22*$G11*($L39+1)^(BZ20)*((1+$I39)^(BZ$20)),'Allgemeine Unternehmensdaten'!$E$7*BZ22*$D11*$D39*($L39+1)^(BZ20)*((1+$I39)^(BZ$20)))</f>
        <v>0</v>
      </c>
      <c r="CA39" s="200">
        <f>IF(AND($D39=1,$D11=0),'Allgemeine Unternehmensdaten'!$E$7*CA22*$G11*($L39+1)^(CA20)*((1+$I39)^(CA$20)),'Allgemeine Unternehmensdaten'!$E$7*CA22*$D11*$D39*($L39+1)^(CA20)*((1+$I39)^(CA$20)))</f>
        <v>0</v>
      </c>
      <c r="CB39" s="200">
        <f>IF(AND($D39=1,$D11=0),'Allgemeine Unternehmensdaten'!$E$7*CB22*$G11*($L39+1)^(CB20)*((1+$I39)^(CB$20)),'Allgemeine Unternehmensdaten'!$E$7*CB22*$D11*$D39*($L39+1)^(CB20)*((1+$I39)^(CB$20)))</f>
        <v>0</v>
      </c>
      <c r="CC39" s="200">
        <f>IF(AND($D39=1,$D11=0),'Allgemeine Unternehmensdaten'!$E$7*CC22*$G11*($L39+1)^(CC20)*((1+$I39)^(CC$20)),'Allgemeine Unternehmensdaten'!$E$7*CC22*$D11*$D39*($L39+1)^(CC20)*((1+$I39)^(CC$20)))</f>
        <v>0</v>
      </c>
      <c r="CD39" s="200">
        <f>IF(AND($D39=1,$D11=0),'Allgemeine Unternehmensdaten'!$E$7*CD22*$G11*($L39+1)^(CD20)*((1+$I39)^(CD$20)),'Allgemeine Unternehmensdaten'!$E$7*CD22*$D11*$D39*($L39+1)^(CD20)*((1+$I39)^(CD$20)))</f>
        <v>0</v>
      </c>
      <c r="CE39" s="200">
        <f>IF(AND($D39=1,$D11=0),'Allgemeine Unternehmensdaten'!$E$7*CE22*$G11*($L39+1)^(CE20)*((1+$I39)^(CE$20)),'Allgemeine Unternehmensdaten'!$E$7*CE22*$D11*$D39*($L39+1)^(CE20)*((1+$I39)^(CE$20)))</f>
        <v>0</v>
      </c>
      <c r="CF39" s="200">
        <f>IF(AND($D39=1,$D11=0),'Allgemeine Unternehmensdaten'!$E$7*CF22*$G11*($L39+1)^(CF20)*((1+$I39)^(CF$20)),'Allgemeine Unternehmensdaten'!$E$7*CF22*$D11*$D39*($L39+1)^(CF20)*((1+$I39)^(CF$20)))</f>
        <v>0</v>
      </c>
      <c r="CG39" s="200">
        <f>IF(AND($D39=1,$D11=0),'Allgemeine Unternehmensdaten'!$E$7*CG22*$G11*($L39+1)^(CG20)*((1+$I39)^(CG$20)),'Allgemeine Unternehmensdaten'!$E$7*CG22*$D11*$D39*($L39+1)^(CG20)*((1+$I39)^(CG$20)))</f>
        <v>0</v>
      </c>
      <c r="CH39" s="200">
        <f>IF(AND($D39=1,$D11=0),'Allgemeine Unternehmensdaten'!$E$7*CH22*$G11*($L39+1)^(CH20)*((1+$I39)^(CH$20)),'Allgemeine Unternehmensdaten'!$E$7*CH22*$D11*$D39*($L39+1)^(CH20)*((1+$I39)^(CH$20)))</f>
        <v>0</v>
      </c>
      <c r="CI39" s="200">
        <f>IF(AND($D39=1,$D11=0),'Allgemeine Unternehmensdaten'!$E$7*CI22*$G11*($L39+1)^(CI20)*((1+$I39)^(CI$20)),'Allgemeine Unternehmensdaten'!$E$7*CI22*$D11*$D39*($L39+1)^(CI20)*((1+$I39)^(CI$20)))</f>
        <v>0</v>
      </c>
      <c r="CJ39" s="200">
        <f>IF(AND($D39=1,$D11=0),'Allgemeine Unternehmensdaten'!$E$7*CJ22*$G11*($L39+1)^(CJ20)*((1+$I39)^(CJ$20)),'Allgemeine Unternehmensdaten'!$E$7*CJ22*$D11*$D39*($L39+1)^(CJ20)*((1+$I39)^(CJ$20)))</f>
        <v>0</v>
      </c>
      <c r="CK39" s="200">
        <f>IF(AND($D39=1,$D11=0),'Allgemeine Unternehmensdaten'!$E$7*CK22*$G11*($L39+1)^(CK20)*((1+$I39)^(CK$20)),'Allgemeine Unternehmensdaten'!$E$7*CK22*$D11*$D39*($L39+1)^(CK20)*((1+$I39)^(CK$20)))</f>
        <v>0</v>
      </c>
      <c r="CL39" s="200">
        <f>IF(AND($D39=1,$D11=0),'Allgemeine Unternehmensdaten'!$E$7*CL22*$G11*($L39+1)^(CL20)*((1+$I39)^(CL$20)),'Allgemeine Unternehmensdaten'!$E$7*CL22*$D11*$D39*($L39+1)^(CL20)*((1+$I39)^(CL$20)))</f>
        <v>0</v>
      </c>
      <c r="CM39" s="200">
        <f>IF(AND($D39=1,$D11=0),'Allgemeine Unternehmensdaten'!$E$7*CM22*$G11*($L39+1)^(CM20)*((1+$I39)^(CM$20)),'Allgemeine Unternehmensdaten'!$E$7*CM22*$D11*$D39*($L39+1)^(CM20)*((1+$I39)^(CM$20)))</f>
        <v>0</v>
      </c>
      <c r="CN39" s="200">
        <f>IF(AND($D39=1,$D11=0),'Allgemeine Unternehmensdaten'!$E$7*CN22*$G11*($L39+1)^(CN20)*((1+$I39)^(CN$20)),'Allgemeine Unternehmensdaten'!$E$7*CN22*$D11*$D39*($L39+1)^(CN20)*((1+$I39)^(CN$20)))</f>
        <v>0</v>
      </c>
      <c r="CO39" s="200">
        <f>IF(AND($D39=1,$D11=0),'Allgemeine Unternehmensdaten'!$E$7*CO22*$G11*($L39+1)^(CO20)*((1+$I39)^(CO$20)),'Allgemeine Unternehmensdaten'!$E$7*CO22*$D11*$D39*($L39+1)^(CO20)*((1+$I39)^(CO$20)))</f>
        <v>0</v>
      </c>
      <c r="CP39" s="200">
        <f>IF(AND($D39=1,$D11=0),'Allgemeine Unternehmensdaten'!$E$7*CP22*$G11*($L39+1)^(CP20)*((1+$I39)^(CP$20)),'Allgemeine Unternehmensdaten'!$E$7*CP22*$D11*$D39*($L39+1)^(CP20)*((1+$I39)^(CP$20)))</f>
        <v>0</v>
      </c>
      <c r="CQ39" s="200">
        <f>IF(AND($D39=1,$D11=0),'Allgemeine Unternehmensdaten'!$E$7*CQ22*$G11*($L39+1)^(CQ20)*((1+$I39)^(CQ$20)),'Allgemeine Unternehmensdaten'!$E$7*CQ22*$D11*$D39*($L39+1)^(CQ20)*((1+$I39)^(CQ$20)))</f>
        <v>0</v>
      </c>
      <c r="CR39" s="200">
        <f>IF(AND($D39=1,$D11=0),'Allgemeine Unternehmensdaten'!$E$7*CR22*$G11*($L39+1)^(CR20)*((1+$I39)^(CR$20)),'Allgemeine Unternehmensdaten'!$E$7*CR22*$D11*$D39*($L39+1)^(CR20)*((1+$I39)^(CR$20)))</f>
        <v>0</v>
      </c>
      <c r="CS39" s="200">
        <f>IF(AND($D39=1,$D11=0),'Allgemeine Unternehmensdaten'!$E$7*CS22*$G11*($L39+1)^(CS20)*((1+$I39)^(CS$20)),'Allgemeine Unternehmensdaten'!$E$7*CS22*$D11*$D39*($L39+1)^(CS20)*((1+$I39)^(CS$20)))</f>
        <v>0</v>
      </c>
      <c r="CT39" s="200">
        <f>IF(AND($D39=1,$D11=0),'Allgemeine Unternehmensdaten'!$E$7*CT22*$G11*($L39+1)^(CT20)*((1+$I39)^(CT$20)),'Allgemeine Unternehmensdaten'!$E$7*CT22*$D11*$D39*($L39+1)^(CT20)*((1+$I39)^(CT$20)))</f>
        <v>0</v>
      </c>
      <c r="CU39" s="200">
        <f>IF(AND($D39=1,$D11=0),'Allgemeine Unternehmensdaten'!$E$7*CU22*$G11*($L39+1)^(CU20)*((1+$I39)^(CU$20)),'Allgemeine Unternehmensdaten'!$E$7*CU22*$D11*$D39*($L39+1)^(CU20)*((1+$I39)^(CU$20)))</f>
        <v>0</v>
      </c>
      <c r="CV39" s="200">
        <f>IF(AND($D39=1,$D11=0),'Allgemeine Unternehmensdaten'!$E$7*CV22*$G11*($L39+1)^(CV20)*((1+$I39)^(CV$20)),'Allgemeine Unternehmensdaten'!$E$7*CV22*$D11*$D39*($L39+1)^(CV20)*((1+$I39)^(CV$20)))</f>
        <v>0</v>
      </c>
      <c r="CW39" s="200">
        <f>IF(AND($D39=1,$D11=0),'Allgemeine Unternehmensdaten'!$E$7*CW22*$G11*($L39+1)^(CW20)*((1+$I39)^(CW$20)),'Allgemeine Unternehmensdaten'!$E$7*CW22*$D11*$D39*($L39+1)^(CW20)*((1+$I39)^(CW$20)))</f>
        <v>0</v>
      </c>
      <c r="CX39" s="200">
        <f>IF(AND($D39=1,$D11=0),'Allgemeine Unternehmensdaten'!$E$7*CX22*$G11*($L39+1)^(CX20)*((1+$I39)^(CX$20)),'Allgemeine Unternehmensdaten'!$E$7*CX22*$D11*$D39*($L39+1)^(CX20)*((1+$I39)^(CX$20)))</f>
        <v>0</v>
      </c>
      <c r="CY39" s="200">
        <f>IF(AND($D39=1,$D11=0),'Allgemeine Unternehmensdaten'!$E$7*CY22*$G11*($L39+1)^(CY20)*((1+$I39)^(CY$20)),'Allgemeine Unternehmensdaten'!$E$7*CY22*$D11*$D39*($L39+1)^(CY20)*((1+$I39)^(CY$20)))</f>
        <v>0</v>
      </c>
      <c r="CZ39" s="200">
        <f>IF(AND($D39=1,$D11=0),'Allgemeine Unternehmensdaten'!$E$7*CZ22*$G11*($L39+1)^(CZ20)*((1+$I39)^(CZ$20)),'Allgemeine Unternehmensdaten'!$E$7*CZ22*$D11*$D39*($L39+1)^(CZ20)*((1+$I39)^(CZ$20)))</f>
        <v>0</v>
      </c>
      <c r="DA39" s="200">
        <f>IF(AND($D39=1,$D11=0),'Allgemeine Unternehmensdaten'!$E$7*DA22*$G11*($L39+1)^(DA20)*((1+$I39)^(DA$20)),'Allgemeine Unternehmensdaten'!$E$7*DA22*$D11*$D39*($L39+1)^(DA20)*((1+$I39)^(DA$20)))</f>
        <v>0</v>
      </c>
      <c r="DB39" s="200">
        <f>IF(AND($D39=1,$D11=0),'Allgemeine Unternehmensdaten'!$E$7*DB22*$G11*($L39+1)^(DB20)*((1+$I39)^(DB$20)),'Allgemeine Unternehmensdaten'!$E$7*DB22*$D11*$D39*($L39+1)^(DB20)*((1+$I39)^(DB$20)))</f>
        <v>0</v>
      </c>
      <c r="DC39" s="200">
        <f>IF(AND($D39=1,$D11=0),'Allgemeine Unternehmensdaten'!$E$7*DC22*$G11*($L39+1)^(DC20)*((1+$I39)^(DC$20)),'Allgemeine Unternehmensdaten'!$E$7*DC22*$D11*$D39*($L39+1)^(DC20)*((1+$I39)^(DC$20)))</f>
        <v>0</v>
      </c>
      <c r="DD39" s="200">
        <f>IF(AND($D39=1,$D11=0),'Allgemeine Unternehmensdaten'!$E$7*DD22*$G11*($L39+1)^(DD20)*((1+$I39)^(DD$20)),'Allgemeine Unternehmensdaten'!$E$7*DD22*$D11*$D39*($L39+1)^(DD20)*((1+$I39)^(DD$20)))</f>
        <v>0</v>
      </c>
      <c r="DE39" s="200">
        <f>IF(AND($D39=1,$D11=0),'Allgemeine Unternehmensdaten'!$E$7*DE22*$G11*($L39+1)^(DE20)*((1+$I39)^(DE$20)),'Allgemeine Unternehmensdaten'!$E$7*DE22*$D11*$D39*($L39+1)^(DE20)*((1+$I39)^(DE$20)))</f>
        <v>0</v>
      </c>
      <c r="DF39" s="200">
        <f>IF(AND($D39=1,$D11=0),'Allgemeine Unternehmensdaten'!$E$7*DF22*$G11*($L39+1)^(DF20)*((1+$I39)^(DF$20)),'Allgemeine Unternehmensdaten'!$E$7*DF22*$D11*$D39*($L39+1)^(DF20)*((1+$I39)^(DF$20)))</f>
        <v>0</v>
      </c>
      <c r="DG39" s="200">
        <f>IF(AND($D39=1,$D11=0),'Allgemeine Unternehmensdaten'!$E$7*DG22*$G11*($L39+1)^(DG20)*((1+$I39)^(DG$20)),'Allgemeine Unternehmensdaten'!$E$7*DG22*$D11*$D39*($L39+1)^(DG20)*((1+$I39)^(DG$20)))</f>
        <v>0</v>
      </c>
      <c r="DH39" s="200">
        <f>IF(AND($D39=1,$D11=0),'Allgemeine Unternehmensdaten'!$E$7*DH22*$G11*($L39+1)^(DH20)*((1+$I39)^(DH$20)),'Allgemeine Unternehmensdaten'!$E$7*DH22*$D11*$D39*($L39+1)^(DH20)*((1+$I39)^(DH$20)))</f>
        <v>0</v>
      </c>
      <c r="DI39" s="200">
        <f>IF(AND($D39=1,$D11=0),'Allgemeine Unternehmensdaten'!$E$7*DI22*$G11*($L39+1)^(DI20)*((1+$I39)^(DI$20)),'Allgemeine Unternehmensdaten'!$E$7*DI22*$D11*$D39*($L39+1)^(DI20)*((1+$I39)^(DI$20)))</f>
        <v>0</v>
      </c>
      <c r="DJ39" s="200">
        <f>IF(AND($D39=1,$D11=0),'Allgemeine Unternehmensdaten'!$E$7*DJ22*$G11*($L39+1)^(DJ20)*((1+$I39)^(DJ$20)),'Allgemeine Unternehmensdaten'!$E$7*DJ22*$D11*$D39*($L39+1)^(DJ20)*((1+$I39)^(DJ$20)))</f>
        <v>0</v>
      </c>
      <c r="DK39" s="200">
        <f>IF(AND($D39=1,$D11=0),'Allgemeine Unternehmensdaten'!$E$7*DK22*$G11*($L39+1)^(DK20)*((1+$I39)^(DK$20)),'Allgemeine Unternehmensdaten'!$E$7*DK22*$D11*$D39*($L39+1)^(DK20)*((1+$I39)^(DK$20)))</f>
        <v>0</v>
      </c>
      <c r="DL39" s="200">
        <f>IF(AND($D39=1,$D11=0),'Allgemeine Unternehmensdaten'!$E$7*DL22*$G11*($L39+1)^(DL20)*((1+$I39)^(DL$20)),'Allgemeine Unternehmensdaten'!$E$7*DL22*$D11*$D39*($L39+1)^(DL20)*((1+$I39)^(DL$20)))</f>
        <v>0</v>
      </c>
      <c r="DM39" s="200">
        <f>IF(AND($D39=1,$D11=0),'Allgemeine Unternehmensdaten'!$E$7*DM22*$G11*($L39+1)^(DM20)*((1+$I39)^(DM$20)),'Allgemeine Unternehmensdaten'!$E$7*DM22*$D11*$D39*($L39+1)^(DM20)*((1+$I39)^(DM$20)))</f>
        <v>0</v>
      </c>
      <c r="DN39" s="200">
        <f>IF(AND($D39=1,$D11=0),'Allgemeine Unternehmensdaten'!$E$7*DN22*$G11*($L39+1)^(DN20)*((1+$I39)^(DN$20)),'Allgemeine Unternehmensdaten'!$E$7*DN22*$D11*$D39*($L39+1)^(DN20)*((1+$I39)^(DN$20)))</f>
        <v>0</v>
      </c>
      <c r="DO39" s="200">
        <f>IF(AND($D39=1,$D11=0),'Allgemeine Unternehmensdaten'!$E$7*DO22*$G11*($L39+1)^(DO20)*((1+$I39)^(DO$20)),'Allgemeine Unternehmensdaten'!$E$7*DO22*$D11*$D39*($L39+1)^(DO20)*((1+$I39)^(DO$20)))</f>
        <v>0</v>
      </c>
      <c r="DP39" s="200">
        <f>IF(AND($D39=1,$D11=0),'Allgemeine Unternehmensdaten'!$E$7*DP22*$G11*($L39+1)^(DP20)*((1+$I39)^(DP$20)),'Allgemeine Unternehmensdaten'!$E$7*DP22*$D11*$D39*($L39+1)^(DP20)*((1+$I39)^(DP$20)))</f>
        <v>0</v>
      </c>
      <c r="DQ39" s="200">
        <f>IF(AND($D39=1,$D11=0),'Allgemeine Unternehmensdaten'!$E$7*DQ22*$G11*($L39+1)^(DQ20)*((1+$I39)^(DQ$20)),'Allgemeine Unternehmensdaten'!$E$7*DQ22*$D11*$D39*($L39+1)^(DQ20)*((1+$I39)^(DQ$20)))</f>
        <v>0</v>
      </c>
      <c r="DR39" s="200">
        <f>IF(AND($D39=1,$D11=0),'Allgemeine Unternehmensdaten'!$E$7*DR22*$G11*($L39+1)^(DR20)*((1+$I39)^(DR$20)),'Allgemeine Unternehmensdaten'!$E$7*DR22*$D11*$D39*($L39+1)^(DR20)*((1+$I39)^(DR$20)))</f>
        <v>0</v>
      </c>
      <c r="DS39" s="200">
        <f>IF(AND($D39=1,$D11=0),'Allgemeine Unternehmensdaten'!$E$7*DS22*$G11*($L39+1)^(DS20)*((1+$I39)^(DS$20)),'Allgemeine Unternehmensdaten'!$E$7*DS22*$D11*$D39*($L39+1)^(DS20)*((1+$I39)^(DS$20)))</f>
        <v>0</v>
      </c>
      <c r="DT39" s="200">
        <f>IF(AND($D39=1,$D11=0),'Allgemeine Unternehmensdaten'!$E$7*DT22*$G11*($L39+1)^(DT20)*((1+$I39)^(DT$20)),'Allgemeine Unternehmensdaten'!$E$7*DT22*$D11*$D39*($L39+1)^(DT20)*((1+$I39)^(DT$20)))</f>
        <v>0</v>
      </c>
      <c r="DU39" s="200">
        <f>IF(AND($D39=1,$D11=0),'Allgemeine Unternehmensdaten'!$E$7*DU22*$G11*($L39+1)^(DU20)*((1+$I39)^(DU$20)),'Allgemeine Unternehmensdaten'!$E$7*DU22*$D11*$D39*($L39+1)^(DU20)*((1+$I39)^(DU$20)))</f>
        <v>0</v>
      </c>
      <c r="DV39" s="200">
        <f>IF(AND($D39=1,$D11=0),'Allgemeine Unternehmensdaten'!$E$7*DV22*$G11*($L39+1)^(DV20)*((1+$I39)^(DV$20)),'Allgemeine Unternehmensdaten'!$E$7*DV22*$D11*$D39*($L39+1)^(DV20)*((1+$I39)^(DV$20)))</f>
        <v>0</v>
      </c>
      <c r="DW39" s="200">
        <f>IF(AND($D39=1,$D11=0),'Allgemeine Unternehmensdaten'!$E$7*DW22*$G11*($L39+1)^(DW20)*((1+$I39)^(DW$20)),'Allgemeine Unternehmensdaten'!$E$7*DW22*$D11*$D39*($L39+1)^(DW20)*((1+$I39)^(DW$20)))</f>
        <v>0</v>
      </c>
      <c r="DX39" s="200">
        <f>IF(AND($D39=1,$D11=0),'Allgemeine Unternehmensdaten'!$E$7*DX22*$G11*($L39+1)^(DX20)*((1+$I39)^(DX$20)),'Allgemeine Unternehmensdaten'!$E$7*DX22*$D11*$D39*($L39+1)^(DX20)*((1+$I39)^(DX$20)))</f>
        <v>0</v>
      </c>
      <c r="DZ39" s="199" t="str">
        <f t="shared" si="22"/>
        <v>Mehrverbrauch Strom in %</v>
      </c>
      <c r="EA39" s="200">
        <f>IF(AND($F39=1,$F11=0),'Allgemeine Unternehmensdaten'!$G$7*EA22*$I11*($N39+1)^(EA20)*((1+$K39)^(EA$20)),'Allgemeine Unternehmensdaten'!$G$7*EA22*$F11*$F39*($N39+1)^(EA20)*((1+$K39)^(EA$20)))</f>
        <v>0</v>
      </c>
      <c r="EB39" s="200">
        <f>IF(AND($F39=1,$F11=0),'Allgemeine Unternehmensdaten'!$G$7*EB22*$I11*($N39+1)^(EB20)*((1+$K39)^(EB$20)),'Allgemeine Unternehmensdaten'!$G$7*EB22*$F11*$F39*($N39+1)^(EB20)*((1+$K39)^(EB$20)))</f>
        <v>0</v>
      </c>
      <c r="EC39" s="200">
        <f>IF(AND($F39=1,$F11=0),'Allgemeine Unternehmensdaten'!$G$7*EC22*$I11*($N39+1)^(EC20)*((1+$K39)^(EC$20)),'Allgemeine Unternehmensdaten'!$G$7*EC22*$F11*$F39*($N39+1)^(EC20)*((1+$K39)^(EC$20)))</f>
        <v>0</v>
      </c>
      <c r="ED39" s="200">
        <f>IF(AND($F39=1,$F11=0),'Allgemeine Unternehmensdaten'!$G$7*ED22*$I11*($N39+1)^(ED20)*((1+$K39)^(ED$20)),'Allgemeine Unternehmensdaten'!$G$7*ED22*$F11*$F39*($N39+1)^(ED20)*((1+$K39)^(ED$20)))</f>
        <v>0</v>
      </c>
      <c r="EE39" s="200">
        <f>IF(AND($F39=1,$F11=0),'Allgemeine Unternehmensdaten'!$G$7*EE22*$I11*($N39+1)^(EE20)*((1+$K39)^(EE$20)),'Allgemeine Unternehmensdaten'!$G$7*EE22*$F11*$F39*($N39+1)^(EE20)*((1+$K39)^(EE$20)))</f>
        <v>0</v>
      </c>
      <c r="EF39" s="200">
        <f>IF(AND($F39=1,$F11=0),'Allgemeine Unternehmensdaten'!$G$7*EF22*$I11*($N39+1)^(EF20)*((1+$K39)^(EF$20)),'Allgemeine Unternehmensdaten'!$G$7*EF22*$F11*$F39*($N39+1)^(EF20)*((1+$K39)^(EF$20)))</f>
        <v>0</v>
      </c>
      <c r="EG39" s="200">
        <f>IF(AND($F39=1,$F11=0),'Allgemeine Unternehmensdaten'!$G$7*EG22*$I11*($N39+1)^(EG20)*((1+$K39)^(EG$20)),'Allgemeine Unternehmensdaten'!$G$7*EG22*$F11*$F39*($N39+1)^(EG20)*((1+$K39)^(EG$20)))</f>
        <v>0</v>
      </c>
      <c r="EH39" s="200">
        <f>IF(AND($F39=1,$F11=0),'Allgemeine Unternehmensdaten'!$G$7*EH22*$I11*($N39+1)^(EH20)*((1+$K39)^(EH$20)),'Allgemeine Unternehmensdaten'!$G$7*EH22*$F11*$F39*($N39+1)^(EH20)*((1+$K39)^(EH$20)))</f>
        <v>0</v>
      </c>
      <c r="EI39" s="200">
        <f>IF(AND($F39=1,$F11=0),'Allgemeine Unternehmensdaten'!$G$7*EI22*$I11*($N39+1)^(EI20)*((1+$K39)^(EI$20)),'Allgemeine Unternehmensdaten'!$G$7*EI22*$F11*$F39*($N39+1)^(EI20)*((1+$K39)^(EI$20)))</f>
        <v>0</v>
      </c>
      <c r="EJ39" s="200">
        <f>IF(AND($F39=1,$F11=0),'Allgemeine Unternehmensdaten'!$G$7*EJ22*$I11*($N39+1)^(EJ20)*((1+$K39)^(EJ$20)),'Allgemeine Unternehmensdaten'!$G$7*EJ22*$F11*$F39*($N39+1)^(EJ20)*((1+$K39)^(EJ$20)))</f>
        <v>0</v>
      </c>
      <c r="EK39" s="200">
        <f>IF(AND($F39=1,$F11=0),'Allgemeine Unternehmensdaten'!$G$7*EK22*$I11*($N39+1)^(EK20)*((1+$K39)^(EK$20)),'Allgemeine Unternehmensdaten'!$G$7*EK22*$F11*$F39*($N39+1)^(EK20)*((1+$K39)^(EK$20)))</f>
        <v>0</v>
      </c>
      <c r="EL39" s="200">
        <f>IF(AND($F39=1,$F11=0),'Allgemeine Unternehmensdaten'!$G$7*EL22*$I11*($N39+1)^(EL20)*((1+$K39)^(EL$20)),'Allgemeine Unternehmensdaten'!$G$7*EL22*$F11*$F39*($N39+1)^(EL20)*((1+$K39)^(EL$20)))</f>
        <v>0</v>
      </c>
      <c r="EM39" s="200">
        <f>IF(AND($F39=1,$F11=0),'Allgemeine Unternehmensdaten'!$G$7*EM22*$I11*($N39+1)^(EM20)*((1+$K39)^(EM$20)),'Allgemeine Unternehmensdaten'!$G$7*EM22*$F11*$F39*($N39+1)^(EM20)*((1+$K39)^(EM$20)))</f>
        <v>0</v>
      </c>
      <c r="EN39" s="200">
        <f>IF(AND($F39=1,$F11=0),'Allgemeine Unternehmensdaten'!$G$7*EN22*$I11*($N39+1)^(EN20)*((1+$K39)^(EN$20)),'Allgemeine Unternehmensdaten'!$G$7*EN22*$F11*$F39*($N39+1)^(EN20)*((1+$K39)^(EN$20)))</f>
        <v>0</v>
      </c>
      <c r="EO39" s="200">
        <f>IF(AND($F39=1,$F11=0),'Allgemeine Unternehmensdaten'!$G$7*EO22*$I11*($N39+1)^(EO20)*((1+$K39)^(EO$20)),'Allgemeine Unternehmensdaten'!$G$7*EO22*$F11*$F39*($N39+1)^(EO20)*((1+$K39)^(EO$20)))</f>
        <v>0</v>
      </c>
      <c r="EP39" s="200">
        <f>IF(AND($F39=1,$F11=0),'Allgemeine Unternehmensdaten'!$G$7*EP22*$I11*($N39+1)^(EP20)*((1+$K39)^(EP$20)),'Allgemeine Unternehmensdaten'!$G$7*EP22*$F11*$F39*($N39+1)^(EP20)*((1+$K39)^(EP$20)))</f>
        <v>0</v>
      </c>
      <c r="EQ39" s="200">
        <f>IF(AND($F39=1,$F11=0),'Allgemeine Unternehmensdaten'!$G$7*EQ22*$I11*($N39+1)^(EQ20)*((1+$K39)^(EQ$20)),'Allgemeine Unternehmensdaten'!$G$7*EQ22*$F11*$F39*($N39+1)^(EQ20)*((1+$K39)^(EQ$20)))</f>
        <v>0</v>
      </c>
      <c r="ER39" s="200">
        <f>IF(AND($F39=1,$F11=0),'Allgemeine Unternehmensdaten'!$G$7*ER22*$I11*($N39+1)^(ER20)*((1+$K39)^(ER$20)),'Allgemeine Unternehmensdaten'!$G$7*ER22*$F11*$F39*($N39+1)^(ER20)*((1+$K39)^(ER$20)))</f>
        <v>0</v>
      </c>
      <c r="ES39" s="200">
        <f>IF(AND($F39=1,$F11=0),'Allgemeine Unternehmensdaten'!$G$7*ES22*$I11*($N39+1)^(ES20)*((1+$K39)^(ES$20)),'Allgemeine Unternehmensdaten'!$G$7*ES22*$F11*$F39*($N39+1)^(ES20)*((1+$K39)^(ES$20)))</f>
        <v>0</v>
      </c>
      <c r="ET39" s="200">
        <f>IF(AND($F39=1,$F11=0),'Allgemeine Unternehmensdaten'!$G$7*ET22*$I11*($N39+1)^(ET20)*((1+$K39)^(ET$20)),'Allgemeine Unternehmensdaten'!$G$7*ET22*$F11*$F39*($N39+1)^(ET20)*((1+$K39)^(ET$20)))</f>
        <v>0</v>
      </c>
      <c r="EU39" s="200">
        <f>IF(AND($F39=1,$F11=0),'Allgemeine Unternehmensdaten'!$G$7*EU22*$I11*($N39+1)^(EU20)*((1+$K39)^(EU$20)),'Allgemeine Unternehmensdaten'!$G$7*EU22*$F11*$F39*($N39+1)^(EU20)*((1+$K39)^(EU$20)))</f>
        <v>0</v>
      </c>
      <c r="EV39" s="200">
        <f>IF(AND($F39=1,$F11=0),'Allgemeine Unternehmensdaten'!$G$7*EV22*$I11*($N39+1)^(EV20)*((1+$K39)^(EV$20)),'Allgemeine Unternehmensdaten'!$G$7*EV22*$F11*$F39*($N39+1)^(EV20)*((1+$K39)^(EV$20)))</f>
        <v>0</v>
      </c>
      <c r="EW39" s="200">
        <f>IF(AND($F39=1,$F11=0),'Allgemeine Unternehmensdaten'!$G$7*EW22*$I11*($N39+1)^(EW20)*((1+$K39)^(EW$20)),'Allgemeine Unternehmensdaten'!$G$7*EW22*$F11*$F39*($N39+1)^(EW20)*((1+$K39)^(EW$20)))</f>
        <v>0</v>
      </c>
      <c r="EX39" s="200">
        <f>IF(AND($F39=1,$F11=0),'Allgemeine Unternehmensdaten'!$G$7*EX22*$I11*($N39+1)^(EX20)*((1+$K39)^(EX$20)),'Allgemeine Unternehmensdaten'!$G$7*EX22*$F11*$F39*($N39+1)^(EX20)*((1+$K39)^(EX$20)))</f>
        <v>0</v>
      </c>
      <c r="EY39" s="200">
        <f>IF(AND($F39=1,$F11=0),'Allgemeine Unternehmensdaten'!$G$7*EY22*$I11*($N39+1)^(EY20)*((1+$K39)^(EY$20)),'Allgemeine Unternehmensdaten'!$G$7*EY22*$F11*$F39*($N39+1)^(EY20)*((1+$K39)^(EY$20)))</f>
        <v>0</v>
      </c>
      <c r="EZ39" s="200">
        <f>IF(AND($F39=1,$F11=0),'Allgemeine Unternehmensdaten'!$G$7*EZ22*$I11*($N39+1)^(EZ20)*((1+$K39)^(EZ$20)),'Allgemeine Unternehmensdaten'!$G$7*EZ22*$F11*$F39*($N39+1)^(EZ20)*((1+$K39)^(EZ$20)))</f>
        <v>0</v>
      </c>
      <c r="FA39" s="200">
        <f>IF(AND($F39=1,$F11=0),'Allgemeine Unternehmensdaten'!$G$7*FA22*$I11*($N39+1)^(FA20)*((1+$K39)^(FA$20)),'Allgemeine Unternehmensdaten'!$G$7*FA22*$F11*$F39*($N39+1)^(FA20)*((1+$K39)^(FA$20)))</f>
        <v>0</v>
      </c>
      <c r="FB39" s="200">
        <f>IF(AND($F39=1,$F11=0),'Allgemeine Unternehmensdaten'!$G$7*FB22*$I11*($N39+1)^(FB20)*((1+$K39)^(FB$20)),'Allgemeine Unternehmensdaten'!$G$7*FB22*$F11*$F39*($N39+1)^(FB20)*((1+$K39)^(FB$20)))</f>
        <v>0</v>
      </c>
      <c r="FC39" s="200">
        <f>IF(AND($F39=1,$F11=0),'Allgemeine Unternehmensdaten'!$G$7*FC22*$I11*($N39+1)^(FC20)*((1+$K39)^(FC$20)),'Allgemeine Unternehmensdaten'!$G$7*FC22*$F11*$F39*($N39+1)^(FC20)*((1+$K39)^(FC$20)))</f>
        <v>0</v>
      </c>
      <c r="FD39" s="200">
        <f>IF(AND($F39=1,$F11=0),'Allgemeine Unternehmensdaten'!$G$7*FD22*$I11*($N39+1)^(FD20)*((1+$K39)^(FD$20)),'Allgemeine Unternehmensdaten'!$G$7*FD22*$F11*$F39*($N39+1)^(FD20)*((1+$K39)^(FD$20)))</f>
        <v>0</v>
      </c>
      <c r="FE39" s="200">
        <f>IF(AND($F39=1,$F11=0),'Allgemeine Unternehmensdaten'!$G$7*FE22*$I11*($N39+1)^(FE20)*((1+$K39)^(FE$20)),'Allgemeine Unternehmensdaten'!$G$7*FE22*$F11*$F39*($N39+1)^(FE20)*((1+$K39)^(FE$20)))</f>
        <v>0</v>
      </c>
      <c r="FF39" s="200">
        <f>IF(AND($F39=1,$F11=0),'Allgemeine Unternehmensdaten'!$G$7*FF22*$I11*($N39+1)^(FF20)*((1+$K39)^(FF$20)),'Allgemeine Unternehmensdaten'!$G$7*FF22*$F11*$F39*($N39+1)^(FF20)*((1+$K39)^(FF$20)))</f>
        <v>0</v>
      </c>
      <c r="FG39" s="200">
        <f>IF(AND($F39=1,$F11=0),'Allgemeine Unternehmensdaten'!$G$7*FG22*$I11*($N39+1)^(FG20)*((1+$K39)^(FG$20)),'Allgemeine Unternehmensdaten'!$G$7*FG22*$F11*$F39*($N39+1)^(FG20)*((1+$K39)^(FG$20)))</f>
        <v>0</v>
      </c>
      <c r="FH39" s="200">
        <f>IF(AND($F39=1,$F11=0),'Allgemeine Unternehmensdaten'!$G$7*FH22*$I11*($N39+1)^(FH20)*((1+$K39)^(FH$20)),'Allgemeine Unternehmensdaten'!$G$7*FH22*$F11*$F39*($N39+1)^(FH20)*((1+$K39)^(FH$20)))</f>
        <v>0</v>
      </c>
      <c r="FI39" s="200">
        <f>IF(AND($F39=1,$F11=0),'Allgemeine Unternehmensdaten'!$G$7*FI22*$I11*($N39+1)^(FI20)*((1+$K39)^(FI$20)),'Allgemeine Unternehmensdaten'!$G$7*FI22*$F11*$F39*($N39+1)^(FI20)*((1+$K39)^(FI$20)))</f>
        <v>0</v>
      </c>
      <c r="FJ39" s="200">
        <f>IF(AND($F39=1,$F11=0),'Allgemeine Unternehmensdaten'!$G$7*FJ22*$I11*($N39+1)^(FJ20)*((1+$K39)^(FJ$20)),'Allgemeine Unternehmensdaten'!$G$7*FJ22*$F11*$F39*($N39+1)^(FJ20)*((1+$K39)^(FJ$20)))</f>
        <v>0</v>
      </c>
      <c r="FK39" s="200">
        <f>IF(AND($F39=1,$F11=0),'Allgemeine Unternehmensdaten'!$G$7*FK22*$I11*($N39+1)^(FK20)*((1+$K39)^(FK$20)),'Allgemeine Unternehmensdaten'!$G$7*FK22*$F11*$F39*($N39+1)^(FK20)*((1+$K39)^(FK$20)))</f>
        <v>0</v>
      </c>
      <c r="FL39" s="200">
        <f>IF(AND($F39=1,$F11=0),'Allgemeine Unternehmensdaten'!$G$7*FL22*$I11*($N39+1)^(FL20)*((1+$K39)^(FL$20)),'Allgemeine Unternehmensdaten'!$G$7*FL22*$F11*$F39*($N39+1)^(FL20)*((1+$K39)^(FL$20)))</f>
        <v>0</v>
      </c>
      <c r="FM39" s="200">
        <f>IF(AND($F39=1,$F11=0),'Allgemeine Unternehmensdaten'!$G$7*FM22*$I11*($N39+1)^(FM20)*((1+$K39)^(FM$20)),'Allgemeine Unternehmensdaten'!$G$7*FM22*$F11*$F39*($N39+1)^(FM20)*((1+$K39)^(FM$20)))</f>
        <v>0</v>
      </c>
      <c r="FN39" s="200">
        <f>IF(AND($F39=1,$F11=0),'Allgemeine Unternehmensdaten'!$G$7*FN22*$I11*($N39+1)^(FN20)*((1+$K39)^(FN$20)),'Allgemeine Unternehmensdaten'!$G$7*FN22*$F11*$F39*($N39+1)^(FN20)*((1+$K39)^(FN$20)))</f>
        <v>0</v>
      </c>
      <c r="FO39" s="200">
        <f>IF(AND($F39=1,$F11=0),'Allgemeine Unternehmensdaten'!$G$7*FO22*$I11*($N39+1)^(FO20)*((1+$K39)^(FO$20)),'Allgemeine Unternehmensdaten'!$G$7*FO22*$F11*$F39*($N39+1)^(FO20)*((1+$K39)^(FO$20)))</f>
        <v>0</v>
      </c>
      <c r="FP39" s="200">
        <f>IF(AND($F39=1,$F11=0),'Allgemeine Unternehmensdaten'!$G$7*FP22*$I11*($N39+1)^(FP20)*((1+$K39)^(FP$20)),'Allgemeine Unternehmensdaten'!$G$7*FP22*$F11*$F39*($N39+1)^(FP20)*((1+$K39)^(FP$20)))</f>
        <v>0</v>
      </c>
      <c r="FQ39" s="200">
        <f>IF(AND($F39=1,$F11=0),'Allgemeine Unternehmensdaten'!$G$7*FQ22*$I11*($N39+1)^(FQ20)*((1+$K39)^(FQ$20)),'Allgemeine Unternehmensdaten'!$G$7*FQ22*$F11*$F39*($N39+1)^(FQ20)*((1+$K39)^(FQ$20)))</f>
        <v>0</v>
      </c>
      <c r="FR39" s="200">
        <f>IF(AND($F39=1,$F11=0),'Allgemeine Unternehmensdaten'!$G$7*FR22*$I11*($N39+1)^(FR20)*((1+$K39)^(FR$20)),'Allgemeine Unternehmensdaten'!$G$7*FR22*$F11*$F39*($N39+1)^(FR20)*((1+$K39)^(FR$20)))</f>
        <v>0</v>
      </c>
      <c r="FS39" s="200">
        <f>IF(AND($F39=1,$F11=0),'Allgemeine Unternehmensdaten'!$G$7*FS22*$I11*($N39+1)^(FS20)*((1+$K39)^(FS$20)),'Allgemeine Unternehmensdaten'!$G$7*FS22*$F11*$F39*($N39+1)^(FS20)*((1+$K39)^(FS$20)))</f>
        <v>0</v>
      </c>
      <c r="FT39" s="200">
        <f>IF(AND($F39=1,$F11=0),'Allgemeine Unternehmensdaten'!$G$7*FT22*$I11*($N39+1)^(FT20)*((1+$K39)^(FT$20)),'Allgemeine Unternehmensdaten'!$G$7*FT22*$F11*$F39*($N39+1)^(FT20)*((1+$K39)^(FT$20)))</f>
        <v>0</v>
      </c>
      <c r="FU39" s="200">
        <f>IF(AND($F39=1,$F11=0),'Allgemeine Unternehmensdaten'!$G$7*FU22*$I11*($N39+1)^(FU20)*((1+$K39)^(FU$20)),'Allgemeine Unternehmensdaten'!$G$7*FU22*$F11*$F39*($N39+1)^(FU20)*((1+$K39)^(FU$20)))</f>
        <v>0</v>
      </c>
      <c r="FV39" s="200">
        <f>IF(AND($F39=1,$F11=0),'Allgemeine Unternehmensdaten'!$G$7*FV22*$I11*($N39+1)^(FV20)*((1+$K39)^(FV$20)),'Allgemeine Unternehmensdaten'!$G$7*FV22*$F11*$F39*($N39+1)^(FV20)*((1+$K39)^(FV$20)))</f>
        <v>0</v>
      </c>
      <c r="FW39" s="200">
        <f>IF(AND($F39=1,$F11=0),'Allgemeine Unternehmensdaten'!$G$7*FW22*$I11*($N39+1)^(FW20)*((1+$K39)^(FW$20)),'Allgemeine Unternehmensdaten'!$G$7*FW22*$F11*$F39*($N39+1)^(FW20)*((1+$K39)^(FW$20)))</f>
        <v>0</v>
      </c>
      <c r="FX39" s="200">
        <f>IF(AND($F39=1,$F11=0),'Allgemeine Unternehmensdaten'!$G$7*FX22*$I11*($N39+1)^(FX20)*((1+$K39)^(FX$20)),'Allgemeine Unternehmensdaten'!$G$7*FX22*$F11*$F39*($N39+1)^(FX20)*((1+$K39)^(FX$20)))</f>
        <v>0</v>
      </c>
      <c r="FY39" s="200">
        <f>IF(AND($F39=1,$F11=0),'Allgemeine Unternehmensdaten'!$G$7*FY22*$I11*($N39+1)^(FY20)*((1+$K39)^(FY$20)),'Allgemeine Unternehmensdaten'!$G$7*FY22*$F11*$F39*($N39+1)^(FY20)*((1+$K39)^(FY$20)))</f>
        <v>0</v>
      </c>
      <c r="FZ39" s="200">
        <f>IF(AND($F39=1,$F11=0),'Allgemeine Unternehmensdaten'!$G$7*FZ22*$I11*($N39+1)^(FZ20)*((1+$K39)^(FZ$20)),'Allgemeine Unternehmensdaten'!$G$7*FZ22*$F11*$F39*($N39+1)^(FZ20)*((1+$K39)^(FZ$20)))</f>
        <v>0</v>
      </c>
      <c r="GA39" s="200">
        <f>IF(AND($F39=1,$F11=0),'Allgemeine Unternehmensdaten'!$G$7*GA22*$I11*($N39+1)^(GA20)*((1+$K39)^(GA$20)),'Allgemeine Unternehmensdaten'!$G$7*GA22*$F11*$F39*($N39+1)^(GA20)*((1+$K39)^(GA$20)))</f>
        <v>0</v>
      </c>
      <c r="GB39" s="200">
        <f>IF(AND($F39=1,$F11=0),'Allgemeine Unternehmensdaten'!$G$7*GB22*$I11*($N39+1)^(GB20)*((1+$K39)^(GB$20)),'Allgemeine Unternehmensdaten'!$G$7*GB22*$F11*$F39*($N39+1)^(GB20)*((1+$K39)^(GB$20)))</f>
        <v>0</v>
      </c>
    </row>
    <row r="40" spans="1:184" ht="17.25" customHeight="1" x14ac:dyDescent="0.5">
      <c r="A40" s="88"/>
      <c r="B40" s="323"/>
      <c r="C40" s="101" t="s">
        <v>137</v>
      </c>
      <c r="D40" s="191">
        <f t="array" ref="D40">IFERROR(_xlfn.IFS(D12&gt;=G12,0,D12=0,1),(G12-D12)/D12)</f>
        <v>0</v>
      </c>
      <c r="E40" s="191">
        <f t="array" ref="E40">IFERROR(_xlfn.IFS(E12&gt;=H12,0,E12=0,1),(H12-E12)/E12)</f>
        <v>0</v>
      </c>
      <c r="F40" s="191">
        <f t="array" ref="F40">IFERROR(_xlfn.IFS(F12&gt;=I12,0,F12=0,1),(I12-F12)/F12)</f>
        <v>0</v>
      </c>
      <c r="G40" s="171">
        <v>99</v>
      </c>
      <c r="H40" s="201">
        <v>99</v>
      </c>
      <c r="I40" s="154">
        <v>0</v>
      </c>
      <c r="J40" s="155">
        <v>0</v>
      </c>
      <c r="K40" s="156">
        <v>0</v>
      </c>
      <c r="L40" s="168">
        <f>'Allgemeine Unternehmensdaten'!$E$14</f>
        <v>0.04</v>
      </c>
      <c r="M40" s="165">
        <f>'Allgemeine Unternehmensdaten'!$F$14</f>
        <v>0.03</v>
      </c>
      <c r="N40" s="166">
        <f>'Allgemeine Unternehmensdaten'!$G$14</f>
        <v>0.02</v>
      </c>
      <c r="R40" s="199" t="str">
        <f t="shared" si="16"/>
        <v>Mehrverbrauch Gas in %</v>
      </c>
      <c r="S40" s="200">
        <f>IF(AND($E40=1,$E12=0),'Allgemeine Unternehmensdaten'!$F$13*S$22*$H12*($M40+1)^(S$20)*((1+$J40)^(S$20)),'Allgemeine Unternehmensdaten'!$F$13*S22*$E12*$E40*($M40+1)^(S$20)*((1+$J40)^(S$20)))</f>
        <v>0</v>
      </c>
      <c r="T40" s="200">
        <f>IF(AND($E40=1,$E12=0),'Allgemeine Unternehmensdaten'!$F$13*T$22*$H12*($M40+1)^(T$20)*((1+$J40)^(T$20)),'Allgemeine Unternehmensdaten'!$F$13*T22*$E12*$E40*($M40+1)^(T$20)*((1+$J40)^(T$20)))</f>
        <v>0</v>
      </c>
      <c r="U40" s="200">
        <f>IF(AND($E40=1,$E12=0),'Allgemeine Unternehmensdaten'!$F$13*U$22*$H12*($M40+1)^(U$20)*((1+$J40)^(U$20)),'Allgemeine Unternehmensdaten'!$F$13*U22*$E12*$E40*($M40+1)^(U$20)*((1+$J40)^(U$20)))</f>
        <v>0</v>
      </c>
      <c r="V40" s="200">
        <f>IF(AND($E40=1,$E12=0),'Allgemeine Unternehmensdaten'!$F$13*V$22*$H12*($M40+1)^(V$20)*((1+$J40)^(V$20)),'Allgemeine Unternehmensdaten'!$F$13*V22*$E12*$E40*($M40+1)^(V$20)*((1+$J40)^(V$20)))</f>
        <v>0</v>
      </c>
      <c r="W40" s="200">
        <f>IF(AND($E40=1,$E12=0),'Allgemeine Unternehmensdaten'!$F$13*W$22*$H12*($M40+1)^(W$20)*((1+$J40)^(W$20)),'Allgemeine Unternehmensdaten'!$F$13*W22*$E12*$E40*($M40+1)^(W$20)*((1+$J40)^(W$20)))</f>
        <v>0</v>
      </c>
      <c r="X40" s="200">
        <f>IF(AND($E40=1,$E12=0),'Allgemeine Unternehmensdaten'!$F$13*X$22*$H12*($M40+1)^(X$20)*((1+$J40)^(X$20)),'Allgemeine Unternehmensdaten'!$F$13*X22*$E12*$E40*($M40+1)^(X$20)*((1+$J40)^(X$20)))</f>
        <v>0</v>
      </c>
      <c r="Y40" s="200">
        <f>IF(AND($E40=1,$E12=0),'Allgemeine Unternehmensdaten'!$F$13*Y$22*$H12*($M40+1)^(Y$20)*((1+$J40)^(Y$20)),'Allgemeine Unternehmensdaten'!$F$13*Y22*$E12*$E40*($M40+1)^(Y$20)*((1+$J40)^(Y$20)))</f>
        <v>0</v>
      </c>
      <c r="Z40" s="200">
        <f>IF(AND($E40=1,$E12=0),'Allgemeine Unternehmensdaten'!$F$13*Z$22*$H12*($M40+1)^(Z$20)*((1+$J40)^(Z$20)),'Allgemeine Unternehmensdaten'!$F$13*Z22*$E12*$E40*($M40+1)^(Z$20)*((1+$J40)^(Z$20)))</f>
        <v>0</v>
      </c>
      <c r="AA40" s="200">
        <f>IF(AND($E40=1,$E12=0),'Allgemeine Unternehmensdaten'!$F$13*AA$22*$H12*($M40+1)^(AA$20)*((1+$J40)^(AA$20)),'Allgemeine Unternehmensdaten'!$F$13*AA22*$E12*$E40*($M40+1)^(AA$20)*((1+$J40)^(AA$20)))</f>
        <v>0</v>
      </c>
      <c r="AB40" s="200">
        <f>IF(AND($E40=1,$E12=0),'Allgemeine Unternehmensdaten'!$F$13*AB$22*$H12*($M40+1)^(AB$20)*((1+$J40)^(AB$20)),'Allgemeine Unternehmensdaten'!$F$13*AB22*$E12*$E40*($M40+1)^(AB$20)*((1+$J40)^(AB$20)))</f>
        <v>0</v>
      </c>
      <c r="AC40" s="200">
        <f>IF(AND($E40=1,$E12=0),'Allgemeine Unternehmensdaten'!$F$13*AC$22*$H12*($M40+1)^(AC$20)*((1+$J40)^(AC$20)),'Allgemeine Unternehmensdaten'!$F$13*AC22*$E12*$E40*($M40+1)^(AC$20)*((1+$J40)^(AC$20)))</f>
        <v>0</v>
      </c>
      <c r="AD40" s="200">
        <f>IF(AND($E40=1,$E12=0),'Allgemeine Unternehmensdaten'!$F$13*AD$22*$H12*($M40+1)^(AD$20)*((1+$J40)^(AD$20)),'Allgemeine Unternehmensdaten'!$F$13*AD22*$E12*$E40*($M40+1)^(AD$20)*((1+$J40)^(AD$20)))</f>
        <v>0</v>
      </c>
      <c r="AE40" s="200">
        <f>IF(AND($E40=1,$E12=0),'Allgemeine Unternehmensdaten'!$F$13*AE$22*$H12*($M40+1)^(AE$20)*((1+$J40)^(AE$20)),'Allgemeine Unternehmensdaten'!$F$13*AE22*$E12*$E40*($M40+1)^(AE$20)*((1+$J40)^(AE$20)))</f>
        <v>0</v>
      </c>
      <c r="AF40" s="200">
        <f>IF(AND($E40=1,$E12=0),'Allgemeine Unternehmensdaten'!$F$13*AF$22*$H12*($M40+1)^(AF$20)*((1+$J40)^(AF$20)),'Allgemeine Unternehmensdaten'!$F$13*AF22*$E12*$E40*($M40+1)^(AF$20)*((1+$J40)^(AF$20)))</f>
        <v>0</v>
      </c>
      <c r="AG40" s="200">
        <f>IF(AND($E40=1,$E12=0),'Allgemeine Unternehmensdaten'!$F$13*AG$22*$H12*($M40+1)^(AG$20)*((1+$J40)^(AG$20)),'Allgemeine Unternehmensdaten'!$F$13*AG22*$E12*$E40*($M40+1)^(AG$20)*((1+$J40)^(AG$20)))</f>
        <v>0</v>
      </c>
      <c r="AH40" s="200">
        <f>IF(AND($E40=1,$E12=0),'Allgemeine Unternehmensdaten'!$F$13*AH$22*$H12*($M40+1)^(AH$20)*((1+$J40)^(AH$20)),'Allgemeine Unternehmensdaten'!$F$13*AH22*$E12*$E40*($M40+1)^(AH$20)*((1+$J40)^(AH$20)))</f>
        <v>0</v>
      </c>
      <c r="AI40" s="200">
        <f>IF(AND($E40=1,$E12=0),'Allgemeine Unternehmensdaten'!$F$13*AI$22*$H12*($M40+1)^(AI$20)*((1+$J40)^(AI$20)),'Allgemeine Unternehmensdaten'!$F$13*AI22*$E12*$E40*($M40+1)^(AI$20)*((1+$J40)^(AI$20)))</f>
        <v>0</v>
      </c>
      <c r="AJ40" s="200">
        <f>IF(AND($E40=1,$E12=0),'Allgemeine Unternehmensdaten'!$F$13*AJ$22*$H12*($M40+1)^(AJ$20)*((1+$J40)^(AJ$20)),'Allgemeine Unternehmensdaten'!$F$13*AJ22*$E12*$E40*($M40+1)^(AJ$20)*((1+$J40)^(AJ$20)))</f>
        <v>0</v>
      </c>
      <c r="AK40" s="200">
        <f>IF(AND($E40=1,$E12=0),'Allgemeine Unternehmensdaten'!$F$13*AK$22*$H12*($M40+1)^(AK$20)*((1+$J40)^(AK$20)),'Allgemeine Unternehmensdaten'!$F$13*AK22*$E12*$E40*($M40+1)^(AK$20)*((1+$J40)^(AK$20)))</f>
        <v>0</v>
      </c>
      <c r="AL40" s="200">
        <f>IF(AND($E40=1,$E12=0),'Allgemeine Unternehmensdaten'!$F$13*AL$22*$H12*($M40+1)^(AL$20)*((1+$J40)^(AL$20)),'Allgemeine Unternehmensdaten'!$F$13*AL22*$E12*$E40*($M40+1)^(AL$20)*((1+$J40)^(AL$20)))</f>
        <v>0</v>
      </c>
      <c r="AM40" s="200">
        <f>IF(AND($E40=1,$E12=0),'Allgemeine Unternehmensdaten'!$F$13*AM$22*$H12*($M40+1)^(AM$20)*((1+$J40)^(AM$20)),'Allgemeine Unternehmensdaten'!$F$13*AM22*$E12*$E40*($M40+1)^(AM$20)*((1+$J40)^(AM$20)))</f>
        <v>0</v>
      </c>
      <c r="AN40" s="200">
        <f>IF(AND($E40=1,$E12=0),'Allgemeine Unternehmensdaten'!$F$13*AN$22*$H12*($M40+1)^(AN$20)*((1+$J40)^(AN$20)),'Allgemeine Unternehmensdaten'!$F$13*AN22*$E12*$E40*($M40+1)^(AN$20)*((1+$J40)^(AN$20)))</f>
        <v>0</v>
      </c>
      <c r="AO40" s="200">
        <f>IF(AND($E40=1,$E12=0),'Allgemeine Unternehmensdaten'!$F$13*AO$22*$H12*($M40+1)^(AO$20)*((1+$J40)^(AO$20)),'Allgemeine Unternehmensdaten'!$F$13*AO22*$E12*$E40*($M40+1)^(AO$20)*((1+$J40)^(AO$20)))</f>
        <v>0</v>
      </c>
      <c r="AP40" s="200">
        <f>IF(AND($E40=1,$E12=0),'Allgemeine Unternehmensdaten'!$F$13*AP$22*$H12*($M40+1)^(AP$20)*((1+$J40)^(AP$20)),'Allgemeine Unternehmensdaten'!$F$13*AP22*$E12*$E40*($M40+1)^(AP$20)*((1+$J40)^(AP$20)))</f>
        <v>0</v>
      </c>
      <c r="AQ40" s="200">
        <f>IF(AND($E40=1,$E12=0),'Allgemeine Unternehmensdaten'!$F$13*AQ$22*$H12*($M40+1)^(AQ$20)*((1+$J40)^(AQ$20)),'Allgemeine Unternehmensdaten'!$F$13*AQ22*$E12*$E40*($M40+1)^(AQ$20)*((1+$J40)^(AQ$20)))</f>
        <v>0</v>
      </c>
      <c r="AR40" s="200">
        <f>IF(AND($E40=1,$E12=0),'Allgemeine Unternehmensdaten'!$F$13*AR$22*$H12*($M40+1)^(AR$20)*((1+$J40)^(AR$20)),'Allgemeine Unternehmensdaten'!$F$13*AR22*$E12*$E40*($M40+1)^(AR$20)*((1+$J40)^(AR$20)))</f>
        <v>0</v>
      </c>
      <c r="AS40" s="200">
        <f>IF(AND($E40=1,$E12=0),'Allgemeine Unternehmensdaten'!$F$13*AS$22*$H12*($M40+1)^(AS$20)*((1+$J40)^(AS$20)),'Allgemeine Unternehmensdaten'!$F$13*AS22*$E12*$E40*($M40+1)^(AS$20)*((1+$J40)^(AS$20)))</f>
        <v>0</v>
      </c>
      <c r="AT40" s="200">
        <f>IF(AND($E40=1,$E12=0),'Allgemeine Unternehmensdaten'!$F$13*AT$22*$H12*($M40+1)^(AT$20)*((1+$J40)^(AT$20)),'Allgemeine Unternehmensdaten'!$F$13*AT22*$E12*$E40*($M40+1)^(AT$20)*((1+$J40)^(AT$20)))</f>
        <v>0</v>
      </c>
      <c r="AU40" s="200">
        <f>IF(AND($E40=1,$E12=0),'Allgemeine Unternehmensdaten'!$F$13*AU$22*$H12*($M40+1)^(AU$20)*((1+$J40)^(AU$20)),'Allgemeine Unternehmensdaten'!$F$13*AU22*$E12*$E40*($M40+1)^(AU$20)*((1+$J40)^(AU$20)))</f>
        <v>0</v>
      </c>
      <c r="AV40" s="200">
        <f>IF(AND($E40=1,$E12=0),'Allgemeine Unternehmensdaten'!$F$13*AV$22*$H12*($M40+1)^(AV$20)*((1+$J40)^(AV$20)),'Allgemeine Unternehmensdaten'!$F$13*AV22*$E12*$E40*($M40+1)^(AV$20)*((1+$J40)^(AV$20)))</f>
        <v>0</v>
      </c>
      <c r="AW40" s="200">
        <f>IF(AND($E40=1,$E12=0),'Allgemeine Unternehmensdaten'!$F$13*AW$22*$H12*($M40+1)^(AW$20)*((1+$J40)^(AW$20)),'Allgemeine Unternehmensdaten'!$F$13*AW22*$E12*$E40*($M40+1)^(AW$20)*((1+$J40)^(AW$20)))</f>
        <v>0</v>
      </c>
      <c r="AX40" s="200">
        <f>IF(AND($E40=1,$E12=0),'Allgemeine Unternehmensdaten'!$F$13*AX$22*$H12*($M40+1)^(AX$20)*((1+$J40)^(AX$20)),'Allgemeine Unternehmensdaten'!$F$13*AX22*$E12*$E40*($M40+1)^(AX$20)*((1+$J40)^(AX$20)))</f>
        <v>0</v>
      </c>
      <c r="AY40" s="200">
        <f>IF(AND($E40=1,$E12=0),'Allgemeine Unternehmensdaten'!$F$13*AY$22*$H12*($M40+1)^(AY$20)*((1+$J40)^(AY$20)),'Allgemeine Unternehmensdaten'!$F$13*AY22*$E12*$E40*($M40+1)^(AY$20)*((1+$J40)^(AY$20)))</f>
        <v>0</v>
      </c>
      <c r="AZ40" s="200">
        <f>IF(AND($E40=1,$E12=0),'Allgemeine Unternehmensdaten'!$F$13*AZ$22*$H12*($M40+1)^(AZ$20)*((1+$J40)^(AZ$20)),'Allgemeine Unternehmensdaten'!$F$13*AZ22*$E12*$E40*($M40+1)^(AZ$20)*((1+$J40)^(AZ$20)))</f>
        <v>0</v>
      </c>
      <c r="BA40" s="200">
        <f>IF(AND($E40=1,$E12=0),'Allgemeine Unternehmensdaten'!$F$13*BA$22*$H12*($M40+1)^(BA$20)*((1+$J40)^(BA$20)),'Allgemeine Unternehmensdaten'!$F$13*BA22*$E12*$E40*($M40+1)^(BA$20)*((1+$J40)^(BA$20)))</f>
        <v>0</v>
      </c>
      <c r="BB40" s="200">
        <f>IF(AND($E40=1,$E12=0),'Allgemeine Unternehmensdaten'!$F$13*BB$22*$H12*($M40+1)^(BB$20)*((1+$J40)^(BB$20)),'Allgemeine Unternehmensdaten'!$F$13*BB22*$E12*$E40*($M40+1)^(BB$20)*((1+$J40)^(BB$20)))</f>
        <v>0</v>
      </c>
      <c r="BC40" s="200">
        <f>IF(AND($E40=1,$E12=0),'Allgemeine Unternehmensdaten'!$F$13*BC$22*$H12*($M40+1)^(BC$20)*((1+$J40)^(BC$20)),'Allgemeine Unternehmensdaten'!$F$13*BC22*$E12*$E40*($M40+1)^(BC$20)*((1+$J40)^(BC$20)))</f>
        <v>0</v>
      </c>
      <c r="BD40" s="200">
        <f>IF(AND($E40=1,$E12=0),'Allgemeine Unternehmensdaten'!$F$13*BD$22*$H12*($M40+1)^(BD$20)*((1+$J40)^(BD$20)),'Allgemeine Unternehmensdaten'!$F$13*BD22*$E12*$E40*($M40+1)^(BD$20)*((1+$J40)^(BD$20)))</f>
        <v>0</v>
      </c>
      <c r="BE40" s="200">
        <f>IF(AND($E40=1,$E12=0),'Allgemeine Unternehmensdaten'!$F$13*BE$22*$H12*($M40+1)^(BE$20)*((1+$J40)^(BE$20)),'Allgemeine Unternehmensdaten'!$F$13*BE22*$E12*$E40*($M40+1)^(BE$20)*((1+$J40)^(BE$20)))</f>
        <v>0</v>
      </c>
      <c r="BF40" s="200">
        <f>IF(AND($E40=1,$E12=0),'Allgemeine Unternehmensdaten'!$F$13*BF$22*$H12*($M40+1)^(BF$20)*((1+$J40)^(BF$20)),'Allgemeine Unternehmensdaten'!$F$13*BF22*$E12*$E40*($M40+1)^(BF$20)*((1+$J40)^(BF$20)))</f>
        <v>0</v>
      </c>
      <c r="BG40" s="200">
        <f>IF(AND($E40=1,$E12=0),'Allgemeine Unternehmensdaten'!$F$13*BG$22*$H12*($M40+1)^(BG$20)*((1+$J40)^(BG$20)),'Allgemeine Unternehmensdaten'!$F$13*BG22*$E12*$E40*($M40+1)^(BG$20)*((1+$J40)^(BG$20)))</f>
        <v>0</v>
      </c>
      <c r="BH40" s="200">
        <f>IF(AND($E40=1,$E12=0),'Allgemeine Unternehmensdaten'!$F$13*BH$22*$H12*($M40+1)^(BH$20)*((1+$J40)^(BH$20)),'Allgemeine Unternehmensdaten'!$F$13*BH22*$E12*$E40*($M40+1)^(BH$20)*((1+$J40)^(BH$20)))</f>
        <v>0</v>
      </c>
      <c r="BI40" s="200">
        <f>IF(AND($E40=1,$E12=0),'Allgemeine Unternehmensdaten'!$F$13*BI$22*$H12*($M40+1)^(BI$20)*((1+$J40)^(BI$20)),'Allgemeine Unternehmensdaten'!$F$13*BI22*$E12*$E40*($M40+1)^(BI$20)*((1+$J40)^(BI$20)))</f>
        <v>0</v>
      </c>
      <c r="BJ40" s="200">
        <f>IF(AND($E40=1,$E12=0),'Allgemeine Unternehmensdaten'!$F$13*BJ$22*$H12*($M40+1)^(BJ$20)*((1+$J40)^(BJ$20)),'Allgemeine Unternehmensdaten'!$F$13*BJ22*$E12*$E40*($M40+1)^(BJ$20)*((1+$J40)^(BJ$20)))</f>
        <v>0</v>
      </c>
      <c r="BK40" s="200">
        <f>IF(AND($E40=1,$E12=0),'Allgemeine Unternehmensdaten'!$F$13*BK$22*$H12*($M40+1)^(BK$20)*((1+$J40)^(BK$20)),'Allgemeine Unternehmensdaten'!$F$13*BK22*$E12*$E40*($M40+1)^(BK$20)*((1+$J40)^(BK$20)))</f>
        <v>0</v>
      </c>
      <c r="BL40" s="200">
        <f>IF(AND($E40=1,$E12=0),'Allgemeine Unternehmensdaten'!$F$13*BL$22*$H12*($M40+1)^(BL$20)*((1+$J40)^(BL$20)),'Allgemeine Unternehmensdaten'!$F$13*BL22*$E12*$E40*($M40+1)^(BL$20)*((1+$J40)^(BL$20)))</f>
        <v>0</v>
      </c>
      <c r="BM40" s="200">
        <f>IF(AND($E40=1,$E12=0),'Allgemeine Unternehmensdaten'!$F$13*BM$22*$H12*($M40+1)^(BM$20)*((1+$J40)^(BM$20)),'Allgemeine Unternehmensdaten'!$F$13*BM22*$E12*$E40*($M40+1)^(BM$20)*((1+$J40)^(BM$20)))</f>
        <v>0</v>
      </c>
      <c r="BN40" s="200">
        <f>IF(AND($E40=1,$E12=0),'Allgemeine Unternehmensdaten'!$F$13*BN$22*$H12*($M40+1)^(BN$20)*((1+$J40)^(BN$20)),'Allgemeine Unternehmensdaten'!$F$13*BN22*$E12*$E40*($M40+1)^(BN$20)*((1+$J40)^(BN$20)))</f>
        <v>0</v>
      </c>
      <c r="BO40" s="200">
        <f>IF(AND($E40=1,$E12=0),'Allgemeine Unternehmensdaten'!$F$13*BO$22*$H12*($M40+1)^(BO$20)*((1+$J40)^(BO$20)),'Allgemeine Unternehmensdaten'!$F$13*BO22*$E12*$E40*($M40+1)^(BO$20)*((1+$J40)^(BO$20)))</f>
        <v>0</v>
      </c>
      <c r="BP40" s="200">
        <f>IF(AND($E40=1,$E12=0),'Allgemeine Unternehmensdaten'!$F$13*BP$22*$H12*($M40+1)^(BP$20)*((1+$J40)^(BP$20)),'Allgemeine Unternehmensdaten'!$F$13*BP22*$E12*$E40*($M40+1)^(BP$20)*((1+$J40)^(BP$20)))</f>
        <v>0</v>
      </c>
      <c r="BQ40" s="200">
        <f>IF(AND($E40=1,$E12=0),'Allgemeine Unternehmensdaten'!$F$13*BQ$22*$H12*($M40+1)^(BQ$20)*((1+$J40)^(BQ$20)),'Allgemeine Unternehmensdaten'!$F$13*BQ22*$E12*$E40*($M40+1)^(BQ$20)*((1+$J40)^(BQ$20)))</f>
        <v>0</v>
      </c>
      <c r="BR40" s="200">
        <f>IF(AND($E40=1,$E12=0),'Allgemeine Unternehmensdaten'!$F$13*BR$22*$H12*($M40+1)^(BR$20)*((1+$J40)^(BR$20)),'Allgemeine Unternehmensdaten'!$F$13*BR22*$E12*$E40*($M40+1)^(BR$20)*((1+$J40)^(BR$20)))</f>
        <v>0</v>
      </c>
      <c r="BS40" s="200">
        <f>IF(AND($E40=1,$E12=0),'Allgemeine Unternehmensdaten'!$F$13*BS$22*$H12*($M40+1)^(BS$20)*((1+$J40)^(BS$20)),'Allgemeine Unternehmensdaten'!$F$13*BS22*$E12*$E40*($M40+1)^(BS$20)*((1+$J40)^(BS$20)))</f>
        <v>0</v>
      </c>
      <c r="BT40" s="200">
        <f>IF(AND($E40=1,$E12=0),'Allgemeine Unternehmensdaten'!$F$13*BT$22*$H12*($M40+1)^(BT$20)*((1+$J40)^(BT$20)),'Allgemeine Unternehmensdaten'!$F$13*BT22*$E12*$E40*($M40+1)^(BT$20)*((1+$J40)^(BT$20)))</f>
        <v>0</v>
      </c>
      <c r="BV40" s="199" t="str">
        <f t="shared" si="19"/>
        <v>Mehrverbrauch Gas in %</v>
      </c>
      <c r="BW40" s="200">
        <f>IF(AND($D40=1,$D12=0),'Allgemeine Unternehmensdaten'!$E$13*BW$22*$G12*($L40+1)^(BW$20)*((1+$I40)^(BW$20)),'Allgemeine Unternehmensdaten'!$E$13*BW22*$D12*$D40*($L40+1)^(BW$20)*((1+$I40)^(BW$20)))</f>
        <v>0</v>
      </c>
      <c r="BX40" s="200">
        <f>IF(AND($D40=1,$D12=0),'Allgemeine Unternehmensdaten'!$E$13*BX$22*$G12*($L40+1)^(BX$20)*((1+$I40)^(BX$20)),'Allgemeine Unternehmensdaten'!$E$13*BX22*$D12*$D40*($L40+1)^(BX$20)*((1+$I40)^(BX$20)))</f>
        <v>0</v>
      </c>
      <c r="BY40" s="200">
        <f>IF(AND($D40=1,$D12=0),'Allgemeine Unternehmensdaten'!$E$13*BY$22*$G12*($L40+1)^(BY$20)*((1+$I40)^(BY$20)),'Allgemeine Unternehmensdaten'!$E$13*BY22*$D12*$D40*($L40+1)^(BY$20)*((1+$I40)^(BY$20)))</f>
        <v>0</v>
      </c>
      <c r="BZ40" s="200">
        <f>IF(AND($D40=1,$D12=0),'Allgemeine Unternehmensdaten'!$E$13*BZ$22*$G12*($L40+1)^(BZ$20)*((1+$I40)^(BZ$20)),'Allgemeine Unternehmensdaten'!$E$13*BZ22*$D12*$D40*($L40+1)^(BZ$20)*((1+$I40)^(BZ$20)))</f>
        <v>0</v>
      </c>
      <c r="CA40" s="200">
        <f>IF(AND($D40=1,$D12=0),'Allgemeine Unternehmensdaten'!$E$13*CA$22*$G12*($L40+1)^(CA$20)*((1+$I40)^(CA$20)),'Allgemeine Unternehmensdaten'!$E$13*CA22*$D12*$D40*($L40+1)^(CA$20)*((1+$I40)^(CA$20)))</f>
        <v>0</v>
      </c>
      <c r="CB40" s="200">
        <f>IF(AND($D40=1,$D12=0),'Allgemeine Unternehmensdaten'!$E$13*CB$22*$G12*($L40+1)^(CB$20)*((1+$I40)^(CB$20)),'Allgemeine Unternehmensdaten'!$E$13*CB22*$D12*$D40*($L40+1)^(CB$20)*((1+$I40)^(CB$20)))</f>
        <v>0</v>
      </c>
      <c r="CC40" s="200">
        <f>IF(AND($D40=1,$D12=0),'Allgemeine Unternehmensdaten'!$E$13*CC$22*$G12*($L40+1)^(CC$20)*((1+$I40)^(CC$20)),'Allgemeine Unternehmensdaten'!$E$13*CC22*$D12*$D40*($L40+1)^(CC$20)*((1+$I40)^(CC$20)))</f>
        <v>0</v>
      </c>
      <c r="CD40" s="200">
        <f>IF(AND($D40=1,$D12=0),'Allgemeine Unternehmensdaten'!$E$13*CD$22*$G12*($L40+1)^(CD$20)*((1+$I40)^(CD$20)),'Allgemeine Unternehmensdaten'!$E$13*CD22*$D12*$D40*($L40+1)^(CD$20)*((1+$I40)^(CD$20)))</f>
        <v>0</v>
      </c>
      <c r="CE40" s="200">
        <f>IF(AND($D40=1,$D12=0),'Allgemeine Unternehmensdaten'!$E$13*CE$22*$G12*($L40+1)^(CE$20)*((1+$I40)^(CE$20)),'Allgemeine Unternehmensdaten'!$E$13*CE22*$D12*$D40*($L40+1)^(CE$20)*((1+$I40)^(CE$20)))</f>
        <v>0</v>
      </c>
      <c r="CF40" s="200">
        <f>IF(AND($D40=1,$D12=0),'Allgemeine Unternehmensdaten'!$E$13*CF$22*$G12*($L40+1)^(CF$20)*((1+$I40)^(CF$20)),'Allgemeine Unternehmensdaten'!$E$13*CF22*$D12*$D40*($L40+1)^(CF$20)*((1+$I40)^(CF$20)))</f>
        <v>0</v>
      </c>
      <c r="CG40" s="200">
        <f>IF(AND($D40=1,$D12=0),'Allgemeine Unternehmensdaten'!$E$13*CG$22*$G12*($L40+1)^(CG$20)*((1+$I40)^(CG$20)),'Allgemeine Unternehmensdaten'!$E$13*CG22*$D12*$D40*($L40+1)^(CG$20)*((1+$I40)^(CG$20)))</f>
        <v>0</v>
      </c>
      <c r="CH40" s="200">
        <f>IF(AND($D40=1,$D12=0),'Allgemeine Unternehmensdaten'!$E$13*CH$22*$G12*($L40+1)^(CH$20)*((1+$I40)^(CH$20)),'Allgemeine Unternehmensdaten'!$E$13*CH22*$D12*$D40*($L40+1)^(CH$20)*((1+$I40)^(CH$20)))</f>
        <v>0</v>
      </c>
      <c r="CI40" s="200">
        <f>IF(AND($D40=1,$D12=0),'Allgemeine Unternehmensdaten'!$E$13*CI$22*$G12*($L40+1)^(CI$20)*((1+$I40)^(CI$20)),'Allgemeine Unternehmensdaten'!$E$13*CI22*$D12*$D40*($L40+1)^(CI$20)*((1+$I40)^(CI$20)))</f>
        <v>0</v>
      </c>
      <c r="CJ40" s="200">
        <f>IF(AND($D40=1,$D12=0),'Allgemeine Unternehmensdaten'!$E$13*CJ$22*$G12*($L40+1)^(CJ$20)*((1+$I40)^(CJ$20)),'Allgemeine Unternehmensdaten'!$E$13*CJ22*$D12*$D40*($L40+1)^(CJ$20)*((1+$I40)^(CJ$20)))</f>
        <v>0</v>
      </c>
      <c r="CK40" s="200">
        <f>IF(AND($D40=1,$D12=0),'Allgemeine Unternehmensdaten'!$E$13*CK$22*$G12*($L40+1)^(CK$20)*((1+$I40)^(CK$20)),'Allgemeine Unternehmensdaten'!$E$13*CK22*$D12*$D40*($L40+1)^(CK$20)*((1+$I40)^(CK$20)))</f>
        <v>0</v>
      </c>
      <c r="CL40" s="200">
        <f>IF(AND($D40=1,$D12=0),'Allgemeine Unternehmensdaten'!$E$13*CL$22*$G12*($L40+1)^(CL$20)*((1+$I40)^(CL$20)),'Allgemeine Unternehmensdaten'!$E$13*CL22*$D12*$D40*($L40+1)^(CL$20)*((1+$I40)^(CL$20)))</f>
        <v>0</v>
      </c>
      <c r="CM40" s="200">
        <f>IF(AND($D40=1,$D12=0),'Allgemeine Unternehmensdaten'!$E$13*CM$22*$G12*($L40+1)^(CM$20)*((1+$I40)^(CM$20)),'Allgemeine Unternehmensdaten'!$E$13*CM22*$D12*$D40*($L40+1)^(CM$20)*((1+$I40)^(CM$20)))</f>
        <v>0</v>
      </c>
      <c r="CN40" s="200">
        <f>IF(AND($D40=1,$D12=0),'Allgemeine Unternehmensdaten'!$E$13*CN$22*$G12*($L40+1)^(CN$20)*((1+$I40)^(CN$20)),'Allgemeine Unternehmensdaten'!$E$13*CN22*$D12*$D40*($L40+1)^(CN$20)*((1+$I40)^(CN$20)))</f>
        <v>0</v>
      </c>
      <c r="CO40" s="200">
        <f>IF(AND($D40=1,$D12=0),'Allgemeine Unternehmensdaten'!$E$13*CO$22*$G12*($L40+1)^(CO$20)*((1+$I40)^(CO$20)),'Allgemeine Unternehmensdaten'!$E$13*CO22*$D12*$D40*($L40+1)^(CO$20)*((1+$I40)^(CO$20)))</f>
        <v>0</v>
      </c>
      <c r="CP40" s="200">
        <f>IF(AND($D40=1,$D12=0),'Allgemeine Unternehmensdaten'!$E$13*CP$22*$G12*($L40+1)^(CP$20)*((1+$I40)^(CP$20)),'Allgemeine Unternehmensdaten'!$E$13*CP22*$D12*$D40*($L40+1)^(CP$20)*((1+$I40)^(CP$20)))</f>
        <v>0</v>
      </c>
      <c r="CQ40" s="200">
        <f>IF(AND($D40=1,$D12=0),'Allgemeine Unternehmensdaten'!$E$13*CQ$22*$G12*($L40+1)^(CQ$20)*((1+$I40)^(CQ$20)),'Allgemeine Unternehmensdaten'!$E$13*CQ22*$D12*$D40*($L40+1)^(CQ$20)*((1+$I40)^(CQ$20)))</f>
        <v>0</v>
      </c>
      <c r="CR40" s="200">
        <f>IF(AND($D40=1,$D12=0),'Allgemeine Unternehmensdaten'!$E$13*CR$22*$G12*($L40+1)^(CR$20)*((1+$I40)^(CR$20)),'Allgemeine Unternehmensdaten'!$E$13*CR22*$D12*$D40*($L40+1)^(CR$20)*((1+$I40)^(CR$20)))</f>
        <v>0</v>
      </c>
      <c r="CS40" s="200">
        <f>IF(AND($D40=1,$D12=0),'Allgemeine Unternehmensdaten'!$E$13*CS$22*$G12*($L40+1)^(CS$20)*((1+$I40)^(CS$20)),'Allgemeine Unternehmensdaten'!$E$13*CS22*$D12*$D40*($L40+1)^(CS$20)*((1+$I40)^(CS$20)))</f>
        <v>0</v>
      </c>
      <c r="CT40" s="200">
        <f>IF(AND($D40=1,$D12=0),'Allgemeine Unternehmensdaten'!$E$13*CT$22*$G12*($L40+1)^(CT$20)*((1+$I40)^(CT$20)),'Allgemeine Unternehmensdaten'!$E$13*CT22*$D12*$D40*($L40+1)^(CT$20)*((1+$I40)^(CT$20)))</f>
        <v>0</v>
      </c>
      <c r="CU40" s="200">
        <f>IF(AND($D40=1,$D12=0),'Allgemeine Unternehmensdaten'!$E$13*CU$22*$G12*($L40+1)^(CU$20)*((1+$I40)^(CU$20)),'Allgemeine Unternehmensdaten'!$E$13*CU22*$D12*$D40*($L40+1)^(CU$20)*((1+$I40)^(CU$20)))</f>
        <v>0</v>
      </c>
      <c r="CV40" s="200">
        <f>IF(AND($D40=1,$D12=0),'Allgemeine Unternehmensdaten'!$E$13*CV$22*$G12*($L40+1)^(CV$20)*((1+$I40)^(CV$20)),'Allgemeine Unternehmensdaten'!$E$13*CV22*$D12*$D40*($L40+1)^(CV$20)*((1+$I40)^(CV$20)))</f>
        <v>0</v>
      </c>
      <c r="CW40" s="200">
        <f>IF(AND($D40=1,$D12=0),'Allgemeine Unternehmensdaten'!$E$13*CW$22*$G12*($L40+1)^(CW$20)*((1+$I40)^(CW$20)),'Allgemeine Unternehmensdaten'!$E$13*CW22*$D12*$D40*($L40+1)^(CW$20)*((1+$I40)^(CW$20)))</f>
        <v>0</v>
      </c>
      <c r="CX40" s="200">
        <f>IF(AND($D40=1,$D12=0),'Allgemeine Unternehmensdaten'!$E$13*CX$22*$G12*($L40+1)^(CX$20)*((1+$I40)^(CX$20)),'Allgemeine Unternehmensdaten'!$E$13*CX22*$D12*$D40*($L40+1)^(CX$20)*((1+$I40)^(CX$20)))</f>
        <v>0</v>
      </c>
      <c r="CY40" s="200">
        <f>IF(AND($D40=1,$D12=0),'Allgemeine Unternehmensdaten'!$E$13*CY$22*$G12*($L40+1)^(CY$20)*((1+$I40)^(CY$20)),'Allgemeine Unternehmensdaten'!$E$13*CY22*$D12*$D40*($L40+1)^(CY$20)*((1+$I40)^(CY$20)))</f>
        <v>0</v>
      </c>
      <c r="CZ40" s="200">
        <f>IF(AND($D40=1,$D12=0),'Allgemeine Unternehmensdaten'!$E$13*CZ$22*$G12*($L40+1)^(CZ$20)*((1+$I40)^(CZ$20)),'Allgemeine Unternehmensdaten'!$E$13*CZ22*$D12*$D40*($L40+1)^(CZ$20)*((1+$I40)^(CZ$20)))</f>
        <v>0</v>
      </c>
      <c r="DA40" s="200">
        <f>IF(AND($D40=1,$D12=0),'Allgemeine Unternehmensdaten'!$E$13*DA$22*$G12*($L40+1)^(DA$20)*((1+$I40)^(DA$20)),'Allgemeine Unternehmensdaten'!$E$13*DA22*$D12*$D40*($L40+1)^(DA$20)*((1+$I40)^(DA$20)))</f>
        <v>0</v>
      </c>
      <c r="DB40" s="200">
        <f>IF(AND($D40=1,$D12=0),'Allgemeine Unternehmensdaten'!$E$13*DB$22*$G12*($L40+1)^(DB$20)*((1+$I40)^(DB$20)),'Allgemeine Unternehmensdaten'!$E$13*DB22*$D12*$D40*($L40+1)^(DB$20)*((1+$I40)^(DB$20)))</f>
        <v>0</v>
      </c>
      <c r="DC40" s="200">
        <f>IF(AND($D40=1,$D12=0),'Allgemeine Unternehmensdaten'!$E$13*DC$22*$G12*($L40+1)^(DC$20)*((1+$I40)^(DC$20)),'Allgemeine Unternehmensdaten'!$E$13*DC22*$D12*$D40*($L40+1)^(DC$20)*((1+$I40)^(DC$20)))</f>
        <v>0</v>
      </c>
      <c r="DD40" s="200">
        <f>IF(AND($D40=1,$D12=0),'Allgemeine Unternehmensdaten'!$E$13*DD$22*$G12*($L40+1)^(DD$20)*((1+$I40)^(DD$20)),'Allgemeine Unternehmensdaten'!$E$13*DD22*$D12*$D40*($L40+1)^(DD$20)*((1+$I40)^(DD$20)))</f>
        <v>0</v>
      </c>
      <c r="DE40" s="200">
        <f>IF(AND($D40=1,$D12=0),'Allgemeine Unternehmensdaten'!$E$13*DE$22*$G12*($L40+1)^(DE$20)*((1+$I40)^(DE$20)),'Allgemeine Unternehmensdaten'!$E$13*DE22*$D12*$D40*($L40+1)^(DE$20)*((1+$I40)^(DE$20)))</f>
        <v>0</v>
      </c>
      <c r="DF40" s="200">
        <f>IF(AND($D40=1,$D12=0),'Allgemeine Unternehmensdaten'!$E$13*DF$22*$G12*($L40+1)^(DF$20)*((1+$I40)^(DF$20)),'Allgemeine Unternehmensdaten'!$E$13*DF22*$D12*$D40*($L40+1)^(DF$20)*((1+$I40)^(DF$20)))</f>
        <v>0</v>
      </c>
      <c r="DG40" s="200">
        <f>IF(AND($D40=1,$D12=0),'Allgemeine Unternehmensdaten'!$E$13*DG$22*$G12*($L40+1)^(DG$20)*((1+$I40)^(DG$20)),'Allgemeine Unternehmensdaten'!$E$13*DG22*$D12*$D40*($L40+1)^(DG$20)*((1+$I40)^(DG$20)))</f>
        <v>0</v>
      </c>
      <c r="DH40" s="200">
        <f>IF(AND($D40=1,$D12=0),'Allgemeine Unternehmensdaten'!$E$13*DH$22*$G12*($L40+1)^(DH$20)*((1+$I40)^(DH$20)),'Allgemeine Unternehmensdaten'!$E$13*DH22*$D12*$D40*($L40+1)^(DH$20)*((1+$I40)^(DH$20)))</f>
        <v>0</v>
      </c>
      <c r="DI40" s="200">
        <f>IF(AND($D40=1,$D12=0),'Allgemeine Unternehmensdaten'!$E$13*DI$22*$G12*($L40+1)^(DI$20)*((1+$I40)^(DI$20)),'Allgemeine Unternehmensdaten'!$E$13*DI22*$D12*$D40*($L40+1)^(DI$20)*((1+$I40)^(DI$20)))</f>
        <v>0</v>
      </c>
      <c r="DJ40" s="200">
        <f>IF(AND($D40=1,$D12=0),'Allgemeine Unternehmensdaten'!$E$13*DJ$22*$G12*($L40+1)^(DJ$20)*((1+$I40)^(DJ$20)),'Allgemeine Unternehmensdaten'!$E$13*DJ22*$D12*$D40*($L40+1)^(DJ$20)*((1+$I40)^(DJ$20)))</f>
        <v>0</v>
      </c>
      <c r="DK40" s="200">
        <f>IF(AND($D40=1,$D12=0),'Allgemeine Unternehmensdaten'!$E$13*DK$22*$G12*($L40+1)^(DK$20)*((1+$I40)^(DK$20)),'Allgemeine Unternehmensdaten'!$E$13*DK22*$D12*$D40*($L40+1)^(DK$20)*((1+$I40)^(DK$20)))</f>
        <v>0</v>
      </c>
      <c r="DL40" s="200">
        <f>IF(AND($D40=1,$D12=0),'Allgemeine Unternehmensdaten'!$E$13*DL$22*$G12*($L40+1)^(DL$20)*((1+$I40)^(DL$20)),'Allgemeine Unternehmensdaten'!$E$13*DL22*$D12*$D40*($L40+1)^(DL$20)*((1+$I40)^(DL$20)))</f>
        <v>0</v>
      </c>
      <c r="DM40" s="200">
        <f>IF(AND($D40=1,$D12=0),'Allgemeine Unternehmensdaten'!$E$13*DM$22*$G12*($L40+1)^(DM$20)*((1+$I40)^(DM$20)),'Allgemeine Unternehmensdaten'!$E$13*DM22*$D12*$D40*($L40+1)^(DM$20)*((1+$I40)^(DM$20)))</f>
        <v>0</v>
      </c>
      <c r="DN40" s="200">
        <f>IF(AND($D40=1,$D12=0),'Allgemeine Unternehmensdaten'!$E$13*DN$22*$G12*($L40+1)^(DN$20)*((1+$I40)^(DN$20)),'Allgemeine Unternehmensdaten'!$E$13*DN22*$D12*$D40*($L40+1)^(DN$20)*((1+$I40)^(DN$20)))</f>
        <v>0</v>
      </c>
      <c r="DO40" s="200">
        <f>IF(AND($D40=1,$D12=0),'Allgemeine Unternehmensdaten'!$E$13*DO$22*$G12*($L40+1)^(DO$20)*((1+$I40)^(DO$20)),'Allgemeine Unternehmensdaten'!$E$13*DO22*$D12*$D40*($L40+1)^(DO$20)*((1+$I40)^(DO$20)))</f>
        <v>0</v>
      </c>
      <c r="DP40" s="200">
        <f>IF(AND($D40=1,$D12=0),'Allgemeine Unternehmensdaten'!$E$13*DP$22*$G12*($L40+1)^(DP$20)*((1+$I40)^(DP$20)),'Allgemeine Unternehmensdaten'!$E$13*DP22*$D12*$D40*($L40+1)^(DP$20)*((1+$I40)^(DP$20)))</f>
        <v>0</v>
      </c>
      <c r="DQ40" s="200">
        <f>IF(AND($D40=1,$D12=0),'Allgemeine Unternehmensdaten'!$E$13*DQ$22*$G12*($L40+1)^(DQ$20)*((1+$I40)^(DQ$20)),'Allgemeine Unternehmensdaten'!$E$13*DQ22*$D12*$D40*($L40+1)^(DQ$20)*((1+$I40)^(DQ$20)))</f>
        <v>0</v>
      </c>
      <c r="DR40" s="200">
        <f>IF(AND($D40=1,$D12=0),'Allgemeine Unternehmensdaten'!$E$13*DR$22*$G12*($L40+1)^(DR$20)*((1+$I40)^(DR$20)),'Allgemeine Unternehmensdaten'!$E$13*DR22*$D12*$D40*($L40+1)^(DR$20)*((1+$I40)^(DR$20)))</f>
        <v>0</v>
      </c>
      <c r="DS40" s="200">
        <f>IF(AND($D40=1,$D12=0),'Allgemeine Unternehmensdaten'!$E$13*DS$22*$G12*($L40+1)^(DS$20)*((1+$I40)^(DS$20)),'Allgemeine Unternehmensdaten'!$E$13*DS22*$D12*$D40*($L40+1)^(DS$20)*((1+$I40)^(DS$20)))</f>
        <v>0</v>
      </c>
      <c r="DT40" s="200">
        <f>IF(AND($D40=1,$D12=0),'Allgemeine Unternehmensdaten'!$E$13*DT$22*$G12*($L40+1)^(DT$20)*((1+$I40)^(DT$20)),'Allgemeine Unternehmensdaten'!$E$13*DT22*$D12*$D40*($L40+1)^(DT$20)*((1+$I40)^(DT$20)))</f>
        <v>0</v>
      </c>
      <c r="DU40" s="200">
        <f>IF(AND($D40=1,$D12=0),'Allgemeine Unternehmensdaten'!$E$13*DU$22*$G12*($L40+1)^(DU$20)*((1+$I40)^(DU$20)),'Allgemeine Unternehmensdaten'!$E$13*DU22*$D12*$D40*($L40+1)^(DU$20)*((1+$I40)^(DU$20)))</f>
        <v>0</v>
      </c>
      <c r="DV40" s="200">
        <f>IF(AND($D40=1,$D12=0),'Allgemeine Unternehmensdaten'!$E$13*DV$22*$G12*($L40+1)^(DV$20)*((1+$I40)^(DV$20)),'Allgemeine Unternehmensdaten'!$E$13*DV22*$D12*$D40*($L40+1)^(DV$20)*((1+$I40)^(DV$20)))</f>
        <v>0</v>
      </c>
      <c r="DW40" s="200">
        <f>IF(AND($D40=1,$D12=0),'Allgemeine Unternehmensdaten'!$E$13*DW$22*$G12*($L40+1)^(DW$20)*((1+$I40)^(DW$20)),'Allgemeine Unternehmensdaten'!$E$13*DW22*$D12*$D40*($L40+1)^(DW$20)*((1+$I40)^(DW$20)))</f>
        <v>0</v>
      </c>
      <c r="DX40" s="200">
        <f>IF(AND($D40=1,$D12=0),'Allgemeine Unternehmensdaten'!$E$13*DX$22*$G12*($L40+1)^(DX$20)*((1+$I40)^(DX$20)),'Allgemeine Unternehmensdaten'!$E$13*DX22*$D12*$D40*($L40+1)^(DX$20)*((1+$I40)^(DX$20)))</f>
        <v>0</v>
      </c>
      <c r="DZ40" s="199" t="str">
        <f t="shared" si="22"/>
        <v>Mehrverbrauch Gas in %</v>
      </c>
      <c r="EA40" s="200">
        <f>IF(AND($F40=1,$F12=0),'Allgemeine Unternehmensdaten'!$G$13*EA$22*$I12*($N40+1)^(EA$20)*((1+$K40)^(EA$20)),'Allgemeine Unternehmensdaten'!$G$13*EA22*$F12*$F40*($N40+1)^(EA$20)*((1+$K40)^(EA$20)))</f>
        <v>0</v>
      </c>
      <c r="EB40" s="200">
        <f>IF(AND($F40=1,$F12=0),'Allgemeine Unternehmensdaten'!$G$13*EB$22*$I12*($N40+1)^(EB$20)*((1+$K40)^(EB$20)),'Allgemeine Unternehmensdaten'!$G$13*EB22*$F12*$F40*($N40+1)^(EB$20)*((1+$K40)^(EB$20)))</f>
        <v>0</v>
      </c>
      <c r="EC40" s="200">
        <f>IF(AND($F40=1,$F12=0),'Allgemeine Unternehmensdaten'!$G$13*EC$22*$I12*($N40+1)^(EC$20)*((1+$K40)^(EC$20)),'Allgemeine Unternehmensdaten'!$G$13*EC22*$F12*$F40*($N40+1)^(EC$20)*((1+$K40)^(EC$20)))</f>
        <v>0</v>
      </c>
      <c r="ED40" s="200">
        <f>IF(AND($F40=1,$F12=0),'Allgemeine Unternehmensdaten'!$G$13*ED$22*$I12*($N40+1)^(ED$20)*((1+$K40)^(ED$20)),'Allgemeine Unternehmensdaten'!$G$13*ED22*$F12*$F40*($N40+1)^(ED$20)*((1+$K40)^(ED$20)))</f>
        <v>0</v>
      </c>
      <c r="EE40" s="200">
        <f>IF(AND($F40=1,$F12=0),'Allgemeine Unternehmensdaten'!$G$13*EE$22*$I12*($N40+1)^(EE$20)*((1+$K40)^(EE$20)),'Allgemeine Unternehmensdaten'!$G$13*EE22*$F12*$F40*($N40+1)^(EE$20)*((1+$K40)^(EE$20)))</f>
        <v>0</v>
      </c>
      <c r="EF40" s="200">
        <f>IF(AND($F40=1,$F12=0),'Allgemeine Unternehmensdaten'!$G$13*EF$22*$I12*($N40+1)^(EF$20)*((1+$K40)^(EF$20)),'Allgemeine Unternehmensdaten'!$G$13*EF22*$F12*$F40*($N40+1)^(EF$20)*((1+$K40)^(EF$20)))</f>
        <v>0</v>
      </c>
      <c r="EG40" s="200">
        <f>IF(AND($F40=1,$F12=0),'Allgemeine Unternehmensdaten'!$G$13*EG$22*$I12*($N40+1)^(EG$20)*((1+$K40)^(EG$20)),'Allgemeine Unternehmensdaten'!$G$13*EG22*$F12*$F40*($N40+1)^(EG$20)*((1+$K40)^(EG$20)))</f>
        <v>0</v>
      </c>
      <c r="EH40" s="200">
        <f>IF(AND($F40=1,$F12=0),'Allgemeine Unternehmensdaten'!$G$13*EH$22*$I12*($N40+1)^(EH$20)*((1+$K40)^(EH$20)),'Allgemeine Unternehmensdaten'!$G$13*EH22*$F12*$F40*($N40+1)^(EH$20)*((1+$K40)^(EH$20)))</f>
        <v>0</v>
      </c>
      <c r="EI40" s="200">
        <f>IF(AND($F40=1,$F12=0),'Allgemeine Unternehmensdaten'!$G$13*EI$22*$I12*($N40+1)^(EI$20)*((1+$K40)^(EI$20)),'Allgemeine Unternehmensdaten'!$G$13*EI22*$F12*$F40*($N40+1)^(EI$20)*((1+$K40)^(EI$20)))</f>
        <v>0</v>
      </c>
      <c r="EJ40" s="200">
        <f>IF(AND($F40=1,$F12=0),'Allgemeine Unternehmensdaten'!$G$13*EJ$22*$I12*($N40+1)^(EJ$20)*((1+$K40)^(EJ$20)),'Allgemeine Unternehmensdaten'!$G$13*EJ22*$F12*$F40*($N40+1)^(EJ$20)*((1+$K40)^(EJ$20)))</f>
        <v>0</v>
      </c>
      <c r="EK40" s="200">
        <f>IF(AND($F40=1,$F12=0),'Allgemeine Unternehmensdaten'!$G$13*EK$22*$I12*($N40+1)^(EK$20)*((1+$K40)^(EK$20)),'Allgemeine Unternehmensdaten'!$G$13*EK22*$F12*$F40*($N40+1)^(EK$20)*((1+$K40)^(EK$20)))</f>
        <v>0</v>
      </c>
      <c r="EL40" s="200">
        <f>IF(AND($F40=1,$F12=0),'Allgemeine Unternehmensdaten'!$G$13*EL$22*$I12*($N40+1)^(EL$20)*((1+$K40)^(EL$20)),'Allgemeine Unternehmensdaten'!$G$13*EL22*$F12*$F40*($N40+1)^(EL$20)*((1+$K40)^(EL$20)))</f>
        <v>0</v>
      </c>
      <c r="EM40" s="200">
        <f>IF(AND($F40=1,$F12=0),'Allgemeine Unternehmensdaten'!$G$13*EM$22*$I12*($N40+1)^(EM$20)*((1+$K40)^(EM$20)),'Allgemeine Unternehmensdaten'!$G$13*EM22*$F12*$F40*($N40+1)^(EM$20)*((1+$K40)^(EM$20)))</f>
        <v>0</v>
      </c>
      <c r="EN40" s="200">
        <f>IF(AND($F40=1,$F12=0),'Allgemeine Unternehmensdaten'!$G$13*EN$22*$I12*($N40+1)^(EN$20)*((1+$K40)^(EN$20)),'Allgemeine Unternehmensdaten'!$G$13*EN22*$F12*$F40*($N40+1)^(EN$20)*((1+$K40)^(EN$20)))</f>
        <v>0</v>
      </c>
      <c r="EO40" s="200">
        <f>IF(AND($F40=1,$F12=0),'Allgemeine Unternehmensdaten'!$G$13*EO$22*$I12*($N40+1)^(EO$20)*((1+$K40)^(EO$20)),'Allgemeine Unternehmensdaten'!$G$13*EO22*$F12*$F40*($N40+1)^(EO$20)*((1+$K40)^(EO$20)))</f>
        <v>0</v>
      </c>
      <c r="EP40" s="200">
        <f>IF(AND($F40=1,$F12=0),'Allgemeine Unternehmensdaten'!$G$13*EP$22*$I12*($N40+1)^(EP$20)*((1+$K40)^(EP$20)),'Allgemeine Unternehmensdaten'!$G$13*EP22*$F12*$F40*($N40+1)^(EP$20)*((1+$K40)^(EP$20)))</f>
        <v>0</v>
      </c>
      <c r="EQ40" s="200">
        <f>IF(AND($F40=1,$F12=0),'Allgemeine Unternehmensdaten'!$G$13*EQ$22*$I12*($N40+1)^(EQ$20)*((1+$K40)^(EQ$20)),'Allgemeine Unternehmensdaten'!$G$13*EQ22*$F12*$F40*($N40+1)^(EQ$20)*((1+$K40)^(EQ$20)))</f>
        <v>0</v>
      </c>
      <c r="ER40" s="200">
        <f>IF(AND($F40=1,$F12=0),'Allgemeine Unternehmensdaten'!$G$13*ER$22*$I12*($N40+1)^(ER$20)*((1+$K40)^(ER$20)),'Allgemeine Unternehmensdaten'!$G$13*ER22*$F12*$F40*($N40+1)^(ER$20)*((1+$K40)^(ER$20)))</f>
        <v>0</v>
      </c>
      <c r="ES40" s="200">
        <f>IF(AND($F40=1,$F12=0),'Allgemeine Unternehmensdaten'!$G$13*ES$22*$I12*($N40+1)^(ES$20)*((1+$K40)^(ES$20)),'Allgemeine Unternehmensdaten'!$G$13*ES22*$F12*$F40*($N40+1)^(ES$20)*((1+$K40)^(ES$20)))</f>
        <v>0</v>
      </c>
      <c r="ET40" s="200">
        <f>IF(AND($F40=1,$F12=0),'Allgemeine Unternehmensdaten'!$G$13*ET$22*$I12*($N40+1)^(ET$20)*((1+$K40)^(ET$20)),'Allgemeine Unternehmensdaten'!$G$13*ET22*$F12*$F40*($N40+1)^(ET$20)*((1+$K40)^(ET$20)))</f>
        <v>0</v>
      </c>
      <c r="EU40" s="200">
        <f>IF(AND($F40=1,$F12=0),'Allgemeine Unternehmensdaten'!$G$13*EU$22*$I12*($N40+1)^(EU$20)*((1+$K40)^(EU$20)),'Allgemeine Unternehmensdaten'!$G$13*EU22*$F12*$F40*($N40+1)^(EU$20)*((1+$K40)^(EU$20)))</f>
        <v>0</v>
      </c>
      <c r="EV40" s="200">
        <f>IF(AND($F40=1,$F12=0),'Allgemeine Unternehmensdaten'!$G$13*EV$22*$I12*($N40+1)^(EV$20)*((1+$K40)^(EV$20)),'Allgemeine Unternehmensdaten'!$G$13*EV22*$F12*$F40*($N40+1)^(EV$20)*((1+$K40)^(EV$20)))</f>
        <v>0</v>
      </c>
      <c r="EW40" s="200">
        <f>IF(AND($F40=1,$F12=0),'Allgemeine Unternehmensdaten'!$G$13*EW$22*$I12*($N40+1)^(EW$20)*((1+$K40)^(EW$20)),'Allgemeine Unternehmensdaten'!$G$13*EW22*$F12*$F40*($N40+1)^(EW$20)*((1+$K40)^(EW$20)))</f>
        <v>0</v>
      </c>
      <c r="EX40" s="200">
        <f>IF(AND($F40=1,$F12=0),'Allgemeine Unternehmensdaten'!$G$13*EX$22*$I12*($N40+1)^(EX$20)*((1+$K40)^(EX$20)),'Allgemeine Unternehmensdaten'!$G$13*EX22*$F12*$F40*($N40+1)^(EX$20)*((1+$K40)^(EX$20)))</f>
        <v>0</v>
      </c>
      <c r="EY40" s="200">
        <f>IF(AND($F40=1,$F12=0),'Allgemeine Unternehmensdaten'!$G$13*EY$22*$I12*($N40+1)^(EY$20)*((1+$K40)^(EY$20)),'Allgemeine Unternehmensdaten'!$G$13*EY22*$F12*$F40*($N40+1)^(EY$20)*((1+$K40)^(EY$20)))</f>
        <v>0</v>
      </c>
      <c r="EZ40" s="200">
        <f>IF(AND($F40=1,$F12=0),'Allgemeine Unternehmensdaten'!$G$13*EZ$22*$I12*($N40+1)^(EZ$20)*((1+$K40)^(EZ$20)),'Allgemeine Unternehmensdaten'!$G$13*EZ22*$F12*$F40*($N40+1)^(EZ$20)*((1+$K40)^(EZ$20)))</f>
        <v>0</v>
      </c>
      <c r="FA40" s="200">
        <f>IF(AND($F40=1,$F12=0),'Allgemeine Unternehmensdaten'!$G$13*FA$22*$I12*($N40+1)^(FA$20)*((1+$K40)^(FA$20)),'Allgemeine Unternehmensdaten'!$G$13*FA22*$F12*$F40*($N40+1)^(FA$20)*((1+$K40)^(FA$20)))</f>
        <v>0</v>
      </c>
      <c r="FB40" s="200">
        <f>IF(AND($F40=1,$F12=0),'Allgemeine Unternehmensdaten'!$G$13*FB$22*$I12*($N40+1)^(FB$20)*((1+$K40)^(FB$20)),'Allgemeine Unternehmensdaten'!$G$13*FB22*$F12*$F40*($N40+1)^(FB$20)*((1+$K40)^(FB$20)))</f>
        <v>0</v>
      </c>
      <c r="FC40" s="200">
        <f>IF(AND($F40=1,$F12=0),'Allgemeine Unternehmensdaten'!$G$13*FC$22*$I12*($N40+1)^(FC$20)*((1+$K40)^(FC$20)),'Allgemeine Unternehmensdaten'!$G$13*FC22*$F12*$F40*($N40+1)^(FC$20)*((1+$K40)^(FC$20)))</f>
        <v>0</v>
      </c>
      <c r="FD40" s="200">
        <f>IF(AND($F40=1,$F12=0),'Allgemeine Unternehmensdaten'!$G$13*FD$22*$I12*($N40+1)^(FD$20)*((1+$K40)^(FD$20)),'Allgemeine Unternehmensdaten'!$G$13*FD22*$F12*$F40*($N40+1)^(FD$20)*((1+$K40)^(FD$20)))</f>
        <v>0</v>
      </c>
      <c r="FE40" s="200">
        <f>IF(AND($F40=1,$F12=0),'Allgemeine Unternehmensdaten'!$G$13*FE$22*$I12*($N40+1)^(FE$20)*((1+$K40)^(FE$20)),'Allgemeine Unternehmensdaten'!$G$13*FE22*$F12*$F40*($N40+1)^(FE$20)*((1+$K40)^(FE$20)))</f>
        <v>0</v>
      </c>
      <c r="FF40" s="200">
        <f>IF(AND($F40=1,$F12=0),'Allgemeine Unternehmensdaten'!$G$13*FF$22*$I12*($N40+1)^(FF$20)*((1+$K40)^(FF$20)),'Allgemeine Unternehmensdaten'!$G$13*FF22*$F12*$F40*($N40+1)^(FF$20)*((1+$K40)^(FF$20)))</f>
        <v>0</v>
      </c>
      <c r="FG40" s="200">
        <f>IF(AND($F40=1,$F12=0),'Allgemeine Unternehmensdaten'!$G$13*FG$22*$I12*($N40+1)^(FG$20)*((1+$K40)^(FG$20)),'Allgemeine Unternehmensdaten'!$G$13*FG22*$F12*$F40*($N40+1)^(FG$20)*((1+$K40)^(FG$20)))</f>
        <v>0</v>
      </c>
      <c r="FH40" s="200">
        <f>IF(AND($F40=1,$F12=0),'Allgemeine Unternehmensdaten'!$G$13*FH$22*$I12*($N40+1)^(FH$20)*((1+$K40)^(FH$20)),'Allgemeine Unternehmensdaten'!$G$13*FH22*$F12*$F40*($N40+1)^(FH$20)*((1+$K40)^(FH$20)))</f>
        <v>0</v>
      </c>
      <c r="FI40" s="200">
        <f>IF(AND($F40=1,$F12=0),'Allgemeine Unternehmensdaten'!$G$13*FI$22*$I12*($N40+1)^(FI$20)*((1+$K40)^(FI$20)),'Allgemeine Unternehmensdaten'!$G$13*FI22*$F12*$F40*($N40+1)^(FI$20)*((1+$K40)^(FI$20)))</f>
        <v>0</v>
      </c>
      <c r="FJ40" s="200">
        <f>IF(AND($F40=1,$F12=0),'Allgemeine Unternehmensdaten'!$G$13*FJ$22*$I12*($N40+1)^(FJ$20)*((1+$K40)^(FJ$20)),'Allgemeine Unternehmensdaten'!$G$13*FJ22*$F12*$F40*($N40+1)^(FJ$20)*((1+$K40)^(FJ$20)))</f>
        <v>0</v>
      </c>
      <c r="FK40" s="200">
        <f>IF(AND($F40=1,$F12=0),'Allgemeine Unternehmensdaten'!$G$13*FK$22*$I12*($N40+1)^(FK$20)*((1+$K40)^(FK$20)),'Allgemeine Unternehmensdaten'!$G$13*FK22*$F12*$F40*($N40+1)^(FK$20)*((1+$K40)^(FK$20)))</f>
        <v>0</v>
      </c>
      <c r="FL40" s="200">
        <f>IF(AND($F40=1,$F12=0),'Allgemeine Unternehmensdaten'!$G$13*FL$22*$I12*($N40+1)^(FL$20)*((1+$K40)^(FL$20)),'Allgemeine Unternehmensdaten'!$G$13*FL22*$F12*$F40*($N40+1)^(FL$20)*((1+$K40)^(FL$20)))</f>
        <v>0</v>
      </c>
      <c r="FM40" s="200">
        <f>IF(AND($F40=1,$F12=0),'Allgemeine Unternehmensdaten'!$G$13*FM$22*$I12*($N40+1)^(FM$20)*((1+$K40)^(FM$20)),'Allgemeine Unternehmensdaten'!$G$13*FM22*$F12*$F40*($N40+1)^(FM$20)*((1+$K40)^(FM$20)))</f>
        <v>0</v>
      </c>
      <c r="FN40" s="200">
        <f>IF(AND($F40=1,$F12=0),'Allgemeine Unternehmensdaten'!$G$13*FN$22*$I12*($N40+1)^(FN$20)*((1+$K40)^(FN$20)),'Allgemeine Unternehmensdaten'!$G$13*FN22*$F12*$F40*($N40+1)^(FN$20)*((1+$K40)^(FN$20)))</f>
        <v>0</v>
      </c>
      <c r="FO40" s="200">
        <f>IF(AND($F40=1,$F12=0),'Allgemeine Unternehmensdaten'!$G$13*FO$22*$I12*($N40+1)^(FO$20)*((1+$K40)^(FO$20)),'Allgemeine Unternehmensdaten'!$G$13*FO22*$F12*$F40*($N40+1)^(FO$20)*((1+$K40)^(FO$20)))</f>
        <v>0</v>
      </c>
      <c r="FP40" s="200">
        <f>IF(AND($F40=1,$F12=0),'Allgemeine Unternehmensdaten'!$G$13*FP$22*$I12*($N40+1)^(FP$20)*((1+$K40)^(FP$20)),'Allgemeine Unternehmensdaten'!$G$13*FP22*$F12*$F40*($N40+1)^(FP$20)*((1+$K40)^(FP$20)))</f>
        <v>0</v>
      </c>
      <c r="FQ40" s="200">
        <f>IF(AND($F40=1,$F12=0),'Allgemeine Unternehmensdaten'!$G$13*FQ$22*$I12*($N40+1)^(FQ$20)*((1+$K40)^(FQ$20)),'Allgemeine Unternehmensdaten'!$G$13*FQ22*$F12*$F40*($N40+1)^(FQ$20)*((1+$K40)^(FQ$20)))</f>
        <v>0</v>
      </c>
      <c r="FR40" s="200">
        <f>IF(AND($F40=1,$F12=0),'Allgemeine Unternehmensdaten'!$G$13*FR$22*$I12*($N40+1)^(FR$20)*((1+$K40)^(FR$20)),'Allgemeine Unternehmensdaten'!$G$13*FR22*$F12*$F40*($N40+1)^(FR$20)*((1+$K40)^(FR$20)))</f>
        <v>0</v>
      </c>
      <c r="FS40" s="200">
        <f>IF(AND($F40=1,$F12=0),'Allgemeine Unternehmensdaten'!$G$13*FS$22*$I12*($N40+1)^(FS$20)*((1+$K40)^(FS$20)),'Allgemeine Unternehmensdaten'!$G$13*FS22*$F12*$F40*($N40+1)^(FS$20)*((1+$K40)^(FS$20)))</f>
        <v>0</v>
      </c>
      <c r="FT40" s="200">
        <f>IF(AND($F40=1,$F12=0),'Allgemeine Unternehmensdaten'!$G$13*FT$22*$I12*($N40+1)^(FT$20)*((1+$K40)^(FT$20)),'Allgemeine Unternehmensdaten'!$G$13*FT22*$F12*$F40*($N40+1)^(FT$20)*((1+$K40)^(FT$20)))</f>
        <v>0</v>
      </c>
      <c r="FU40" s="200">
        <f>IF(AND($F40=1,$F12=0),'Allgemeine Unternehmensdaten'!$G$13*FU$22*$I12*($N40+1)^(FU$20)*((1+$K40)^(FU$20)),'Allgemeine Unternehmensdaten'!$G$13*FU22*$F12*$F40*($N40+1)^(FU$20)*((1+$K40)^(FU$20)))</f>
        <v>0</v>
      </c>
      <c r="FV40" s="200">
        <f>IF(AND($F40=1,$F12=0),'Allgemeine Unternehmensdaten'!$G$13*FV$22*$I12*($N40+1)^(FV$20)*((1+$K40)^(FV$20)),'Allgemeine Unternehmensdaten'!$G$13*FV22*$F12*$F40*($N40+1)^(FV$20)*((1+$K40)^(FV$20)))</f>
        <v>0</v>
      </c>
      <c r="FW40" s="200">
        <f>IF(AND($F40=1,$F12=0),'Allgemeine Unternehmensdaten'!$G$13*FW$22*$I12*($N40+1)^(FW$20)*((1+$K40)^(FW$20)),'Allgemeine Unternehmensdaten'!$G$13*FW22*$F12*$F40*($N40+1)^(FW$20)*((1+$K40)^(FW$20)))</f>
        <v>0</v>
      </c>
      <c r="FX40" s="200">
        <f>IF(AND($F40=1,$F12=0),'Allgemeine Unternehmensdaten'!$G$13*FX$22*$I12*($N40+1)^(FX$20)*((1+$K40)^(FX$20)),'Allgemeine Unternehmensdaten'!$G$13*FX22*$F12*$F40*($N40+1)^(FX$20)*((1+$K40)^(FX$20)))</f>
        <v>0</v>
      </c>
      <c r="FY40" s="200">
        <f>IF(AND($F40=1,$F12=0),'Allgemeine Unternehmensdaten'!$G$13*FY$22*$I12*($N40+1)^(FY$20)*((1+$K40)^(FY$20)),'Allgemeine Unternehmensdaten'!$G$13*FY22*$F12*$F40*($N40+1)^(FY$20)*((1+$K40)^(FY$20)))</f>
        <v>0</v>
      </c>
      <c r="FZ40" s="200">
        <f>IF(AND($F40=1,$F12=0),'Allgemeine Unternehmensdaten'!$G$13*FZ$22*$I12*($N40+1)^(FZ$20)*((1+$K40)^(FZ$20)),'Allgemeine Unternehmensdaten'!$G$13*FZ22*$F12*$F40*($N40+1)^(FZ$20)*((1+$K40)^(FZ$20)))</f>
        <v>0</v>
      </c>
      <c r="GA40" s="200">
        <f>IF(AND($F40=1,$F12=0),'Allgemeine Unternehmensdaten'!$G$13*GA$22*$I12*($N40+1)^(GA$20)*((1+$K40)^(GA$20)),'Allgemeine Unternehmensdaten'!$G$13*GA22*$F12*$F40*($N40+1)^(GA$20)*((1+$K40)^(GA$20)))</f>
        <v>0</v>
      </c>
      <c r="GB40" s="200">
        <f>IF(AND($F40=1,$F12=0),'Allgemeine Unternehmensdaten'!$G$13*GB$22*$I12*($N40+1)^(GB$20)*((1+$K40)^(GB$20)),'Allgemeine Unternehmensdaten'!$G$13*GB22*$F12*$F40*($N40+1)^(GB$20)*((1+$K40)^(GB$20)))</f>
        <v>0</v>
      </c>
    </row>
    <row r="41" spans="1:184" ht="17.25" customHeight="1" x14ac:dyDescent="0.5">
      <c r="A41" s="88"/>
      <c r="B41" s="323"/>
      <c r="C41" s="101" t="str">
        <f>"Mehrverbrauch "&amp;'Allgemeine Unternehmensdaten'!C30&amp;" in %"</f>
        <v>Mehrverbrauch Flexibler Kostenfaktor in %</v>
      </c>
      <c r="D41" s="191">
        <f t="array" ref="D41">IFERROR(_xlfn.IFS(D13&gt;=G13,0,D13=0,1),(G13-D13)/D13)</f>
        <v>0</v>
      </c>
      <c r="E41" s="191">
        <f t="array" ref="E41">IFERROR(_xlfn.IFS(E13&gt;=H13,0,E13=0,1),(H13-E13)/E13)</f>
        <v>0</v>
      </c>
      <c r="F41" s="191">
        <f t="array" ref="F41">IFERROR(_xlfn.IFS(F13&gt;=I13,0,F13=0,1),(I13-F13)/F13)</f>
        <v>0</v>
      </c>
      <c r="G41" s="171">
        <v>99</v>
      </c>
      <c r="H41" s="201">
        <v>99</v>
      </c>
      <c r="I41" s="154">
        <v>0</v>
      </c>
      <c r="J41" s="155">
        <v>0</v>
      </c>
      <c r="K41" s="156">
        <v>0</v>
      </c>
      <c r="L41" s="202">
        <f>'Allgemeine Unternehmensdaten'!$E$8</f>
        <v>0.04</v>
      </c>
      <c r="M41" s="165">
        <f>$E$7</f>
        <v>0.03</v>
      </c>
      <c r="N41" s="166">
        <f>$F$7</f>
        <v>0.05</v>
      </c>
      <c r="R41" s="199" t="str">
        <f t="shared" si="16"/>
        <v>Mehrverbrauch Flexibler Kostenfaktor in %</v>
      </c>
      <c r="S41" s="200">
        <f>IF(AND($E41=1,$E13=0),'Allgemeine Unternehmensdaten'!$E$30*S$22*$H13*($M41+1)^(S20)*((1+$J41)^(S$20)),'Allgemeine Unternehmensdaten'!$E$30*S22*$E13*$E41*($M41+1)^(S20)*((1+$J41)^(S$20)))</f>
        <v>0</v>
      </c>
      <c r="T41" s="200">
        <f>IF(AND($E41=1,$E13=0),'Allgemeine Unternehmensdaten'!$E$30*T$22*$H13*($M41+1)^(T20)*((1+$J41)^(T$20)),'Allgemeine Unternehmensdaten'!$E$30*T22*$E13*$E41*($M41+1)^(T20)*((1+$J41)^(T$20)))</f>
        <v>0</v>
      </c>
      <c r="U41" s="200">
        <f>IF(AND($E41=1,$E13=0),'Allgemeine Unternehmensdaten'!$E$30*U$22*$H13*($M41+1)^(U20)*((1+$J41)^(U$20)),'Allgemeine Unternehmensdaten'!$E$30*U22*$E13*$E41*($M41+1)^(U20)*((1+$J41)^(U$20)))</f>
        <v>0</v>
      </c>
      <c r="V41" s="200">
        <f>IF(AND($E41=1,$E13=0),'Allgemeine Unternehmensdaten'!$E$30*V$22*$H13*($M41+1)^(V20)*((1+$J41)^(V$20)),'Allgemeine Unternehmensdaten'!$E$30*V22*$E13*$E41*($M41+1)^(V20)*((1+$J41)^(V$20)))</f>
        <v>0</v>
      </c>
      <c r="W41" s="200">
        <f>IF(AND($E41=1,$E13=0),'Allgemeine Unternehmensdaten'!$E$30*W$22*$H13*($M41+1)^(W20)*((1+$J41)^(W$20)),'Allgemeine Unternehmensdaten'!$E$30*W22*$E13*$E41*($M41+1)^(W20)*((1+$J41)^(W$20)))</f>
        <v>0</v>
      </c>
      <c r="X41" s="200">
        <f>IF(AND($E41=1,$E13=0),'Allgemeine Unternehmensdaten'!$E$30*X$22*$H13*($M41+1)^(X20)*((1+$J41)^(X$20)),'Allgemeine Unternehmensdaten'!$E$30*X22*$E13*$E41*($M41+1)^(X20)*((1+$J41)^(X$20)))</f>
        <v>0</v>
      </c>
      <c r="Y41" s="200">
        <f>IF(AND($E41=1,$E13=0),'Allgemeine Unternehmensdaten'!$E$30*Y$22*$H13*($M41+1)^(Y20)*((1+$J41)^(Y$20)),'Allgemeine Unternehmensdaten'!$E$30*Y22*$E13*$E41*($M41+1)^(Y20)*((1+$J41)^(Y$20)))</f>
        <v>0</v>
      </c>
      <c r="Z41" s="200">
        <f>IF(AND($E41=1,$E13=0),'Allgemeine Unternehmensdaten'!$E$30*Z$22*$H13*($M41+1)^(Z20)*((1+$J41)^(Z$20)),'Allgemeine Unternehmensdaten'!$E$30*Z22*$E13*$E41*($M41+1)^(Z20)*((1+$J41)^(Z$20)))</f>
        <v>0</v>
      </c>
      <c r="AA41" s="200">
        <f>IF(AND($E41=1,$E13=0),'Allgemeine Unternehmensdaten'!$E$30*AA$22*$H13*($M41+1)^(AA20)*((1+$J41)^(AA$20)),'Allgemeine Unternehmensdaten'!$E$30*AA22*$E13*$E41*($M41+1)^(AA20)*((1+$J41)^(AA$20)))</f>
        <v>0</v>
      </c>
      <c r="AB41" s="200">
        <f>IF(AND($E41=1,$E13=0),'Allgemeine Unternehmensdaten'!$E$30*AB$22*$H13*($M41+1)^(AB20)*((1+$J41)^(AB$20)),'Allgemeine Unternehmensdaten'!$E$30*AB22*$E13*$E41*($M41+1)^(AB20)*((1+$J41)^(AB$20)))</f>
        <v>0</v>
      </c>
      <c r="AC41" s="200">
        <f>IF(AND($E41=1,$E13=0),'Allgemeine Unternehmensdaten'!$E$30*AC$22*$H13*($M41+1)^(AC20)*((1+$J41)^(AC$20)),'Allgemeine Unternehmensdaten'!$E$30*AC22*$E13*$E41*($M41+1)^(AC20)*((1+$J41)^(AC$20)))</f>
        <v>0</v>
      </c>
      <c r="AD41" s="200">
        <f>IF(AND($E41=1,$E13=0),'Allgemeine Unternehmensdaten'!$E$30*AD$22*$H13*($M41+1)^(AD20)*((1+$J41)^(AD$20)),'Allgemeine Unternehmensdaten'!$E$30*AD22*$E13*$E41*($M41+1)^(AD20)*((1+$J41)^(AD$20)))</f>
        <v>0</v>
      </c>
      <c r="AE41" s="200">
        <f>IF(AND($E41=1,$E13=0),'Allgemeine Unternehmensdaten'!$E$30*AE$22*$H13*($M41+1)^(AE20)*((1+$J41)^(AE$20)),'Allgemeine Unternehmensdaten'!$E$30*AE22*$E13*$E41*($M41+1)^(AE20)*((1+$J41)^(AE$20)))</f>
        <v>0</v>
      </c>
      <c r="AF41" s="200">
        <f>IF(AND($E41=1,$E13=0),'Allgemeine Unternehmensdaten'!$E$30*AF$22*$H13*($M41+1)^(AF20)*((1+$J41)^(AF$20)),'Allgemeine Unternehmensdaten'!$E$30*AF22*$E13*$E41*($M41+1)^(AF20)*((1+$J41)^(AF$20)))</f>
        <v>0</v>
      </c>
      <c r="AG41" s="200">
        <f>IF(AND($E41=1,$E13=0),'Allgemeine Unternehmensdaten'!$E$30*AG$22*$H13*($M41+1)^(AG20)*((1+$J41)^(AG$20)),'Allgemeine Unternehmensdaten'!$E$30*AG22*$E13*$E41*($M41+1)^(AG20)*((1+$J41)^(AG$20)))</f>
        <v>0</v>
      </c>
      <c r="AH41" s="200">
        <f>IF(AND($E41=1,$E13=0),'Allgemeine Unternehmensdaten'!$E$30*AH$22*$H13*($M41+1)^(AH20)*((1+$J41)^(AH$20)),'Allgemeine Unternehmensdaten'!$E$30*AH22*$E13*$E41*($M41+1)^(AH20)*((1+$J41)^(AH$20)))</f>
        <v>0</v>
      </c>
      <c r="AI41" s="200">
        <f>IF(AND($E41=1,$E13=0),'Allgemeine Unternehmensdaten'!$E$30*AI$22*$H13*($M41+1)^(AI20)*((1+$J41)^(AI$20)),'Allgemeine Unternehmensdaten'!$E$30*AI22*$E13*$E41*($M41+1)^(AI20)*((1+$J41)^(AI$20)))</f>
        <v>0</v>
      </c>
      <c r="AJ41" s="200">
        <f>IF(AND($E41=1,$E13=0),'Allgemeine Unternehmensdaten'!$E$30*AJ$22*$H13*($M41+1)^(AJ20)*((1+$J41)^(AJ$20)),'Allgemeine Unternehmensdaten'!$E$30*AJ22*$E13*$E41*($M41+1)^(AJ20)*((1+$J41)^(AJ$20)))</f>
        <v>0</v>
      </c>
      <c r="AK41" s="200">
        <f>IF(AND($E41=1,$E13=0),'Allgemeine Unternehmensdaten'!$E$30*AK$22*$H13*($M41+1)^(AK20)*((1+$J41)^(AK$20)),'Allgemeine Unternehmensdaten'!$E$30*AK22*$E13*$E41*($M41+1)^(AK20)*((1+$J41)^(AK$20)))</f>
        <v>0</v>
      </c>
      <c r="AL41" s="200">
        <f>IF(AND($E41=1,$E13=0),'Allgemeine Unternehmensdaten'!$E$30*AL$22*$H13*($M41+1)^(AL20)*((1+$J41)^(AL$20)),'Allgemeine Unternehmensdaten'!$E$30*AL22*$E13*$E41*($M41+1)^(AL20)*((1+$J41)^(AL$20)))</f>
        <v>0</v>
      </c>
      <c r="AM41" s="200">
        <f>IF(AND($E41=1,$E13=0),'Allgemeine Unternehmensdaten'!$E$30*AM$22*$H13*($M41+1)^(AM20)*((1+$J41)^(AM$20)),'Allgemeine Unternehmensdaten'!$E$30*AM22*$E13*$E41*($M41+1)^(AM20)*((1+$J41)^(AM$20)))</f>
        <v>0</v>
      </c>
      <c r="AN41" s="200">
        <f>IF(AND($E41=1,$E13=0),'Allgemeine Unternehmensdaten'!$E$30*AN$22*$H13*($M41+1)^(AN20)*((1+$J41)^(AN$20)),'Allgemeine Unternehmensdaten'!$E$30*AN22*$E13*$E41*($M41+1)^(AN20)*((1+$J41)^(AN$20)))</f>
        <v>0</v>
      </c>
      <c r="AO41" s="200">
        <f>IF(AND($E41=1,$E13=0),'Allgemeine Unternehmensdaten'!$E$30*AO$22*$H13*($M41+1)^(AO20)*((1+$J41)^(AO$20)),'Allgemeine Unternehmensdaten'!$E$30*AO22*$E13*$E41*($M41+1)^(AO20)*((1+$J41)^(AO$20)))</f>
        <v>0</v>
      </c>
      <c r="AP41" s="200">
        <f>IF(AND($E41=1,$E13=0),'Allgemeine Unternehmensdaten'!$E$30*AP$22*$H13*($M41+1)^(AP20)*((1+$J41)^(AP$20)),'Allgemeine Unternehmensdaten'!$E$30*AP22*$E13*$E41*($M41+1)^(AP20)*((1+$J41)^(AP$20)))</f>
        <v>0</v>
      </c>
      <c r="AQ41" s="200">
        <f>IF(AND($E41=1,$E13=0),'Allgemeine Unternehmensdaten'!$E$30*AQ$22*$H13*($M41+1)^(AQ20)*((1+$J41)^(AQ$20)),'Allgemeine Unternehmensdaten'!$E$30*AQ22*$E13*$E41*($M41+1)^(AQ20)*((1+$J41)^(AQ$20)))</f>
        <v>0</v>
      </c>
      <c r="AR41" s="200">
        <f>IF(AND($E41=1,$E13=0),'Allgemeine Unternehmensdaten'!$E$30*AR$22*$H13*($M41+1)^(AR20)*((1+$J41)^(AR$20)),'Allgemeine Unternehmensdaten'!$E$30*AR22*$E13*$E41*($M41+1)^(AR20)*((1+$J41)^(AR$20)))</f>
        <v>0</v>
      </c>
      <c r="AS41" s="200">
        <f>IF(AND($E41=1,$E13=0),'Allgemeine Unternehmensdaten'!$E$30*AS$22*$H13*($M41+1)^(AS20)*((1+$J41)^(AS$20)),'Allgemeine Unternehmensdaten'!$E$30*AS22*$E13*$E41*($M41+1)^(AS20)*((1+$J41)^(AS$20)))</f>
        <v>0</v>
      </c>
      <c r="AT41" s="200">
        <f>IF(AND($E41=1,$E13=0),'Allgemeine Unternehmensdaten'!$E$30*AT$22*$H13*($M41+1)^(AT20)*((1+$J41)^(AT$20)),'Allgemeine Unternehmensdaten'!$E$30*AT22*$E13*$E41*($M41+1)^(AT20)*((1+$J41)^(AT$20)))</f>
        <v>0</v>
      </c>
      <c r="AU41" s="200">
        <f>IF(AND($E41=1,$E13=0),'Allgemeine Unternehmensdaten'!$E$30*AU$22*$H13*($M41+1)^(AU20)*((1+$J41)^(AU$20)),'Allgemeine Unternehmensdaten'!$E$30*AU22*$E13*$E41*($M41+1)^(AU20)*((1+$J41)^(AU$20)))</f>
        <v>0</v>
      </c>
      <c r="AV41" s="200">
        <f>IF(AND($E41=1,$E13=0),'Allgemeine Unternehmensdaten'!$E$30*AV$22*$H13*($M41+1)^(AV20)*((1+$J41)^(AV$20)),'Allgemeine Unternehmensdaten'!$E$30*AV22*$E13*$E41*($M41+1)^(AV20)*((1+$J41)^(AV$20)))</f>
        <v>0</v>
      </c>
      <c r="AW41" s="200">
        <f>IF(AND($E41=1,$E13=0),'Allgemeine Unternehmensdaten'!$E$30*AW$22*$H13*($M41+1)^(AW20)*((1+$J41)^(AW$20)),'Allgemeine Unternehmensdaten'!$E$30*AW22*$E13*$E41*($M41+1)^(AW20)*((1+$J41)^(AW$20)))</f>
        <v>0</v>
      </c>
      <c r="AX41" s="200">
        <f>IF(AND($E41=1,$E13=0),'Allgemeine Unternehmensdaten'!$E$30*AX$22*$H13*($M41+1)^(AX20)*((1+$J41)^(AX$20)),'Allgemeine Unternehmensdaten'!$E$30*AX22*$E13*$E41*($M41+1)^(AX20)*((1+$J41)^(AX$20)))</f>
        <v>0</v>
      </c>
      <c r="AY41" s="200">
        <f>IF(AND($E41=1,$E13=0),'Allgemeine Unternehmensdaten'!$E$30*AY$22*$H13*($M41+1)^(AY20)*((1+$J41)^(AY$20)),'Allgemeine Unternehmensdaten'!$E$30*AY22*$E13*$E41*($M41+1)^(AY20)*((1+$J41)^(AY$20)))</f>
        <v>0</v>
      </c>
      <c r="AZ41" s="200">
        <f>IF(AND($E41=1,$E13=0),'Allgemeine Unternehmensdaten'!$E$30*AZ$22*$H13*($M41+1)^(AZ20)*((1+$J41)^(AZ$20)),'Allgemeine Unternehmensdaten'!$E$30*AZ22*$E13*$E41*($M41+1)^(AZ20)*((1+$J41)^(AZ$20)))</f>
        <v>0</v>
      </c>
      <c r="BA41" s="200">
        <f>IF(AND($E41=1,$E13=0),'Allgemeine Unternehmensdaten'!$E$30*BA$22*$H13*($M41+1)^(BA20)*((1+$J41)^(BA$20)),'Allgemeine Unternehmensdaten'!$E$30*BA22*$E13*$E41*($M41+1)^(BA20)*((1+$J41)^(BA$20)))</f>
        <v>0</v>
      </c>
      <c r="BB41" s="200">
        <f>IF(AND($E41=1,$E13=0),'Allgemeine Unternehmensdaten'!$E$30*BB$22*$H13*($M41+1)^(BB20)*((1+$J41)^(BB$20)),'Allgemeine Unternehmensdaten'!$E$30*BB22*$E13*$E41*($M41+1)^(BB20)*((1+$J41)^(BB$20)))</f>
        <v>0</v>
      </c>
      <c r="BC41" s="200">
        <f>IF(AND($E41=1,$E13=0),'Allgemeine Unternehmensdaten'!$E$30*BC$22*$H13*($M41+1)^(BC20)*((1+$J41)^(BC$20)),'Allgemeine Unternehmensdaten'!$E$30*BC22*$E13*$E41*($M41+1)^(BC20)*((1+$J41)^(BC$20)))</f>
        <v>0</v>
      </c>
      <c r="BD41" s="200">
        <f>IF(AND($E41=1,$E13=0),'Allgemeine Unternehmensdaten'!$E$30*BD$22*$H13*($M41+1)^(BD20)*((1+$J41)^(BD$20)),'Allgemeine Unternehmensdaten'!$E$30*BD22*$E13*$E41*($M41+1)^(BD20)*((1+$J41)^(BD$20)))</f>
        <v>0</v>
      </c>
      <c r="BE41" s="200">
        <f>IF(AND($E41=1,$E13=0),'Allgemeine Unternehmensdaten'!$E$30*BE$22*$H13*($M41+1)^(BE20)*((1+$J41)^(BE$20)),'Allgemeine Unternehmensdaten'!$E$30*BE22*$E13*$E41*($M41+1)^(BE20)*((1+$J41)^(BE$20)))</f>
        <v>0</v>
      </c>
      <c r="BF41" s="200">
        <f>IF(AND($E41=1,$E13=0),'Allgemeine Unternehmensdaten'!$E$30*BF$22*$H13*($M41+1)^(BF20)*((1+$J41)^(BF$20)),'Allgemeine Unternehmensdaten'!$E$30*BF22*$E13*$E41*($M41+1)^(BF20)*((1+$J41)^(BF$20)))</f>
        <v>0</v>
      </c>
      <c r="BG41" s="200">
        <f>IF(AND($E41=1,$E13=0),'Allgemeine Unternehmensdaten'!$E$30*BG$22*$H13*($M41+1)^(BG20)*((1+$J41)^(BG$20)),'Allgemeine Unternehmensdaten'!$E$30*BG22*$E13*$E41*($M41+1)^(BG20)*((1+$J41)^(BG$20)))</f>
        <v>0</v>
      </c>
      <c r="BH41" s="200">
        <f>IF(AND($E41=1,$E13=0),'Allgemeine Unternehmensdaten'!$E$30*BH$22*$H13*($M41+1)^(BH20)*((1+$J41)^(BH$20)),'Allgemeine Unternehmensdaten'!$E$30*BH22*$E13*$E41*($M41+1)^(BH20)*((1+$J41)^(BH$20)))</f>
        <v>0</v>
      </c>
      <c r="BI41" s="200">
        <f>IF(AND($E41=1,$E13=0),'Allgemeine Unternehmensdaten'!$E$30*BI$22*$H13*($M41+1)^(BI20)*((1+$J41)^(BI$20)),'Allgemeine Unternehmensdaten'!$E$30*BI22*$E13*$E41*($M41+1)^(BI20)*((1+$J41)^(BI$20)))</f>
        <v>0</v>
      </c>
      <c r="BJ41" s="200">
        <f>IF(AND($E41=1,$E13=0),'Allgemeine Unternehmensdaten'!$E$30*BJ$22*$H13*($M41+1)^(BJ20)*((1+$J41)^(BJ$20)),'Allgemeine Unternehmensdaten'!$E$30*BJ22*$E13*$E41*($M41+1)^(BJ20)*((1+$J41)^(BJ$20)))</f>
        <v>0</v>
      </c>
      <c r="BK41" s="200">
        <f>IF(AND($E41=1,$E13=0),'Allgemeine Unternehmensdaten'!$E$30*BK$22*$H13*($M41+1)^(BK20)*((1+$J41)^(BK$20)),'Allgemeine Unternehmensdaten'!$E$30*BK22*$E13*$E41*($M41+1)^(BK20)*((1+$J41)^(BK$20)))</f>
        <v>0</v>
      </c>
      <c r="BL41" s="200">
        <f>IF(AND($E41=1,$E13=0),'Allgemeine Unternehmensdaten'!$E$30*BL$22*$H13*($M41+1)^(BL20)*((1+$J41)^(BL$20)),'Allgemeine Unternehmensdaten'!$E$30*BL22*$E13*$E41*($M41+1)^(BL20)*((1+$J41)^(BL$20)))</f>
        <v>0</v>
      </c>
      <c r="BM41" s="200">
        <f>IF(AND($E41=1,$E13=0),'Allgemeine Unternehmensdaten'!$E$30*BM$22*$H13*($M41+1)^(BM20)*((1+$J41)^(BM$20)),'Allgemeine Unternehmensdaten'!$E$30*BM22*$E13*$E41*($M41+1)^(BM20)*((1+$J41)^(BM$20)))</f>
        <v>0</v>
      </c>
      <c r="BN41" s="200">
        <f>IF(AND($E41=1,$E13=0),'Allgemeine Unternehmensdaten'!$E$30*BN$22*$H13*($M41+1)^(BN20)*((1+$J41)^(BN$20)),'Allgemeine Unternehmensdaten'!$E$30*BN22*$E13*$E41*($M41+1)^(BN20)*((1+$J41)^(BN$20)))</f>
        <v>0</v>
      </c>
      <c r="BO41" s="200">
        <f>IF(AND($E41=1,$E13=0),'Allgemeine Unternehmensdaten'!$E$30*BO$22*$H13*($M41+1)^(BO20)*((1+$J41)^(BO$20)),'Allgemeine Unternehmensdaten'!$E$30*BO22*$E13*$E41*($M41+1)^(BO20)*((1+$J41)^(BO$20)))</f>
        <v>0</v>
      </c>
      <c r="BP41" s="200">
        <f>IF(AND($E41=1,$E13=0),'Allgemeine Unternehmensdaten'!$E$30*BP$22*$H13*($M41+1)^(BP20)*((1+$J41)^(BP$20)),'Allgemeine Unternehmensdaten'!$E$30*BP22*$E13*$E41*($M41+1)^(BP20)*((1+$J41)^(BP$20)))</f>
        <v>0</v>
      </c>
      <c r="BQ41" s="200">
        <f>IF(AND($E41=1,$E13=0),'Allgemeine Unternehmensdaten'!$E$30*BQ$22*$H13*($M41+1)^(BQ20)*((1+$J41)^(BQ$20)),'Allgemeine Unternehmensdaten'!$E$30*BQ22*$E13*$E41*($M41+1)^(BQ20)*((1+$J41)^(BQ$20)))</f>
        <v>0</v>
      </c>
      <c r="BR41" s="200">
        <f>IF(AND($E41=1,$E13=0),'Allgemeine Unternehmensdaten'!$E$30*BR$22*$H13*($M41+1)^(BR20)*((1+$J41)^(BR$20)),'Allgemeine Unternehmensdaten'!$E$30*BR22*$E13*$E41*($M41+1)^(BR20)*((1+$J41)^(BR$20)))</f>
        <v>0</v>
      </c>
      <c r="BS41" s="200">
        <f>IF(AND($E41=1,$E13=0),'Allgemeine Unternehmensdaten'!$E$30*BS$22*$H13*($M41+1)^(BS20)*((1+$J41)^(BS$20)),'Allgemeine Unternehmensdaten'!$E$30*BS22*$E13*$E41*($M41+1)^(BS20)*((1+$J41)^(BS$20)))</f>
        <v>0</v>
      </c>
      <c r="BT41" s="200">
        <f>IF(AND($E41=1,$E13=0),'Allgemeine Unternehmensdaten'!$E$30*BT$22*$H13*($M41+1)^(BT20)*((1+$J41)^(BT$20)),'Allgemeine Unternehmensdaten'!$E$30*BT22*$E13*$E41*($M41+1)^(BT20)*((1+$J41)^(BT$20)))</f>
        <v>0</v>
      </c>
      <c r="BV41" s="199" t="str">
        <f t="shared" si="19"/>
        <v>Mehrverbrauch Flexibler Kostenfaktor in %</v>
      </c>
      <c r="BW41" s="200">
        <f>IF(AND($D41=1,$D13=0),'Allgemeine Unternehmensdaten'!$E$30*BW$22*$G13*($L41+1)^(BW20)*((1+$I41)^(BW$20)),'Allgemeine Unternehmensdaten'!$E$30*BW22*$D13*$D41*($L41+1)^(BW20)*((1+$I41)^(BW$20)))</f>
        <v>0</v>
      </c>
      <c r="BX41" s="200">
        <f>IF(AND($D41=1,$D13=0),'Allgemeine Unternehmensdaten'!$E$30*BX$22*$G13*($L41+1)^(BX20)*((1+$I41)^(BX$20)),'Allgemeine Unternehmensdaten'!$E$30*BX22*$D13*$D41*($L41+1)^(BX20)*((1+$I41)^(BX$20)))</f>
        <v>0</v>
      </c>
      <c r="BY41" s="200">
        <f>IF(AND($D41=1,$D13=0),'Allgemeine Unternehmensdaten'!$E$30*BY$22*$G13*($L41+1)^(BY20)*((1+$I41)^(BY$20)),'Allgemeine Unternehmensdaten'!$E$30*BY22*$D13*$D41*($L41+1)^(BY20)*((1+$I41)^(BY$20)))</f>
        <v>0</v>
      </c>
      <c r="BZ41" s="200">
        <f>IF(AND($D41=1,$D13=0),'Allgemeine Unternehmensdaten'!$E$30*BZ$22*$G13*($L41+1)^(BZ20)*((1+$I41)^(BZ$20)),'Allgemeine Unternehmensdaten'!$E$30*BZ22*$D13*$D41*($L41+1)^(BZ20)*((1+$I41)^(BZ$20)))</f>
        <v>0</v>
      </c>
      <c r="CA41" s="200">
        <f>IF(AND($D41=1,$D13=0),'Allgemeine Unternehmensdaten'!$E$30*CA$22*$G13*($L41+1)^(CA20)*((1+$I41)^(CA$20)),'Allgemeine Unternehmensdaten'!$E$30*CA22*$D13*$D41*($L41+1)^(CA20)*((1+$I41)^(CA$20)))</f>
        <v>0</v>
      </c>
      <c r="CB41" s="200">
        <f>IF(AND($D41=1,$D13=0),'Allgemeine Unternehmensdaten'!$E$30*CB$22*$G13*($L41+1)^(CB20)*((1+$I41)^(CB$20)),'Allgemeine Unternehmensdaten'!$E$30*CB22*$D13*$D41*($L41+1)^(CB20)*((1+$I41)^(CB$20)))</f>
        <v>0</v>
      </c>
      <c r="CC41" s="200">
        <f>IF(AND($D41=1,$D13=0),'Allgemeine Unternehmensdaten'!$E$30*CC$22*$G13*($L41+1)^(CC20)*((1+$I41)^(CC$20)),'Allgemeine Unternehmensdaten'!$E$30*CC22*$D13*$D41*($L41+1)^(CC20)*((1+$I41)^(CC$20)))</f>
        <v>0</v>
      </c>
      <c r="CD41" s="200">
        <f>IF(AND($D41=1,$D13=0),'Allgemeine Unternehmensdaten'!$E$30*CD$22*$G13*($L41+1)^(CD20)*((1+$I41)^(CD$20)),'Allgemeine Unternehmensdaten'!$E$30*CD22*$D13*$D41*($L41+1)^(CD20)*((1+$I41)^(CD$20)))</f>
        <v>0</v>
      </c>
      <c r="CE41" s="200">
        <f>IF(AND($D41=1,$D13=0),'Allgemeine Unternehmensdaten'!$E$30*CE$22*$G13*($L41+1)^(CE20)*((1+$I41)^(CE$20)),'Allgemeine Unternehmensdaten'!$E$30*CE22*$D13*$D41*($L41+1)^(CE20)*((1+$I41)^(CE$20)))</f>
        <v>0</v>
      </c>
      <c r="CF41" s="200">
        <f>IF(AND($D41=1,$D13=0),'Allgemeine Unternehmensdaten'!$E$30*CF$22*$G13*($L41+1)^(CF20)*((1+$I41)^(CF$20)),'Allgemeine Unternehmensdaten'!$E$30*CF22*$D13*$D41*($L41+1)^(CF20)*((1+$I41)^(CF$20)))</f>
        <v>0</v>
      </c>
      <c r="CG41" s="200">
        <f>IF(AND($D41=1,$D13=0),'Allgemeine Unternehmensdaten'!$E$30*CG$22*$G13*($L41+1)^(CG20)*((1+$I41)^(CG$20)),'Allgemeine Unternehmensdaten'!$E$30*CG22*$D13*$D41*($L41+1)^(CG20)*((1+$I41)^(CG$20)))</f>
        <v>0</v>
      </c>
      <c r="CH41" s="200">
        <f>IF(AND($D41=1,$D13=0),'Allgemeine Unternehmensdaten'!$E$30*CH$22*$G13*($L41+1)^(CH20)*((1+$I41)^(CH$20)),'Allgemeine Unternehmensdaten'!$E$30*CH22*$D13*$D41*($L41+1)^(CH20)*((1+$I41)^(CH$20)))</f>
        <v>0</v>
      </c>
      <c r="CI41" s="200">
        <f>IF(AND($D41=1,$D13=0),'Allgemeine Unternehmensdaten'!$E$30*CI$22*$G13*($L41+1)^(CI20)*((1+$I41)^(CI$20)),'Allgemeine Unternehmensdaten'!$E$30*CI22*$D13*$D41*($L41+1)^(CI20)*((1+$I41)^(CI$20)))</f>
        <v>0</v>
      </c>
      <c r="CJ41" s="200">
        <f>IF(AND($D41=1,$D13=0),'Allgemeine Unternehmensdaten'!$E$30*CJ$22*$G13*($L41+1)^(CJ20)*((1+$I41)^(CJ$20)),'Allgemeine Unternehmensdaten'!$E$30*CJ22*$D13*$D41*($L41+1)^(CJ20)*((1+$I41)^(CJ$20)))</f>
        <v>0</v>
      </c>
      <c r="CK41" s="200">
        <f>IF(AND($D41=1,$D13=0),'Allgemeine Unternehmensdaten'!$E$30*CK$22*$G13*($L41+1)^(CK20)*((1+$I41)^(CK$20)),'Allgemeine Unternehmensdaten'!$E$30*CK22*$D13*$D41*($L41+1)^(CK20)*((1+$I41)^(CK$20)))</f>
        <v>0</v>
      </c>
      <c r="CL41" s="200">
        <f>IF(AND($D41=1,$D13=0),'Allgemeine Unternehmensdaten'!$E$30*CL$22*$G13*($L41+1)^(CL20)*((1+$I41)^(CL$20)),'Allgemeine Unternehmensdaten'!$E$30*CL22*$D13*$D41*($L41+1)^(CL20)*((1+$I41)^(CL$20)))</f>
        <v>0</v>
      </c>
      <c r="CM41" s="200">
        <f>IF(AND($D41=1,$D13=0),'Allgemeine Unternehmensdaten'!$E$30*CM$22*$G13*($L41+1)^(CM20)*((1+$I41)^(CM$20)),'Allgemeine Unternehmensdaten'!$E$30*CM22*$D13*$D41*($L41+1)^(CM20)*((1+$I41)^(CM$20)))</f>
        <v>0</v>
      </c>
      <c r="CN41" s="200">
        <f>IF(AND($D41=1,$D13=0),'Allgemeine Unternehmensdaten'!$E$30*CN$22*$G13*($L41+1)^(CN20)*((1+$I41)^(CN$20)),'Allgemeine Unternehmensdaten'!$E$30*CN22*$D13*$D41*($L41+1)^(CN20)*((1+$I41)^(CN$20)))</f>
        <v>0</v>
      </c>
      <c r="CO41" s="200">
        <f>IF(AND($D41=1,$D13=0),'Allgemeine Unternehmensdaten'!$E$30*CO$22*$G13*($L41+1)^(CO20)*((1+$I41)^(CO$20)),'Allgemeine Unternehmensdaten'!$E$30*CO22*$D13*$D41*($L41+1)^(CO20)*((1+$I41)^(CO$20)))</f>
        <v>0</v>
      </c>
      <c r="CP41" s="200">
        <f>IF(AND($D41=1,$D13=0),'Allgemeine Unternehmensdaten'!$E$30*CP$22*$G13*($L41+1)^(CP20)*((1+$I41)^(CP$20)),'Allgemeine Unternehmensdaten'!$E$30*CP22*$D13*$D41*($L41+1)^(CP20)*((1+$I41)^(CP$20)))</f>
        <v>0</v>
      </c>
      <c r="CQ41" s="200">
        <f>IF(AND($D41=1,$D13=0),'Allgemeine Unternehmensdaten'!$E$30*CQ$22*$G13*($L41+1)^(CQ20)*((1+$I41)^(CQ$20)),'Allgemeine Unternehmensdaten'!$E$30*CQ22*$D13*$D41*($L41+1)^(CQ20)*((1+$I41)^(CQ$20)))</f>
        <v>0</v>
      </c>
      <c r="CR41" s="200">
        <f>IF(AND($D41=1,$D13=0),'Allgemeine Unternehmensdaten'!$E$30*CR$22*$G13*($L41+1)^(CR20)*((1+$I41)^(CR$20)),'Allgemeine Unternehmensdaten'!$E$30*CR22*$D13*$D41*($L41+1)^(CR20)*((1+$I41)^(CR$20)))</f>
        <v>0</v>
      </c>
      <c r="CS41" s="200">
        <f>IF(AND($D41=1,$D13=0),'Allgemeine Unternehmensdaten'!$E$30*CS$22*$G13*($L41+1)^(CS20)*((1+$I41)^(CS$20)),'Allgemeine Unternehmensdaten'!$E$30*CS22*$D13*$D41*($L41+1)^(CS20)*((1+$I41)^(CS$20)))</f>
        <v>0</v>
      </c>
      <c r="CT41" s="200">
        <f>IF(AND($D41=1,$D13=0),'Allgemeine Unternehmensdaten'!$E$30*CT$22*$G13*($L41+1)^(CT20)*((1+$I41)^(CT$20)),'Allgemeine Unternehmensdaten'!$E$30*CT22*$D13*$D41*($L41+1)^(CT20)*((1+$I41)^(CT$20)))</f>
        <v>0</v>
      </c>
      <c r="CU41" s="200">
        <f>IF(AND($D41=1,$D13=0),'Allgemeine Unternehmensdaten'!$E$30*CU$22*$G13*($L41+1)^(CU20)*((1+$I41)^(CU$20)),'Allgemeine Unternehmensdaten'!$E$30*CU22*$D13*$D41*($L41+1)^(CU20)*((1+$I41)^(CU$20)))</f>
        <v>0</v>
      </c>
      <c r="CV41" s="200">
        <f>IF(AND($D41=1,$D13=0),'Allgemeine Unternehmensdaten'!$E$30*CV$22*$G13*($L41+1)^(CV20)*((1+$I41)^(CV$20)),'Allgemeine Unternehmensdaten'!$E$30*CV22*$D13*$D41*($L41+1)^(CV20)*((1+$I41)^(CV$20)))</f>
        <v>0</v>
      </c>
      <c r="CW41" s="200">
        <f>IF(AND($D41=1,$D13=0),'Allgemeine Unternehmensdaten'!$E$30*CW$22*$G13*($L41+1)^(CW20)*((1+$I41)^(CW$20)),'Allgemeine Unternehmensdaten'!$E$30*CW22*$D13*$D41*($L41+1)^(CW20)*((1+$I41)^(CW$20)))</f>
        <v>0</v>
      </c>
      <c r="CX41" s="200">
        <f>IF(AND($D41=1,$D13=0),'Allgemeine Unternehmensdaten'!$E$30*CX$22*$G13*($L41+1)^(CX20)*((1+$I41)^(CX$20)),'Allgemeine Unternehmensdaten'!$E$30*CX22*$D13*$D41*($L41+1)^(CX20)*((1+$I41)^(CX$20)))</f>
        <v>0</v>
      </c>
      <c r="CY41" s="200">
        <f>IF(AND($D41=1,$D13=0),'Allgemeine Unternehmensdaten'!$E$30*CY$22*$G13*($L41+1)^(CY20)*((1+$I41)^(CY$20)),'Allgemeine Unternehmensdaten'!$E$30*CY22*$D13*$D41*($L41+1)^(CY20)*((1+$I41)^(CY$20)))</f>
        <v>0</v>
      </c>
      <c r="CZ41" s="200">
        <f>IF(AND($D41=1,$D13=0),'Allgemeine Unternehmensdaten'!$E$30*CZ$22*$G13*($L41+1)^(CZ20)*((1+$I41)^(CZ$20)),'Allgemeine Unternehmensdaten'!$E$30*CZ22*$D13*$D41*($L41+1)^(CZ20)*((1+$I41)^(CZ$20)))</f>
        <v>0</v>
      </c>
      <c r="DA41" s="200">
        <f>IF(AND($D41=1,$D13=0),'Allgemeine Unternehmensdaten'!$E$30*DA$22*$G13*($L41+1)^(DA20)*((1+$I41)^(DA$20)),'Allgemeine Unternehmensdaten'!$E$30*DA22*$D13*$D41*($L41+1)^(DA20)*((1+$I41)^(DA$20)))</f>
        <v>0</v>
      </c>
      <c r="DB41" s="200">
        <f>IF(AND($D41=1,$D13=0),'Allgemeine Unternehmensdaten'!$E$30*DB$22*$G13*($L41+1)^(DB20)*((1+$I41)^(DB$20)),'Allgemeine Unternehmensdaten'!$E$30*DB22*$D13*$D41*($L41+1)^(DB20)*((1+$I41)^(DB$20)))</f>
        <v>0</v>
      </c>
      <c r="DC41" s="200">
        <f>IF(AND($D41=1,$D13=0),'Allgemeine Unternehmensdaten'!$E$30*DC$22*$G13*($L41+1)^(DC20)*((1+$I41)^(DC$20)),'Allgemeine Unternehmensdaten'!$E$30*DC22*$D13*$D41*($L41+1)^(DC20)*((1+$I41)^(DC$20)))</f>
        <v>0</v>
      </c>
      <c r="DD41" s="200">
        <f>IF(AND($D41=1,$D13=0),'Allgemeine Unternehmensdaten'!$E$30*DD$22*$G13*($L41+1)^(DD20)*((1+$I41)^(DD$20)),'Allgemeine Unternehmensdaten'!$E$30*DD22*$D13*$D41*($L41+1)^(DD20)*((1+$I41)^(DD$20)))</f>
        <v>0</v>
      </c>
      <c r="DE41" s="200">
        <f>IF(AND($D41=1,$D13=0),'Allgemeine Unternehmensdaten'!$E$30*DE$22*$G13*($L41+1)^(DE20)*((1+$I41)^(DE$20)),'Allgemeine Unternehmensdaten'!$E$30*DE22*$D13*$D41*($L41+1)^(DE20)*((1+$I41)^(DE$20)))</f>
        <v>0</v>
      </c>
      <c r="DF41" s="200">
        <f>IF(AND($D41=1,$D13=0),'Allgemeine Unternehmensdaten'!$E$30*DF$22*$G13*($L41+1)^(DF20)*((1+$I41)^(DF$20)),'Allgemeine Unternehmensdaten'!$E$30*DF22*$D13*$D41*($L41+1)^(DF20)*((1+$I41)^(DF$20)))</f>
        <v>0</v>
      </c>
      <c r="DG41" s="200">
        <f>IF(AND($D41=1,$D13=0),'Allgemeine Unternehmensdaten'!$E$30*DG$22*$G13*($L41+1)^(DG20)*((1+$I41)^(DG$20)),'Allgemeine Unternehmensdaten'!$E$30*DG22*$D13*$D41*($L41+1)^(DG20)*((1+$I41)^(DG$20)))</f>
        <v>0</v>
      </c>
      <c r="DH41" s="200">
        <f>IF(AND($D41=1,$D13=0),'Allgemeine Unternehmensdaten'!$E$30*DH$22*$G13*($L41+1)^(DH20)*((1+$I41)^(DH$20)),'Allgemeine Unternehmensdaten'!$E$30*DH22*$D13*$D41*($L41+1)^(DH20)*((1+$I41)^(DH$20)))</f>
        <v>0</v>
      </c>
      <c r="DI41" s="200">
        <f>IF(AND($D41=1,$D13=0),'Allgemeine Unternehmensdaten'!$E$30*DI$22*$G13*($L41+1)^(DI20)*((1+$I41)^(DI$20)),'Allgemeine Unternehmensdaten'!$E$30*DI22*$D13*$D41*($L41+1)^(DI20)*((1+$I41)^(DI$20)))</f>
        <v>0</v>
      </c>
      <c r="DJ41" s="200">
        <f>IF(AND($D41=1,$D13=0),'Allgemeine Unternehmensdaten'!$E$30*DJ$22*$G13*($L41+1)^(DJ20)*((1+$I41)^(DJ$20)),'Allgemeine Unternehmensdaten'!$E$30*DJ22*$D13*$D41*($L41+1)^(DJ20)*((1+$I41)^(DJ$20)))</f>
        <v>0</v>
      </c>
      <c r="DK41" s="200">
        <f>IF(AND($D41=1,$D13=0),'Allgemeine Unternehmensdaten'!$E$30*DK$22*$G13*($L41+1)^(DK20)*((1+$I41)^(DK$20)),'Allgemeine Unternehmensdaten'!$E$30*DK22*$D13*$D41*($L41+1)^(DK20)*((1+$I41)^(DK$20)))</f>
        <v>0</v>
      </c>
      <c r="DL41" s="200">
        <f>IF(AND($D41=1,$D13=0),'Allgemeine Unternehmensdaten'!$E$30*DL$22*$G13*($L41+1)^(DL20)*((1+$I41)^(DL$20)),'Allgemeine Unternehmensdaten'!$E$30*DL22*$D13*$D41*($L41+1)^(DL20)*((1+$I41)^(DL$20)))</f>
        <v>0</v>
      </c>
      <c r="DM41" s="200">
        <f>IF(AND($D41=1,$D13=0),'Allgemeine Unternehmensdaten'!$E$30*DM$22*$G13*($L41+1)^(DM20)*((1+$I41)^(DM$20)),'Allgemeine Unternehmensdaten'!$E$30*DM22*$D13*$D41*($L41+1)^(DM20)*((1+$I41)^(DM$20)))</f>
        <v>0</v>
      </c>
      <c r="DN41" s="200">
        <f>IF(AND($D41=1,$D13=0),'Allgemeine Unternehmensdaten'!$E$30*DN$22*$G13*($L41+1)^(DN20)*((1+$I41)^(DN$20)),'Allgemeine Unternehmensdaten'!$E$30*DN22*$D13*$D41*($L41+1)^(DN20)*((1+$I41)^(DN$20)))</f>
        <v>0</v>
      </c>
      <c r="DO41" s="200">
        <f>IF(AND($D41=1,$D13=0),'Allgemeine Unternehmensdaten'!$E$30*DO$22*$G13*($L41+1)^(DO20)*((1+$I41)^(DO$20)),'Allgemeine Unternehmensdaten'!$E$30*DO22*$D13*$D41*($L41+1)^(DO20)*((1+$I41)^(DO$20)))</f>
        <v>0</v>
      </c>
      <c r="DP41" s="200">
        <f>IF(AND($D41=1,$D13=0),'Allgemeine Unternehmensdaten'!$E$30*DP$22*$G13*($L41+1)^(DP20)*((1+$I41)^(DP$20)),'Allgemeine Unternehmensdaten'!$E$30*DP22*$D13*$D41*($L41+1)^(DP20)*((1+$I41)^(DP$20)))</f>
        <v>0</v>
      </c>
      <c r="DQ41" s="200">
        <f>IF(AND($D41=1,$D13=0),'Allgemeine Unternehmensdaten'!$E$30*DQ$22*$G13*($L41+1)^(DQ20)*((1+$I41)^(DQ$20)),'Allgemeine Unternehmensdaten'!$E$30*DQ22*$D13*$D41*($L41+1)^(DQ20)*((1+$I41)^(DQ$20)))</f>
        <v>0</v>
      </c>
      <c r="DR41" s="200">
        <f>IF(AND($D41=1,$D13=0),'Allgemeine Unternehmensdaten'!$E$30*DR$22*$G13*($L41+1)^(DR20)*((1+$I41)^(DR$20)),'Allgemeine Unternehmensdaten'!$E$30*DR22*$D13*$D41*($L41+1)^(DR20)*((1+$I41)^(DR$20)))</f>
        <v>0</v>
      </c>
      <c r="DS41" s="200">
        <f>IF(AND($D41=1,$D13=0),'Allgemeine Unternehmensdaten'!$E$30*DS$22*$G13*($L41+1)^(DS20)*((1+$I41)^(DS$20)),'Allgemeine Unternehmensdaten'!$E$30*DS22*$D13*$D41*($L41+1)^(DS20)*((1+$I41)^(DS$20)))</f>
        <v>0</v>
      </c>
      <c r="DT41" s="200">
        <f>IF(AND($D41=1,$D13=0),'Allgemeine Unternehmensdaten'!$E$30*DT$22*$G13*($L41+1)^(DT20)*((1+$I41)^(DT$20)),'Allgemeine Unternehmensdaten'!$E$30*DT22*$D13*$D41*($L41+1)^(DT20)*((1+$I41)^(DT$20)))</f>
        <v>0</v>
      </c>
      <c r="DU41" s="200">
        <f>IF(AND($D41=1,$D13=0),'Allgemeine Unternehmensdaten'!$E$30*DU$22*$G13*($L41+1)^(DU20)*((1+$I41)^(DU$20)),'Allgemeine Unternehmensdaten'!$E$30*DU22*$D13*$D41*($L41+1)^(DU20)*((1+$I41)^(DU$20)))</f>
        <v>0</v>
      </c>
      <c r="DV41" s="200">
        <f>IF(AND($D41=1,$D13=0),'Allgemeine Unternehmensdaten'!$E$30*DV$22*$G13*($L41+1)^(DV20)*((1+$I41)^(DV$20)),'Allgemeine Unternehmensdaten'!$E$30*DV22*$D13*$D41*($L41+1)^(DV20)*((1+$I41)^(DV$20)))</f>
        <v>0</v>
      </c>
      <c r="DW41" s="200">
        <f>IF(AND($D41=1,$D13=0),'Allgemeine Unternehmensdaten'!$E$30*DW$22*$G13*($L41+1)^(DW20)*((1+$I41)^(DW$20)),'Allgemeine Unternehmensdaten'!$E$30*DW22*$D13*$D41*($L41+1)^(DW20)*((1+$I41)^(DW$20)))</f>
        <v>0</v>
      </c>
      <c r="DX41" s="200">
        <f>IF(AND($D41=1,$D13=0),'Allgemeine Unternehmensdaten'!$E$30*DX$22*$G13*($L41+1)^(DX20)*((1+$I41)^(DX$20)),'Allgemeine Unternehmensdaten'!$E$30*DX22*$D13*$D41*($L41+1)^(DX20)*((1+$I41)^(DX$20)))</f>
        <v>0</v>
      </c>
      <c r="DZ41" s="199" t="str">
        <f t="shared" si="22"/>
        <v>Mehrverbrauch Flexibler Kostenfaktor in %</v>
      </c>
      <c r="EA41" s="200">
        <f>IF(AND($F41=1,$F13=0),'Allgemeine Unternehmensdaten'!$E$30*EA$22*$I13*($N41+1)^(EA20)*((1+$K41)^(EA$20)),'Allgemeine Unternehmensdaten'!$E$30*EA22*$F13*$F41*($N41+1)^(EA20)*((1+$K41)^(EA$20)))</f>
        <v>0</v>
      </c>
      <c r="EB41" s="200">
        <f>IF(AND($F41=1,$F13=0),'Allgemeine Unternehmensdaten'!$E$30*EB$22*$I13*($N41+1)^(EB20)*((1+$K41)^(EB$20)),'Allgemeine Unternehmensdaten'!$E$30*EB22*$F13*$F41*($N41+1)^(EB20)*((1+$K41)^(EB$20)))</f>
        <v>0</v>
      </c>
      <c r="EC41" s="200">
        <f>IF(AND($F41=1,$F13=0),'Allgemeine Unternehmensdaten'!$E$30*EC$22*$I13*($N41+1)^(EC20)*((1+$K41)^(EC$20)),'Allgemeine Unternehmensdaten'!$E$30*EC22*$F13*$F41*($N41+1)^(EC20)*((1+$K41)^(EC$20)))</f>
        <v>0</v>
      </c>
      <c r="ED41" s="200">
        <f>IF(AND($F41=1,$F13=0),'Allgemeine Unternehmensdaten'!$E$30*ED$22*$I13*($N41+1)^(ED20)*((1+$K41)^(ED$20)),'Allgemeine Unternehmensdaten'!$E$30*ED22*$F13*$F41*($N41+1)^(ED20)*((1+$K41)^(ED$20)))</f>
        <v>0</v>
      </c>
      <c r="EE41" s="200">
        <f>IF(AND($F41=1,$F13=0),'Allgemeine Unternehmensdaten'!$E$30*EE$22*$I13*($N41+1)^(EE20)*((1+$K41)^(EE$20)),'Allgemeine Unternehmensdaten'!$E$30*EE22*$F13*$F41*($N41+1)^(EE20)*((1+$K41)^(EE$20)))</f>
        <v>0</v>
      </c>
      <c r="EF41" s="200">
        <f>IF(AND($F41=1,$F13=0),'Allgemeine Unternehmensdaten'!$E$30*EF$22*$I13*($N41+1)^(EF20)*((1+$K41)^(EF$20)),'Allgemeine Unternehmensdaten'!$E$30*EF22*$F13*$F41*($N41+1)^(EF20)*((1+$K41)^(EF$20)))</f>
        <v>0</v>
      </c>
      <c r="EG41" s="200">
        <f>IF(AND($F41=1,$F13=0),'Allgemeine Unternehmensdaten'!$E$30*EG$22*$I13*($N41+1)^(EG20)*((1+$K41)^(EG$20)),'Allgemeine Unternehmensdaten'!$E$30*EG22*$F13*$F41*($N41+1)^(EG20)*((1+$K41)^(EG$20)))</f>
        <v>0</v>
      </c>
      <c r="EH41" s="200">
        <f>IF(AND($F41=1,$F13=0),'Allgemeine Unternehmensdaten'!$E$30*EH$22*$I13*($N41+1)^(EH20)*((1+$K41)^(EH$20)),'Allgemeine Unternehmensdaten'!$E$30*EH22*$F13*$F41*($N41+1)^(EH20)*((1+$K41)^(EH$20)))</f>
        <v>0</v>
      </c>
      <c r="EI41" s="200">
        <f>IF(AND($F41=1,$F13=0),'Allgemeine Unternehmensdaten'!$E$30*EI$22*$I13*($N41+1)^(EI20)*((1+$K41)^(EI$20)),'Allgemeine Unternehmensdaten'!$E$30*EI22*$F13*$F41*($N41+1)^(EI20)*((1+$K41)^(EI$20)))</f>
        <v>0</v>
      </c>
      <c r="EJ41" s="200">
        <f>IF(AND($F41=1,$F13=0),'Allgemeine Unternehmensdaten'!$E$30*EJ$22*$I13*($N41+1)^(EJ20)*((1+$K41)^(EJ$20)),'Allgemeine Unternehmensdaten'!$E$30*EJ22*$F13*$F41*($N41+1)^(EJ20)*((1+$K41)^(EJ$20)))</f>
        <v>0</v>
      </c>
      <c r="EK41" s="200">
        <f>IF(AND($F41=1,$F13=0),'Allgemeine Unternehmensdaten'!$E$30*EK$22*$I13*($N41+1)^(EK20)*((1+$K41)^(EK$20)),'Allgemeine Unternehmensdaten'!$E$30*EK22*$F13*$F41*($N41+1)^(EK20)*((1+$K41)^(EK$20)))</f>
        <v>0</v>
      </c>
      <c r="EL41" s="200">
        <f>IF(AND($F41=1,$F13=0),'Allgemeine Unternehmensdaten'!$E$30*EL$22*$I13*($N41+1)^(EL20)*((1+$K41)^(EL$20)),'Allgemeine Unternehmensdaten'!$E$30*EL22*$F13*$F41*($N41+1)^(EL20)*((1+$K41)^(EL$20)))</f>
        <v>0</v>
      </c>
      <c r="EM41" s="200">
        <f>IF(AND($F41=1,$F13=0),'Allgemeine Unternehmensdaten'!$E$30*EM$22*$I13*($N41+1)^(EM20)*((1+$K41)^(EM$20)),'Allgemeine Unternehmensdaten'!$E$30*EM22*$F13*$F41*($N41+1)^(EM20)*((1+$K41)^(EM$20)))</f>
        <v>0</v>
      </c>
      <c r="EN41" s="200">
        <f>IF(AND($F41=1,$F13=0),'Allgemeine Unternehmensdaten'!$E$30*EN$22*$I13*($N41+1)^(EN20)*((1+$K41)^(EN$20)),'Allgemeine Unternehmensdaten'!$E$30*EN22*$F13*$F41*($N41+1)^(EN20)*((1+$K41)^(EN$20)))</f>
        <v>0</v>
      </c>
      <c r="EO41" s="200">
        <f>IF(AND($F41=1,$F13=0),'Allgemeine Unternehmensdaten'!$E$30*EO$22*$I13*($N41+1)^(EO20)*((1+$K41)^(EO$20)),'Allgemeine Unternehmensdaten'!$E$30*EO22*$F13*$F41*($N41+1)^(EO20)*((1+$K41)^(EO$20)))</f>
        <v>0</v>
      </c>
      <c r="EP41" s="200">
        <f>IF(AND($F41=1,$F13=0),'Allgemeine Unternehmensdaten'!$E$30*EP$22*$I13*($N41+1)^(EP20)*((1+$K41)^(EP$20)),'Allgemeine Unternehmensdaten'!$E$30*EP22*$F13*$F41*($N41+1)^(EP20)*((1+$K41)^(EP$20)))</f>
        <v>0</v>
      </c>
      <c r="EQ41" s="200">
        <f>IF(AND($F41=1,$F13=0),'Allgemeine Unternehmensdaten'!$E$30*EQ$22*$I13*($N41+1)^(EQ20)*((1+$K41)^(EQ$20)),'Allgemeine Unternehmensdaten'!$E$30*EQ22*$F13*$F41*($N41+1)^(EQ20)*((1+$K41)^(EQ$20)))</f>
        <v>0</v>
      </c>
      <c r="ER41" s="200">
        <f>IF(AND($F41=1,$F13=0),'Allgemeine Unternehmensdaten'!$E$30*ER$22*$I13*($N41+1)^(ER20)*((1+$K41)^(ER$20)),'Allgemeine Unternehmensdaten'!$E$30*ER22*$F13*$F41*($N41+1)^(ER20)*((1+$K41)^(ER$20)))</f>
        <v>0</v>
      </c>
      <c r="ES41" s="200">
        <f>IF(AND($F41=1,$F13=0),'Allgemeine Unternehmensdaten'!$E$30*ES$22*$I13*($N41+1)^(ES20)*((1+$K41)^(ES$20)),'Allgemeine Unternehmensdaten'!$E$30*ES22*$F13*$F41*($N41+1)^(ES20)*((1+$K41)^(ES$20)))</f>
        <v>0</v>
      </c>
      <c r="ET41" s="200">
        <f>IF(AND($F41=1,$F13=0),'Allgemeine Unternehmensdaten'!$E$30*ET$22*$I13*($N41+1)^(ET20)*((1+$K41)^(ET$20)),'Allgemeine Unternehmensdaten'!$E$30*ET22*$F13*$F41*($N41+1)^(ET20)*((1+$K41)^(ET$20)))</f>
        <v>0</v>
      </c>
      <c r="EU41" s="200">
        <f>IF(AND($F41=1,$F13=0),'Allgemeine Unternehmensdaten'!$E$30*EU$22*$I13*($N41+1)^(EU20)*((1+$K41)^(EU$20)),'Allgemeine Unternehmensdaten'!$E$30*EU22*$F13*$F41*($N41+1)^(EU20)*((1+$K41)^(EU$20)))</f>
        <v>0</v>
      </c>
      <c r="EV41" s="200">
        <f>IF(AND($F41=1,$F13=0),'Allgemeine Unternehmensdaten'!$E$30*EV$22*$I13*($N41+1)^(EV20)*((1+$K41)^(EV$20)),'Allgemeine Unternehmensdaten'!$E$30*EV22*$F13*$F41*($N41+1)^(EV20)*((1+$K41)^(EV$20)))</f>
        <v>0</v>
      </c>
      <c r="EW41" s="200">
        <f>IF(AND($F41=1,$F13=0),'Allgemeine Unternehmensdaten'!$E$30*EW$22*$I13*($N41+1)^(EW20)*((1+$K41)^(EW$20)),'Allgemeine Unternehmensdaten'!$E$30*EW22*$F13*$F41*($N41+1)^(EW20)*((1+$K41)^(EW$20)))</f>
        <v>0</v>
      </c>
      <c r="EX41" s="200">
        <f>IF(AND($F41=1,$F13=0),'Allgemeine Unternehmensdaten'!$E$30*EX$22*$I13*($N41+1)^(EX20)*((1+$K41)^(EX$20)),'Allgemeine Unternehmensdaten'!$E$30*EX22*$F13*$F41*($N41+1)^(EX20)*((1+$K41)^(EX$20)))</f>
        <v>0</v>
      </c>
      <c r="EY41" s="200">
        <f>IF(AND($F41=1,$F13=0),'Allgemeine Unternehmensdaten'!$E$30*EY$22*$I13*($N41+1)^(EY20)*((1+$K41)^(EY$20)),'Allgemeine Unternehmensdaten'!$E$30*EY22*$F13*$F41*($N41+1)^(EY20)*((1+$K41)^(EY$20)))</f>
        <v>0</v>
      </c>
      <c r="EZ41" s="200">
        <f>IF(AND($F41=1,$F13=0),'Allgemeine Unternehmensdaten'!$E$30*EZ$22*$I13*($N41+1)^(EZ20)*((1+$K41)^(EZ$20)),'Allgemeine Unternehmensdaten'!$E$30*EZ22*$F13*$F41*($N41+1)^(EZ20)*((1+$K41)^(EZ$20)))</f>
        <v>0</v>
      </c>
      <c r="FA41" s="200">
        <f>IF(AND($F41=1,$F13=0),'Allgemeine Unternehmensdaten'!$E$30*FA$22*$I13*($N41+1)^(FA20)*((1+$K41)^(FA$20)),'Allgemeine Unternehmensdaten'!$E$30*FA22*$F13*$F41*($N41+1)^(FA20)*((1+$K41)^(FA$20)))</f>
        <v>0</v>
      </c>
      <c r="FB41" s="200">
        <f>IF(AND($F41=1,$F13=0),'Allgemeine Unternehmensdaten'!$E$30*FB$22*$I13*($N41+1)^(FB20)*((1+$K41)^(FB$20)),'Allgemeine Unternehmensdaten'!$E$30*FB22*$F13*$F41*($N41+1)^(FB20)*((1+$K41)^(FB$20)))</f>
        <v>0</v>
      </c>
      <c r="FC41" s="200">
        <f>IF(AND($F41=1,$F13=0),'Allgemeine Unternehmensdaten'!$E$30*FC$22*$I13*($N41+1)^(FC20)*((1+$K41)^(FC$20)),'Allgemeine Unternehmensdaten'!$E$30*FC22*$F13*$F41*($N41+1)^(FC20)*((1+$K41)^(FC$20)))</f>
        <v>0</v>
      </c>
      <c r="FD41" s="200">
        <f>IF(AND($F41=1,$F13=0),'Allgemeine Unternehmensdaten'!$E$30*FD$22*$I13*($N41+1)^(FD20)*((1+$K41)^(FD$20)),'Allgemeine Unternehmensdaten'!$E$30*FD22*$F13*$F41*($N41+1)^(FD20)*((1+$K41)^(FD$20)))</f>
        <v>0</v>
      </c>
      <c r="FE41" s="200">
        <f>IF(AND($F41=1,$F13=0),'Allgemeine Unternehmensdaten'!$E$30*FE$22*$I13*($N41+1)^(FE20)*((1+$K41)^(FE$20)),'Allgemeine Unternehmensdaten'!$E$30*FE22*$F13*$F41*($N41+1)^(FE20)*((1+$K41)^(FE$20)))</f>
        <v>0</v>
      </c>
      <c r="FF41" s="200">
        <f>IF(AND($F41=1,$F13=0),'Allgemeine Unternehmensdaten'!$E$30*FF$22*$I13*($N41+1)^(FF20)*((1+$K41)^(FF$20)),'Allgemeine Unternehmensdaten'!$E$30*FF22*$F13*$F41*($N41+1)^(FF20)*((1+$K41)^(FF$20)))</f>
        <v>0</v>
      </c>
      <c r="FG41" s="200">
        <f>IF(AND($F41=1,$F13=0),'Allgemeine Unternehmensdaten'!$E$30*FG$22*$I13*($N41+1)^(FG20)*((1+$K41)^(FG$20)),'Allgemeine Unternehmensdaten'!$E$30*FG22*$F13*$F41*($N41+1)^(FG20)*((1+$K41)^(FG$20)))</f>
        <v>0</v>
      </c>
      <c r="FH41" s="200">
        <f>IF(AND($F41=1,$F13=0),'Allgemeine Unternehmensdaten'!$E$30*FH$22*$I13*($N41+1)^(FH20)*((1+$K41)^(FH$20)),'Allgemeine Unternehmensdaten'!$E$30*FH22*$F13*$F41*($N41+1)^(FH20)*((1+$K41)^(FH$20)))</f>
        <v>0</v>
      </c>
      <c r="FI41" s="200">
        <f>IF(AND($F41=1,$F13=0),'Allgemeine Unternehmensdaten'!$E$30*FI$22*$I13*($N41+1)^(FI20)*((1+$K41)^(FI$20)),'Allgemeine Unternehmensdaten'!$E$30*FI22*$F13*$F41*($N41+1)^(FI20)*((1+$K41)^(FI$20)))</f>
        <v>0</v>
      </c>
      <c r="FJ41" s="200">
        <f>IF(AND($F41=1,$F13=0),'Allgemeine Unternehmensdaten'!$E$30*FJ$22*$I13*($N41+1)^(FJ20)*((1+$K41)^(FJ$20)),'Allgemeine Unternehmensdaten'!$E$30*FJ22*$F13*$F41*($N41+1)^(FJ20)*((1+$K41)^(FJ$20)))</f>
        <v>0</v>
      </c>
      <c r="FK41" s="200">
        <f>IF(AND($F41=1,$F13=0),'Allgemeine Unternehmensdaten'!$E$30*FK$22*$I13*($N41+1)^(FK20)*((1+$K41)^(FK$20)),'Allgemeine Unternehmensdaten'!$E$30*FK22*$F13*$F41*($N41+1)^(FK20)*((1+$K41)^(FK$20)))</f>
        <v>0</v>
      </c>
      <c r="FL41" s="200">
        <f>IF(AND($F41=1,$F13=0),'Allgemeine Unternehmensdaten'!$E$30*FL$22*$I13*($N41+1)^(FL20)*((1+$K41)^(FL$20)),'Allgemeine Unternehmensdaten'!$E$30*FL22*$F13*$F41*($N41+1)^(FL20)*((1+$K41)^(FL$20)))</f>
        <v>0</v>
      </c>
      <c r="FM41" s="200">
        <f>IF(AND($F41=1,$F13=0),'Allgemeine Unternehmensdaten'!$E$30*FM$22*$I13*($N41+1)^(FM20)*((1+$K41)^(FM$20)),'Allgemeine Unternehmensdaten'!$E$30*FM22*$F13*$F41*($N41+1)^(FM20)*((1+$K41)^(FM$20)))</f>
        <v>0</v>
      </c>
      <c r="FN41" s="200">
        <f>IF(AND($F41=1,$F13=0),'Allgemeine Unternehmensdaten'!$E$30*FN$22*$I13*($N41+1)^(FN20)*((1+$K41)^(FN$20)),'Allgemeine Unternehmensdaten'!$E$30*FN22*$F13*$F41*($N41+1)^(FN20)*((1+$K41)^(FN$20)))</f>
        <v>0</v>
      </c>
      <c r="FO41" s="200">
        <f>IF(AND($F41=1,$F13=0),'Allgemeine Unternehmensdaten'!$E$30*FO$22*$I13*($N41+1)^(FO20)*((1+$K41)^(FO$20)),'Allgemeine Unternehmensdaten'!$E$30*FO22*$F13*$F41*($N41+1)^(FO20)*((1+$K41)^(FO$20)))</f>
        <v>0</v>
      </c>
      <c r="FP41" s="200">
        <f>IF(AND($F41=1,$F13=0),'Allgemeine Unternehmensdaten'!$E$30*FP$22*$I13*($N41+1)^(FP20)*((1+$K41)^(FP$20)),'Allgemeine Unternehmensdaten'!$E$30*FP22*$F13*$F41*($N41+1)^(FP20)*((1+$K41)^(FP$20)))</f>
        <v>0</v>
      </c>
      <c r="FQ41" s="200">
        <f>IF(AND($F41=1,$F13=0),'Allgemeine Unternehmensdaten'!$E$30*FQ$22*$I13*($N41+1)^(FQ20)*((1+$K41)^(FQ$20)),'Allgemeine Unternehmensdaten'!$E$30*FQ22*$F13*$F41*($N41+1)^(FQ20)*((1+$K41)^(FQ$20)))</f>
        <v>0</v>
      </c>
      <c r="FR41" s="200">
        <f>IF(AND($F41=1,$F13=0),'Allgemeine Unternehmensdaten'!$E$30*FR$22*$I13*($N41+1)^(FR20)*((1+$K41)^(FR$20)),'Allgemeine Unternehmensdaten'!$E$30*FR22*$F13*$F41*($N41+1)^(FR20)*((1+$K41)^(FR$20)))</f>
        <v>0</v>
      </c>
      <c r="FS41" s="200">
        <f>IF(AND($F41=1,$F13=0),'Allgemeine Unternehmensdaten'!$E$30*FS$22*$I13*($N41+1)^(FS20)*((1+$K41)^(FS$20)),'Allgemeine Unternehmensdaten'!$E$30*FS22*$F13*$F41*($N41+1)^(FS20)*((1+$K41)^(FS$20)))</f>
        <v>0</v>
      </c>
      <c r="FT41" s="200">
        <f>IF(AND($F41=1,$F13=0),'Allgemeine Unternehmensdaten'!$E$30*FT$22*$I13*($N41+1)^(FT20)*((1+$K41)^(FT$20)),'Allgemeine Unternehmensdaten'!$E$30*FT22*$F13*$F41*($N41+1)^(FT20)*((1+$K41)^(FT$20)))</f>
        <v>0</v>
      </c>
      <c r="FU41" s="200">
        <f>IF(AND($F41=1,$F13=0),'Allgemeine Unternehmensdaten'!$E$30*FU$22*$I13*($N41+1)^(FU20)*((1+$K41)^(FU$20)),'Allgemeine Unternehmensdaten'!$E$30*FU22*$F13*$F41*($N41+1)^(FU20)*((1+$K41)^(FU$20)))</f>
        <v>0</v>
      </c>
      <c r="FV41" s="200">
        <f>IF(AND($F41=1,$F13=0),'Allgemeine Unternehmensdaten'!$E$30*FV$22*$I13*($N41+1)^(FV20)*((1+$K41)^(FV$20)),'Allgemeine Unternehmensdaten'!$E$30*FV22*$F13*$F41*($N41+1)^(FV20)*((1+$K41)^(FV$20)))</f>
        <v>0</v>
      </c>
      <c r="FW41" s="200">
        <f>IF(AND($F41=1,$F13=0),'Allgemeine Unternehmensdaten'!$E$30*FW$22*$I13*($N41+1)^(FW20)*((1+$K41)^(FW$20)),'Allgemeine Unternehmensdaten'!$E$30*FW22*$F13*$F41*($N41+1)^(FW20)*((1+$K41)^(FW$20)))</f>
        <v>0</v>
      </c>
      <c r="FX41" s="200">
        <f>IF(AND($F41=1,$F13=0),'Allgemeine Unternehmensdaten'!$E$30*FX$22*$I13*($N41+1)^(FX20)*((1+$K41)^(FX$20)),'Allgemeine Unternehmensdaten'!$E$30*FX22*$F13*$F41*($N41+1)^(FX20)*((1+$K41)^(FX$20)))</f>
        <v>0</v>
      </c>
      <c r="FY41" s="200">
        <f>IF(AND($F41=1,$F13=0),'Allgemeine Unternehmensdaten'!$E$30*FY$22*$I13*($N41+1)^(FY20)*((1+$K41)^(FY$20)),'Allgemeine Unternehmensdaten'!$E$30*FY22*$F13*$F41*($N41+1)^(FY20)*((1+$K41)^(FY$20)))</f>
        <v>0</v>
      </c>
      <c r="FZ41" s="200">
        <f>IF(AND($F41=1,$F13=0),'Allgemeine Unternehmensdaten'!$E$30*FZ$22*$I13*($N41+1)^(FZ20)*((1+$K41)^(FZ$20)),'Allgemeine Unternehmensdaten'!$E$30*FZ22*$F13*$F41*($N41+1)^(FZ20)*((1+$K41)^(FZ$20)))</f>
        <v>0</v>
      </c>
      <c r="GA41" s="200">
        <f>IF(AND($F41=1,$F13=0),'Allgemeine Unternehmensdaten'!$E$30*GA$22*$I13*($N41+1)^(GA20)*((1+$K41)^(GA$20)),'Allgemeine Unternehmensdaten'!$E$30*GA22*$F13*$F41*($N41+1)^(GA20)*((1+$K41)^(GA$20)))</f>
        <v>0</v>
      </c>
      <c r="GB41" s="200">
        <f>IF(AND($F41=1,$F13=0),'Allgemeine Unternehmensdaten'!$E$30*GB$22*$I13*($N41+1)^(GB20)*((1+$K41)^(GB$20)),'Allgemeine Unternehmensdaten'!$E$30*GB22*$F13*$F41*($N41+1)^(GB20)*((1+$K41)^(GB$20)))</f>
        <v>0</v>
      </c>
    </row>
    <row r="42" spans="1:184" ht="17.25" customHeight="1" x14ac:dyDescent="0.5">
      <c r="A42" s="88"/>
      <c r="B42" s="323"/>
      <c r="C42" s="101" t="s">
        <v>138</v>
      </c>
      <c r="D42" s="169"/>
      <c r="E42" s="169"/>
      <c r="F42" s="203"/>
      <c r="G42" s="171">
        <v>99</v>
      </c>
      <c r="H42" s="201">
        <v>99</v>
      </c>
      <c r="I42" s="154">
        <v>0</v>
      </c>
      <c r="J42" s="155">
        <v>0</v>
      </c>
      <c r="K42" s="156">
        <v>0</v>
      </c>
      <c r="L42" s="168">
        <f>$D$7</f>
        <v>0.02</v>
      </c>
      <c r="M42" s="165">
        <f>$E$7</f>
        <v>0.03</v>
      </c>
      <c r="N42" s="166">
        <f>$F$7</f>
        <v>0.05</v>
      </c>
      <c r="R42" s="199" t="str">
        <f t="shared" si="16"/>
        <v>Entsorgungskosten in €</v>
      </c>
      <c r="S42" s="200">
        <f t="shared" ref="S42:AX42" si="52">IF(S21+T21=1,$E$42*(1+$M$42)^(S20)*((1+$J42)^(S$20)),0)</f>
        <v>0</v>
      </c>
      <c r="T42" s="200">
        <f t="shared" si="52"/>
        <v>0</v>
      </c>
      <c r="U42" s="200">
        <f t="shared" si="52"/>
        <v>0</v>
      </c>
      <c r="V42" s="200">
        <f t="shared" si="52"/>
        <v>0</v>
      </c>
      <c r="W42" s="200">
        <f t="shared" si="52"/>
        <v>0</v>
      </c>
      <c r="X42" s="200">
        <f t="shared" si="52"/>
        <v>0</v>
      </c>
      <c r="Y42" s="200">
        <f t="shared" si="52"/>
        <v>0</v>
      </c>
      <c r="Z42" s="200">
        <f t="shared" si="52"/>
        <v>0</v>
      </c>
      <c r="AA42" s="200">
        <f t="shared" si="52"/>
        <v>0</v>
      </c>
      <c r="AB42" s="200">
        <f t="shared" si="52"/>
        <v>0</v>
      </c>
      <c r="AC42" s="200">
        <f t="shared" si="52"/>
        <v>0</v>
      </c>
      <c r="AD42" s="200">
        <f t="shared" si="52"/>
        <v>0</v>
      </c>
      <c r="AE42" s="200">
        <f t="shared" si="52"/>
        <v>0</v>
      </c>
      <c r="AF42" s="200">
        <f t="shared" si="52"/>
        <v>0</v>
      </c>
      <c r="AG42" s="200">
        <f t="shared" si="52"/>
        <v>0</v>
      </c>
      <c r="AH42" s="200">
        <f t="shared" si="52"/>
        <v>0</v>
      </c>
      <c r="AI42" s="200">
        <f t="shared" si="52"/>
        <v>0</v>
      </c>
      <c r="AJ42" s="200">
        <f t="shared" si="52"/>
        <v>0</v>
      </c>
      <c r="AK42" s="200">
        <f t="shared" si="52"/>
        <v>0</v>
      </c>
      <c r="AL42" s="200">
        <f t="shared" si="52"/>
        <v>0</v>
      </c>
      <c r="AM42" s="200">
        <f t="shared" si="52"/>
        <v>0</v>
      </c>
      <c r="AN42" s="200">
        <f t="shared" si="52"/>
        <v>0</v>
      </c>
      <c r="AO42" s="200">
        <f t="shared" si="52"/>
        <v>0</v>
      </c>
      <c r="AP42" s="200">
        <f t="shared" si="52"/>
        <v>0</v>
      </c>
      <c r="AQ42" s="200">
        <f t="shared" si="52"/>
        <v>0</v>
      </c>
      <c r="AR42" s="200">
        <f t="shared" si="52"/>
        <v>0</v>
      </c>
      <c r="AS42" s="200">
        <f t="shared" si="52"/>
        <v>0</v>
      </c>
      <c r="AT42" s="200">
        <f t="shared" si="52"/>
        <v>0</v>
      </c>
      <c r="AU42" s="200">
        <f t="shared" si="52"/>
        <v>0</v>
      </c>
      <c r="AV42" s="200">
        <f t="shared" si="52"/>
        <v>0</v>
      </c>
      <c r="AW42" s="200">
        <f t="shared" si="52"/>
        <v>0</v>
      </c>
      <c r="AX42" s="200">
        <f t="shared" si="52"/>
        <v>0</v>
      </c>
      <c r="AY42" s="200">
        <f t="shared" ref="AY42:BT42" si="53">IF(AY21+AZ21=1,$E$42*(1+$M$42)^(AY20)*((1+$J42)^(AY$20)),0)</f>
        <v>0</v>
      </c>
      <c r="AZ42" s="200">
        <f t="shared" si="53"/>
        <v>0</v>
      </c>
      <c r="BA42" s="200">
        <f t="shared" si="53"/>
        <v>0</v>
      </c>
      <c r="BB42" s="200">
        <f t="shared" si="53"/>
        <v>0</v>
      </c>
      <c r="BC42" s="200">
        <f t="shared" si="53"/>
        <v>0</v>
      </c>
      <c r="BD42" s="200">
        <f t="shared" si="53"/>
        <v>0</v>
      </c>
      <c r="BE42" s="200">
        <f t="shared" si="53"/>
        <v>0</v>
      </c>
      <c r="BF42" s="200">
        <f t="shared" si="53"/>
        <v>0</v>
      </c>
      <c r="BG42" s="200">
        <f t="shared" si="53"/>
        <v>0</v>
      </c>
      <c r="BH42" s="200">
        <f t="shared" si="53"/>
        <v>0</v>
      </c>
      <c r="BI42" s="200">
        <f t="shared" si="53"/>
        <v>0</v>
      </c>
      <c r="BJ42" s="200">
        <f t="shared" si="53"/>
        <v>0</v>
      </c>
      <c r="BK42" s="200">
        <f t="shared" si="53"/>
        <v>0</v>
      </c>
      <c r="BL42" s="200">
        <f t="shared" si="53"/>
        <v>0</v>
      </c>
      <c r="BM42" s="200">
        <f t="shared" si="53"/>
        <v>0</v>
      </c>
      <c r="BN42" s="200">
        <f t="shared" si="53"/>
        <v>0</v>
      </c>
      <c r="BO42" s="200">
        <f t="shared" si="53"/>
        <v>0</v>
      </c>
      <c r="BP42" s="200">
        <f t="shared" si="53"/>
        <v>0</v>
      </c>
      <c r="BQ42" s="200">
        <f t="shared" si="53"/>
        <v>0</v>
      </c>
      <c r="BR42" s="200">
        <f t="shared" si="53"/>
        <v>0</v>
      </c>
      <c r="BS42" s="200">
        <f t="shared" si="53"/>
        <v>0</v>
      </c>
      <c r="BT42" s="200">
        <f t="shared" si="53"/>
        <v>0</v>
      </c>
      <c r="BV42" s="199" t="str">
        <f t="shared" si="19"/>
        <v>Entsorgungskosten in €</v>
      </c>
      <c r="BW42" s="200">
        <f t="shared" ref="BW42:DB42" si="54">IF(BW21+BX21=1,$D$42*(1+$L$42)^(BW20)*((1+$I42)^(BW$20)),0)</f>
        <v>0</v>
      </c>
      <c r="BX42" s="200">
        <f t="shared" si="54"/>
        <v>0</v>
      </c>
      <c r="BY42" s="200">
        <f t="shared" si="54"/>
        <v>0</v>
      </c>
      <c r="BZ42" s="200">
        <f t="shared" si="54"/>
        <v>0</v>
      </c>
      <c r="CA42" s="200">
        <f t="shared" si="54"/>
        <v>0</v>
      </c>
      <c r="CB42" s="200">
        <f t="shared" si="54"/>
        <v>0</v>
      </c>
      <c r="CC42" s="200">
        <f t="shared" si="54"/>
        <v>0</v>
      </c>
      <c r="CD42" s="200">
        <f t="shared" si="54"/>
        <v>0</v>
      </c>
      <c r="CE42" s="200">
        <f t="shared" si="54"/>
        <v>0</v>
      </c>
      <c r="CF42" s="200">
        <f t="shared" si="54"/>
        <v>0</v>
      </c>
      <c r="CG42" s="200">
        <f t="shared" si="54"/>
        <v>0</v>
      </c>
      <c r="CH42" s="200">
        <f t="shared" si="54"/>
        <v>0</v>
      </c>
      <c r="CI42" s="200">
        <f t="shared" si="54"/>
        <v>0</v>
      </c>
      <c r="CJ42" s="200">
        <f t="shared" si="54"/>
        <v>0</v>
      </c>
      <c r="CK42" s="200">
        <f t="shared" si="54"/>
        <v>0</v>
      </c>
      <c r="CL42" s="200">
        <f t="shared" si="54"/>
        <v>0</v>
      </c>
      <c r="CM42" s="200">
        <f t="shared" si="54"/>
        <v>0</v>
      </c>
      <c r="CN42" s="200">
        <f t="shared" si="54"/>
        <v>0</v>
      </c>
      <c r="CO42" s="200">
        <f t="shared" si="54"/>
        <v>0</v>
      </c>
      <c r="CP42" s="200">
        <f t="shared" si="54"/>
        <v>0</v>
      </c>
      <c r="CQ42" s="200">
        <f t="shared" si="54"/>
        <v>0</v>
      </c>
      <c r="CR42" s="200">
        <f t="shared" si="54"/>
        <v>0</v>
      </c>
      <c r="CS42" s="200">
        <f t="shared" si="54"/>
        <v>0</v>
      </c>
      <c r="CT42" s="200">
        <f t="shared" si="54"/>
        <v>0</v>
      </c>
      <c r="CU42" s="200">
        <f t="shared" si="54"/>
        <v>0</v>
      </c>
      <c r="CV42" s="200">
        <f t="shared" si="54"/>
        <v>0</v>
      </c>
      <c r="CW42" s="200">
        <f t="shared" si="54"/>
        <v>0</v>
      </c>
      <c r="CX42" s="200">
        <f t="shared" si="54"/>
        <v>0</v>
      </c>
      <c r="CY42" s="200">
        <f t="shared" si="54"/>
        <v>0</v>
      </c>
      <c r="CZ42" s="200">
        <f t="shared" si="54"/>
        <v>0</v>
      </c>
      <c r="DA42" s="200">
        <f t="shared" si="54"/>
        <v>0</v>
      </c>
      <c r="DB42" s="200">
        <f t="shared" si="54"/>
        <v>0</v>
      </c>
      <c r="DC42" s="200">
        <f t="shared" ref="DC42:DX42" si="55">IF(DC21+DD21=1,$D$42*(1+$L$42)^(DC20)*((1+$I42)^(DC$20)),0)</f>
        <v>0</v>
      </c>
      <c r="DD42" s="200">
        <f t="shared" si="55"/>
        <v>0</v>
      </c>
      <c r="DE42" s="200">
        <f t="shared" si="55"/>
        <v>0</v>
      </c>
      <c r="DF42" s="200">
        <f t="shared" si="55"/>
        <v>0</v>
      </c>
      <c r="DG42" s="200">
        <f t="shared" si="55"/>
        <v>0</v>
      </c>
      <c r="DH42" s="200">
        <f t="shared" si="55"/>
        <v>0</v>
      </c>
      <c r="DI42" s="200">
        <f t="shared" si="55"/>
        <v>0</v>
      </c>
      <c r="DJ42" s="200">
        <f t="shared" si="55"/>
        <v>0</v>
      </c>
      <c r="DK42" s="200">
        <f t="shared" si="55"/>
        <v>0</v>
      </c>
      <c r="DL42" s="200">
        <f t="shared" si="55"/>
        <v>0</v>
      </c>
      <c r="DM42" s="200">
        <f t="shared" si="55"/>
        <v>0</v>
      </c>
      <c r="DN42" s="200">
        <f t="shared" si="55"/>
        <v>0</v>
      </c>
      <c r="DO42" s="200">
        <f t="shared" si="55"/>
        <v>0</v>
      </c>
      <c r="DP42" s="200">
        <f t="shared" si="55"/>
        <v>0</v>
      </c>
      <c r="DQ42" s="200">
        <f t="shared" si="55"/>
        <v>0</v>
      </c>
      <c r="DR42" s="200">
        <f t="shared" si="55"/>
        <v>0</v>
      </c>
      <c r="DS42" s="200">
        <f t="shared" si="55"/>
        <v>0</v>
      </c>
      <c r="DT42" s="200">
        <f t="shared" si="55"/>
        <v>0</v>
      </c>
      <c r="DU42" s="200">
        <f t="shared" si="55"/>
        <v>0</v>
      </c>
      <c r="DV42" s="200">
        <f t="shared" si="55"/>
        <v>0</v>
      </c>
      <c r="DW42" s="200">
        <f t="shared" si="55"/>
        <v>0</v>
      </c>
      <c r="DX42" s="200">
        <f t="shared" si="55"/>
        <v>0</v>
      </c>
      <c r="DZ42" s="199" t="str">
        <f t="shared" si="22"/>
        <v>Entsorgungskosten in €</v>
      </c>
      <c r="EA42" s="200">
        <f t="shared" ref="EA42:FF42" si="56">IF(EA21+EB21=1,$F$42*(1+$N$42)^(EA20)*((1+$K42)^(EA$20)),0)</f>
        <v>0</v>
      </c>
      <c r="EB42" s="200">
        <f t="shared" si="56"/>
        <v>0</v>
      </c>
      <c r="EC42" s="200">
        <f t="shared" si="56"/>
        <v>0</v>
      </c>
      <c r="ED42" s="200">
        <f t="shared" si="56"/>
        <v>0</v>
      </c>
      <c r="EE42" s="200">
        <f t="shared" si="56"/>
        <v>0</v>
      </c>
      <c r="EF42" s="200">
        <f t="shared" si="56"/>
        <v>0</v>
      </c>
      <c r="EG42" s="200">
        <f t="shared" si="56"/>
        <v>0</v>
      </c>
      <c r="EH42" s="200">
        <f t="shared" si="56"/>
        <v>0</v>
      </c>
      <c r="EI42" s="200">
        <f t="shared" si="56"/>
        <v>0</v>
      </c>
      <c r="EJ42" s="200">
        <f t="shared" si="56"/>
        <v>0</v>
      </c>
      <c r="EK42" s="200">
        <f t="shared" si="56"/>
        <v>0</v>
      </c>
      <c r="EL42" s="200">
        <f t="shared" si="56"/>
        <v>0</v>
      </c>
      <c r="EM42" s="200">
        <f t="shared" si="56"/>
        <v>0</v>
      </c>
      <c r="EN42" s="200">
        <f t="shared" si="56"/>
        <v>0</v>
      </c>
      <c r="EO42" s="200">
        <f t="shared" si="56"/>
        <v>0</v>
      </c>
      <c r="EP42" s="200">
        <f t="shared" si="56"/>
        <v>0</v>
      </c>
      <c r="EQ42" s="200">
        <f t="shared" si="56"/>
        <v>0</v>
      </c>
      <c r="ER42" s="200">
        <f t="shared" si="56"/>
        <v>0</v>
      </c>
      <c r="ES42" s="200">
        <f t="shared" si="56"/>
        <v>0</v>
      </c>
      <c r="ET42" s="200">
        <f t="shared" si="56"/>
        <v>0</v>
      </c>
      <c r="EU42" s="200">
        <f t="shared" si="56"/>
        <v>0</v>
      </c>
      <c r="EV42" s="200">
        <f t="shared" si="56"/>
        <v>0</v>
      </c>
      <c r="EW42" s="200">
        <f t="shared" si="56"/>
        <v>0</v>
      </c>
      <c r="EX42" s="200">
        <f t="shared" si="56"/>
        <v>0</v>
      </c>
      <c r="EY42" s="200">
        <f t="shared" si="56"/>
        <v>0</v>
      </c>
      <c r="EZ42" s="200">
        <f t="shared" si="56"/>
        <v>0</v>
      </c>
      <c r="FA42" s="200">
        <f t="shared" si="56"/>
        <v>0</v>
      </c>
      <c r="FB42" s="200">
        <f t="shared" si="56"/>
        <v>0</v>
      </c>
      <c r="FC42" s="200">
        <f t="shared" si="56"/>
        <v>0</v>
      </c>
      <c r="FD42" s="200">
        <f t="shared" si="56"/>
        <v>0</v>
      </c>
      <c r="FE42" s="200">
        <f t="shared" si="56"/>
        <v>0</v>
      </c>
      <c r="FF42" s="200">
        <f t="shared" si="56"/>
        <v>0</v>
      </c>
      <c r="FG42" s="200">
        <f t="shared" ref="FG42:GB42" si="57">IF(FG21+FH21=1,$F$42*(1+$N$42)^(FG20)*((1+$K42)^(FG$20)),0)</f>
        <v>0</v>
      </c>
      <c r="FH42" s="200">
        <f t="shared" si="57"/>
        <v>0</v>
      </c>
      <c r="FI42" s="200">
        <f t="shared" si="57"/>
        <v>0</v>
      </c>
      <c r="FJ42" s="200">
        <f t="shared" si="57"/>
        <v>0</v>
      </c>
      <c r="FK42" s="200">
        <f t="shared" si="57"/>
        <v>0</v>
      </c>
      <c r="FL42" s="200">
        <f t="shared" si="57"/>
        <v>0</v>
      </c>
      <c r="FM42" s="200">
        <f t="shared" si="57"/>
        <v>0</v>
      </c>
      <c r="FN42" s="200">
        <f t="shared" si="57"/>
        <v>0</v>
      </c>
      <c r="FO42" s="200">
        <f t="shared" si="57"/>
        <v>0</v>
      </c>
      <c r="FP42" s="200">
        <f t="shared" si="57"/>
        <v>0</v>
      </c>
      <c r="FQ42" s="200">
        <f t="shared" si="57"/>
        <v>0</v>
      </c>
      <c r="FR42" s="200">
        <f t="shared" si="57"/>
        <v>0</v>
      </c>
      <c r="FS42" s="200">
        <f t="shared" si="57"/>
        <v>0</v>
      </c>
      <c r="FT42" s="200">
        <f t="shared" si="57"/>
        <v>0</v>
      </c>
      <c r="FU42" s="200">
        <f t="shared" si="57"/>
        <v>0</v>
      </c>
      <c r="FV42" s="200">
        <f t="shared" si="57"/>
        <v>0</v>
      </c>
      <c r="FW42" s="200">
        <f t="shared" si="57"/>
        <v>0</v>
      </c>
      <c r="FX42" s="200">
        <f t="shared" si="57"/>
        <v>0</v>
      </c>
      <c r="FY42" s="200">
        <f t="shared" si="57"/>
        <v>0</v>
      </c>
      <c r="FZ42" s="200">
        <f t="shared" si="57"/>
        <v>0</v>
      </c>
      <c r="GA42" s="200">
        <f t="shared" si="57"/>
        <v>0</v>
      </c>
      <c r="GB42" s="200">
        <f t="shared" si="57"/>
        <v>0</v>
      </c>
    </row>
    <row r="43" spans="1:184" ht="17.25" customHeight="1" x14ac:dyDescent="0.5">
      <c r="A43" s="88"/>
      <c r="B43" s="323"/>
      <c r="C43" s="101" t="s">
        <v>139</v>
      </c>
      <c r="D43" s="169"/>
      <c r="E43" s="169"/>
      <c r="F43" s="203"/>
      <c r="G43" s="171">
        <v>99</v>
      </c>
      <c r="H43" s="201">
        <v>99</v>
      </c>
      <c r="I43" s="154">
        <v>0</v>
      </c>
      <c r="J43" s="155">
        <v>0</v>
      </c>
      <c r="K43" s="156">
        <v>0</v>
      </c>
      <c r="L43" s="168">
        <f>$D$7</f>
        <v>0.02</v>
      </c>
      <c r="M43" s="165">
        <f>$E$7</f>
        <v>0.03</v>
      </c>
      <c r="N43" s="166">
        <f>$F$7</f>
        <v>0.05</v>
      </c>
      <c r="R43" s="199" t="str">
        <f t="shared" si="16"/>
        <v>Jahresbetriebskosten in €/Jahr</v>
      </c>
      <c r="S43" s="200">
        <f t="shared" ref="S43:AB55" si="58">IF(AND($G43=99,$H43=99),S$22*$E43*(1+$M43)^(S$20)*((1+$J43)^(S$20)),IF(AND($H43=99,S$20&gt;=$G43,S$20&lt;=$E$20),$E43*(1+$M43)^(S$20)*((1+$J43)^(S$20)),IF(AND($G43=99,S$20&lt;=$H43,S$20&gt;=$E$18),$E43*(1+$M43)^(S$20)*((1+$J43)^(S$20)),IF(AND(S$20&lt;=$H43,S$20&gt;=$G43,$G43&lt;&gt;99,$H43&lt;&gt;99),$E43*(1+$M43)^(S$20)*((1+$J43)^(S$20)),0))))</f>
        <v>0</v>
      </c>
      <c r="T43" s="200">
        <f t="shared" si="58"/>
        <v>0</v>
      </c>
      <c r="U43" s="200">
        <f t="shared" si="58"/>
        <v>0</v>
      </c>
      <c r="V43" s="200">
        <f t="shared" si="58"/>
        <v>0</v>
      </c>
      <c r="W43" s="200">
        <f t="shared" si="58"/>
        <v>0</v>
      </c>
      <c r="X43" s="200">
        <f t="shared" si="58"/>
        <v>0</v>
      </c>
      <c r="Y43" s="200">
        <f t="shared" si="58"/>
        <v>0</v>
      </c>
      <c r="Z43" s="200">
        <f t="shared" si="58"/>
        <v>0</v>
      </c>
      <c r="AA43" s="200">
        <f t="shared" si="58"/>
        <v>0</v>
      </c>
      <c r="AB43" s="200">
        <f t="shared" si="58"/>
        <v>0</v>
      </c>
      <c r="AC43" s="200">
        <f t="shared" ref="AC43:AL55" si="59">IF(AND($G43=99,$H43=99),AC$22*$E43*(1+$M43)^(AC$20)*((1+$J43)^(AC$20)),IF(AND($H43=99,AC$20&gt;=$G43,AC$20&lt;=$E$20),$E43*(1+$M43)^(AC$20)*((1+$J43)^(AC$20)),IF(AND($G43=99,AC$20&lt;=$H43,AC$20&gt;=$E$18),$E43*(1+$M43)^(AC$20)*((1+$J43)^(AC$20)),IF(AND(AC$20&lt;=$H43,AC$20&gt;=$G43,$G43&lt;&gt;99,$H43&lt;&gt;99),$E43*(1+$M43)^(AC$20)*((1+$J43)^(AC$20)),0))))</f>
        <v>0</v>
      </c>
      <c r="AD43" s="200">
        <f t="shared" si="59"/>
        <v>0</v>
      </c>
      <c r="AE43" s="200">
        <f t="shared" si="59"/>
        <v>0</v>
      </c>
      <c r="AF43" s="200">
        <f t="shared" si="59"/>
        <v>0</v>
      </c>
      <c r="AG43" s="200">
        <f t="shared" si="59"/>
        <v>0</v>
      </c>
      <c r="AH43" s="200">
        <f t="shared" si="59"/>
        <v>0</v>
      </c>
      <c r="AI43" s="200">
        <f t="shared" si="59"/>
        <v>0</v>
      </c>
      <c r="AJ43" s="200">
        <f t="shared" si="59"/>
        <v>0</v>
      </c>
      <c r="AK43" s="200">
        <f t="shared" si="59"/>
        <v>0</v>
      </c>
      <c r="AL43" s="200">
        <f t="shared" si="59"/>
        <v>0</v>
      </c>
      <c r="AM43" s="200">
        <f t="shared" ref="AM43:AV55" si="60">IF(AND($G43=99,$H43=99),AM$22*$E43*(1+$M43)^(AM$20)*((1+$J43)^(AM$20)),IF(AND($H43=99,AM$20&gt;=$G43,AM$20&lt;=$E$20),$E43*(1+$M43)^(AM$20)*((1+$J43)^(AM$20)),IF(AND($G43=99,AM$20&lt;=$H43,AM$20&gt;=$E$18),$E43*(1+$M43)^(AM$20)*((1+$J43)^(AM$20)),IF(AND(AM$20&lt;=$H43,AM$20&gt;=$G43,$G43&lt;&gt;99,$H43&lt;&gt;99),$E43*(1+$M43)^(AM$20)*((1+$J43)^(AM$20)),0))))</f>
        <v>0</v>
      </c>
      <c r="AN43" s="200">
        <f t="shared" si="60"/>
        <v>0</v>
      </c>
      <c r="AO43" s="200">
        <f t="shared" si="60"/>
        <v>0</v>
      </c>
      <c r="AP43" s="200">
        <f t="shared" si="60"/>
        <v>0</v>
      </c>
      <c r="AQ43" s="200">
        <f t="shared" si="60"/>
        <v>0</v>
      </c>
      <c r="AR43" s="200">
        <f t="shared" si="60"/>
        <v>0</v>
      </c>
      <c r="AS43" s="200">
        <f t="shared" si="60"/>
        <v>0</v>
      </c>
      <c r="AT43" s="200">
        <f t="shared" si="60"/>
        <v>0</v>
      </c>
      <c r="AU43" s="200">
        <f t="shared" si="60"/>
        <v>0</v>
      </c>
      <c r="AV43" s="200">
        <f t="shared" si="60"/>
        <v>0</v>
      </c>
      <c r="AW43" s="200">
        <f t="shared" ref="AW43:BF55" si="61">IF(AND($G43=99,$H43=99),AW$22*$E43*(1+$M43)^(AW$20)*((1+$J43)^(AW$20)),IF(AND($H43=99,AW$20&gt;=$G43,AW$20&lt;=$E$20),$E43*(1+$M43)^(AW$20)*((1+$J43)^(AW$20)),IF(AND($G43=99,AW$20&lt;=$H43,AW$20&gt;=$E$18),$E43*(1+$M43)^(AW$20)*((1+$J43)^(AW$20)),IF(AND(AW$20&lt;=$H43,AW$20&gt;=$G43,$G43&lt;&gt;99,$H43&lt;&gt;99),$E43*(1+$M43)^(AW$20)*((1+$J43)^(AW$20)),0))))</f>
        <v>0</v>
      </c>
      <c r="AX43" s="200">
        <f t="shared" si="61"/>
        <v>0</v>
      </c>
      <c r="AY43" s="200">
        <f t="shared" si="61"/>
        <v>0</v>
      </c>
      <c r="AZ43" s="200">
        <f t="shared" si="61"/>
        <v>0</v>
      </c>
      <c r="BA43" s="200">
        <f t="shared" si="61"/>
        <v>0</v>
      </c>
      <c r="BB43" s="200">
        <f t="shared" si="61"/>
        <v>0</v>
      </c>
      <c r="BC43" s="200">
        <f t="shared" si="61"/>
        <v>0</v>
      </c>
      <c r="BD43" s="200">
        <f t="shared" si="61"/>
        <v>0</v>
      </c>
      <c r="BE43" s="200">
        <f t="shared" si="61"/>
        <v>0</v>
      </c>
      <c r="BF43" s="200">
        <f t="shared" si="61"/>
        <v>0</v>
      </c>
      <c r="BG43" s="200">
        <f t="shared" ref="BG43:BT55" si="62">IF(AND($G43=99,$H43=99),BG$22*$E43*(1+$M43)^(BG$20)*((1+$J43)^(BG$20)),IF(AND($H43=99,BG$20&gt;=$G43,BG$20&lt;=$E$20),$E43*(1+$M43)^(BG$20)*((1+$J43)^(BG$20)),IF(AND($G43=99,BG$20&lt;=$H43,BG$20&gt;=$E$18),$E43*(1+$M43)^(BG$20)*((1+$J43)^(BG$20)),IF(AND(BG$20&lt;=$H43,BG$20&gt;=$G43,$G43&lt;&gt;99,$H43&lt;&gt;99),$E43*(1+$M43)^(BG$20)*((1+$J43)^(BG$20)),0))))</f>
        <v>0</v>
      </c>
      <c r="BH43" s="200">
        <f t="shared" si="62"/>
        <v>0</v>
      </c>
      <c r="BI43" s="200">
        <f t="shared" si="62"/>
        <v>0</v>
      </c>
      <c r="BJ43" s="200">
        <f t="shared" si="62"/>
        <v>0</v>
      </c>
      <c r="BK43" s="200">
        <f t="shared" si="62"/>
        <v>0</v>
      </c>
      <c r="BL43" s="200">
        <f t="shared" si="62"/>
        <v>0</v>
      </c>
      <c r="BM43" s="200">
        <f t="shared" si="62"/>
        <v>0</v>
      </c>
      <c r="BN43" s="200">
        <f t="shared" si="62"/>
        <v>0</v>
      </c>
      <c r="BO43" s="200">
        <f t="shared" si="62"/>
        <v>0</v>
      </c>
      <c r="BP43" s="200">
        <f t="shared" si="62"/>
        <v>0</v>
      </c>
      <c r="BQ43" s="200">
        <f t="shared" si="62"/>
        <v>0</v>
      </c>
      <c r="BR43" s="200">
        <f t="shared" si="62"/>
        <v>0</v>
      </c>
      <c r="BS43" s="200">
        <f t="shared" si="62"/>
        <v>0</v>
      </c>
      <c r="BT43" s="200">
        <f t="shared" si="62"/>
        <v>0</v>
      </c>
      <c r="BV43" s="199" t="str">
        <f t="shared" si="19"/>
        <v>Jahresbetriebskosten in €/Jahr</v>
      </c>
      <c r="BW43" s="200">
        <f t="shared" ref="BW43:CF55" si="63">IF(AND($G43=99,$H43=99),BW$22*$D43*(1+$L43)^(BW$20)*((1+$I43)^(BW$20)),IF(AND($H43=99,BW$20&gt;=$G43,BW$20&lt;=$D$20),$D43*(1+$L43)^(BW$20)*((1+$I43)^(BW$20)),IF(AND($G43=99,BW$20&lt;=$H43,BW$20&gt;=$D$18),$D43*(1+$L43)^(BW$20)*((1+$I43)^(BW$20)),IF(AND(BW$20&lt;=$H43,BW$20&gt;=$G43,$G43&lt;&gt;99,$H43&lt;&gt;99),$D43*(1+$L43)^(BW$20)*((1+$I43)^(BW$20)),0))))</f>
        <v>0</v>
      </c>
      <c r="BX43" s="200">
        <f t="shared" si="63"/>
        <v>0</v>
      </c>
      <c r="BY43" s="200">
        <f t="shared" si="63"/>
        <v>0</v>
      </c>
      <c r="BZ43" s="200">
        <f t="shared" si="63"/>
        <v>0</v>
      </c>
      <c r="CA43" s="200">
        <f t="shared" si="63"/>
        <v>0</v>
      </c>
      <c r="CB43" s="200">
        <f t="shared" si="63"/>
        <v>0</v>
      </c>
      <c r="CC43" s="200">
        <f t="shared" si="63"/>
        <v>0</v>
      </c>
      <c r="CD43" s="200">
        <f t="shared" si="63"/>
        <v>0</v>
      </c>
      <c r="CE43" s="200">
        <f t="shared" si="63"/>
        <v>0</v>
      </c>
      <c r="CF43" s="200">
        <f t="shared" si="63"/>
        <v>0</v>
      </c>
      <c r="CG43" s="200">
        <f t="shared" ref="CG43:CP55" si="64">IF(AND($G43=99,$H43=99),CG$22*$D43*(1+$L43)^(CG$20)*((1+$I43)^(CG$20)),IF(AND($H43=99,CG$20&gt;=$G43,CG$20&lt;=$D$20),$D43*(1+$L43)^(CG$20)*((1+$I43)^(CG$20)),IF(AND($G43=99,CG$20&lt;=$H43,CG$20&gt;=$D$18),$D43*(1+$L43)^(CG$20)*((1+$I43)^(CG$20)),IF(AND(CG$20&lt;=$H43,CG$20&gt;=$G43,$G43&lt;&gt;99,$H43&lt;&gt;99),$D43*(1+$L43)^(CG$20)*((1+$I43)^(CG$20)),0))))</f>
        <v>0</v>
      </c>
      <c r="CH43" s="200">
        <f t="shared" si="64"/>
        <v>0</v>
      </c>
      <c r="CI43" s="200">
        <f t="shared" si="64"/>
        <v>0</v>
      </c>
      <c r="CJ43" s="200">
        <f t="shared" si="64"/>
        <v>0</v>
      </c>
      <c r="CK43" s="200">
        <f t="shared" si="64"/>
        <v>0</v>
      </c>
      <c r="CL43" s="200">
        <f t="shared" si="64"/>
        <v>0</v>
      </c>
      <c r="CM43" s="200">
        <f t="shared" si="64"/>
        <v>0</v>
      </c>
      <c r="CN43" s="200">
        <f t="shared" si="64"/>
        <v>0</v>
      </c>
      <c r="CO43" s="200">
        <f t="shared" si="64"/>
        <v>0</v>
      </c>
      <c r="CP43" s="200">
        <f t="shared" si="64"/>
        <v>0</v>
      </c>
      <c r="CQ43" s="200">
        <f t="shared" ref="CQ43:CZ55" si="65">IF(AND($G43=99,$H43=99),CQ$22*$D43*(1+$L43)^(CQ$20)*((1+$I43)^(CQ$20)),IF(AND($H43=99,CQ$20&gt;=$G43,CQ$20&lt;=$D$20),$D43*(1+$L43)^(CQ$20)*((1+$I43)^(CQ$20)),IF(AND($G43=99,CQ$20&lt;=$H43,CQ$20&gt;=$D$18),$D43*(1+$L43)^(CQ$20)*((1+$I43)^(CQ$20)),IF(AND(CQ$20&lt;=$H43,CQ$20&gt;=$G43,$G43&lt;&gt;99,$H43&lt;&gt;99),$D43*(1+$L43)^(CQ$20)*((1+$I43)^(CQ$20)),0))))</f>
        <v>0</v>
      </c>
      <c r="CR43" s="200">
        <f t="shared" si="65"/>
        <v>0</v>
      </c>
      <c r="CS43" s="200">
        <f t="shared" si="65"/>
        <v>0</v>
      </c>
      <c r="CT43" s="200">
        <f t="shared" si="65"/>
        <v>0</v>
      </c>
      <c r="CU43" s="200">
        <f t="shared" si="65"/>
        <v>0</v>
      </c>
      <c r="CV43" s="200">
        <f t="shared" si="65"/>
        <v>0</v>
      </c>
      <c r="CW43" s="200">
        <f t="shared" si="65"/>
        <v>0</v>
      </c>
      <c r="CX43" s="200">
        <f t="shared" si="65"/>
        <v>0</v>
      </c>
      <c r="CY43" s="200">
        <f t="shared" si="65"/>
        <v>0</v>
      </c>
      <c r="CZ43" s="200">
        <f t="shared" si="65"/>
        <v>0</v>
      </c>
      <c r="DA43" s="200">
        <f t="shared" ref="DA43:DJ55" si="66">IF(AND($G43=99,$H43=99),DA$22*$D43*(1+$L43)^(DA$20)*((1+$I43)^(DA$20)),IF(AND($H43=99,DA$20&gt;=$G43,DA$20&lt;=$D$20),$D43*(1+$L43)^(DA$20)*((1+$I43)^(DA$20)),IF(AND($G43=99,DA$20&lt;=$H43,DA$20&gt;=$D$18),$D43*(1+$L43)^(DA$20)*((1+$I43)^(DA$20)),IF(AND(DA$20&lt;=$H43,DA$20&gt;=$G43,$G43&lt;&gt;99,$H43&lt;&gt;99),$D43*(1+$L43)^(DA$20)*((1+$I43)^(DA$20)),0))))</f>
        <v>0</v>
      </c>
      <c r="DB43" s="200">
        <f t="shared" si="66"/>
        <v>0</v>
      </c>
      <c r="DC43" s="200">
        <f t="shared" si="66"/>
        <v>0</v>
      </c>
      <c r="DD43" s="200">
        <f t="shared" si="66"/>
        <v>0</v>
      </c>
      <c r="DE43" s="200">
        <f t="shared" si="66"/>
        <v>0</v>
      </c>
      <c r="DF43" s="200">
        <f t="shared" si="66"/>
        <v>0</v>
      </c>
      <c r="DG43" s="200">
        <f t="shared" si="66"/>
        <v>0</v>
      </c>
      <c r="DH43" s="200">
        <f t="shared" si="66"/>
        <v>0</v>
      </c>
      <c r="DI43" s="200">
        <f t="shared" si="66"/>
        <v>0</v>
      </c>
      <c r="DJ43" s="200">
        <f t="shared" si="66"/>
        <v>0</v>
      </c>
      <c r="DK43" s="200">
        <f t="shared" ref="DK43:DX55" si="67">IF(AND($G43=99,$H43=99),DK$22*$D43*(1+$L43)^(DK$20)*((1+$I43)^(DK$20)),IF(AND($H43=99,DK$20&gt;=$G43,DK$20&lt;=$D$20),$D43*(1+$L43)^(DK$20)*((1+$I43)^(DK$20)),IF(AND($G43=99,DK$20&lt;=$H43,DK$20&gt;=$D$18),$D43*(1+$L43)^(DK$20)*((1+$I43)^(DK$20)),IF(AND(DK$20&lt;=$H43,DK$20&gt;=$G43,$G43&lt;&gt;99,$H43&lt;&gt;99),$D43*(1+$L43)^(DK$20)*((1+$I43)^(DK$20)),0))))</f>
        <v>0</v>
      </c>
      <c r="DL43" s="200">
        <f t="shared" si="67"/>
        <v>0</v>
      </c>
      <c r="DM43" s="200">
        <f t="shared" si="67"/>
        <v>0</v>
      </c>
      <c r="DN43" s="200">
        <f t="shared" si="67"/>
        <v>0</v>
      </c>
      <c r="DO43" s="200">
        <f t="shared" si="67"/>
        <v>0</v>
      </c>
      <c r="DP43" s="200">
        <f t="shared" si="67"/>
        <v>0</v>
      </c>
      <c r="DQ43" s="200">
        <f t="shared" si="67"/>
        <v>0</v>
      </c>
      <c r="DR43" s="200">
        <f t="shared" si="67"/>
        <v>0</v>
      </c>
      <c r="DS43" s="200">
        <f t="shared" si="67"/>
        <v>0</v>
      </c>
      <c r="DT43" s="200">
        <f t="shared" si="67"/>
        <v>0</v>
      </c>
      <c r="DU43" s="200">
        <f t="shared" si="67"/>
        <v>0</v>
      </c>
      <c r="DV43" s="200">
        <f t="shared" si="67"/>
        <v>0</v>
      </c>
      <c r="DW43" s="200">
        <f t="shared" si="67"/>
        <v>0</v>
      </c>
      <c r="DX43" s="200">
        <f t="shared" si="67"/>
        <v>0</v>
      </c>
      <c r="DZ43" s="199" t="str">
        <f t="shared" si="22"/>
        <v>Jahresbetriebskosten in €/Jahr</v>
      </c>
      <c r="EA43" s="200">
        <f t="shared" ref="EA43:EJ55" si="68">IF(AND($G43=99,$H43=99),EA$22*$F43*(1+$N43)^(EA$20)*((1+$K43)^(EA$20)),IF(AND($H43=99,EA$20&gt;=$G43,EA$20&lt;=$F$20),$F43*(1+$N43)^(EA$20)*((1+$K43)^(EA$20)),IF(AND($G43=99,EA$20&lt;=$H43,EA$20&gt;=$F$18),$F43*(1+$N43)^(EA$20)*((1+$K43)^(EA$20)),IF(AND(EA$20&lt;=$H43,EA$20&gt;=$G43,$G43&lt;&gt;99,$H43&lt;&gt;99),$F43*(1+$N43)^(EA$20)*((1+$K43)^(EA$20)),0))))</f>
        <v>0</v>
      </c>
      <c r="EB43" s="200">
        <f t="shared" si="68"/>
        <v>0</v>
      </c>
      <c r="EC43" s="200">
        <f t="shared" si="68"/>
        <v>0</v>
      </c>
      <c r="ED43" s="200">
        <f t="shared" si="68"/>
        <v>0</v>
      </c>
      <c r="EE43" s="200">
        <f t="shared" si="68"/>
        <v>0</v>
      </c>
      <c r="EF43" s="200">
        <f t="shared" si="68"/>
        <v>0</v>
      </c>
      <c r="EG43" s="200">
        <f t="shared" si="68"/>
        <v>0</v>
      </c>
      <c r="EH43" s="200">
        <f t="shared" si="68"/>
        <v>0</v>
      </c>
      <c r="EI43" s="200">
        <f t="shared" si="68"/>
        <v>0</v>
      </c>
      <c r="EJ43" s="200">
        <f t="shared" si="68"/>
        <v>0</v>
      </c>
      <c r="EK43" s="200">
        <f t="shared" ref="EK43:ET55" si="69">IF(AND($G43=99,$H43=99),EK$22*$F43*(1+$N43)^(EK$20)*((1+$K43)^(EK$20)),IF(AND($H43=99,EK$20&gt;=$G43,EK$20&lt;=$F$20),$F43*(1+$N43)^(EK$20)*((1+$K43)^(EK$20)),IF(AND($G43=99,EK$20&lt;=$H43,EK$20&gt;=$F$18),$F43*(1+$N43)^(EK$20)*((1+$K43)^(EK$20)),IF(AND(EK$20&lt;=$H43,EK$20&gt;=$G43,$G43&lt;&gt;99,$H43&lt;&gt;99),$F43*(1+$N43)^(EK$20)*((1+$K43)^(EK$20)),0))))</f>
        <v>0</v>
      </c>
      <c r="EL43" s="200">
        <f t="shared" si="69"/>
        <v>0</v>
      </c>
      <c r="EM43" s="200">
        <f t="shared" si="69"/>
        <v>0</v>
      </c>
      <c r="EN43" s="200">
        <f t="shared" si="69"/>
        <v>0</v>
      </c>
      <c r="EO43" s="200">
        <f t="shared" si="69"/>
        <v>0</v>
      </c>
      <c r="EP43" s="200">
        <f t="shared" si="69"/>
        <v>0</v>
      </c>
      <c r="EQ43" s="200">
        <f t="shared" si="69"/>
        <v>0</v>
      </c>
      <c r="ER43" s="200">
        <f t="shared" si="69"/>
        <v>0</v>
      </c>
      <c r="ES43" s="200">
        <f t="shared" si="69"/>
        <v>0</v>
      </c>
      <c r="ET43" s="200">
        <f t="shared" si="69"/>
        <v>0</v>
      </c>
      <c r="EU43" s="200">
        <f t="shared" ref="EU43:FD55" si="70">IF(AND($G43=99,$H43=99),EU$22*$F43*(1+$N43)^(EU$20)*((1+$K43)^(EU$20)),IF(AND($H43=99,EU$20&gt;=$G43,EU$20&lt;=$F$20),$F43*(1+$N43)^(EU$20)*((1+$K43)^(EU$20)),IF(AND($G43=99,EU$20&lt;=$H43,EU$20&gt;=$F$18),$F43*(1+$N43)^(EU$20)*((1+$K43)^(EU$20)),IF(AND(EU$20&lt;=$H43,EU$20&gt;=$G43,$G43&lt;&gt;99,$H43&lt;&gt;99),$F43*(1+$N43)^(EU$20)*((1+$K43)^(EU$20)),0))))</f>
        <v>0</v>
      </c>
      <c r="EV43" s="200">
        <f t="shared" si="70"/>
        <v>0</v>
      </c>
      <c r="EW43" s="200">
        <f t="shared" si="70"/>
        <v>0</v>
      </c>
      <c r="EX43" s="200">
        <f t="shared" si="70"/>
        <v>0</v>
      </c>
      <c r="EY43" s="200">
        <f t="shared" si="70"/>
        <v>0</v>
      </c>
      <c r="EZ43" s="200">
        <f t="shared" si="70"/>
        <v>0</v>
      </c>
      <c r="FA43" s="200">
        <f t="shared" si="70"/>
        <v>0</v>
      </c>
      <c r="FB43" s="200">
        <f t="shared" si="70"/>
        <v>0</v>
      </c>
      <c r="FC43" s="200">
        <f t="shared" si="70"/>
        <v>0</v>
      </c>
      <c r="FD43" s="200">
        <f t="shared" si="70"/>
        <v>0</v>
      </c>
      <c r="FE43" s="200">
        <f t="shared" ref="FE43:FN55" si="71">IF(AND($G43=99,$H43=99),FE$22*$F43*(1+$N43)^(FE$20)*((1+$K43)^(FE$20)),IF(AND($H43=99,FE$20&gt;=$G43,FE$20&lt;=$F$20),$F43*(1+$N43)^(FE$20)*((1+$K43)^(FE$20)),IF(AND($G43=99,FE$20&lt;=$H43,FE$20&gt;=$F$18),$F43*(1+$N43)^(FE$20)*((1+$K43)^(FE$20)),IF(AND(FE$20&lt;=$H43,FE$20&gt;=$G43,$G43&lt;&gt;99,$H43&lt;&gt;99),$F43*(1+$N43)^(FE$20)*((1+$K43)^(FE$20)),0))))</f>
        <v>0</v>
      </c>
      <c r="FF43" s="200">
        <f t="shared" si="71"/>
        <v>0</v>
      </c>
      <c r="FG43" s="200">
        <f t="shared" si="71"/>
        <v>0</v>
      </c>
      <c r="FH43" s="200">
        <f t="shared" si="71"/>
        <v>0</v>
      </c>
      <c r="FI43" s="200">
        <f t="shared" si="71"/>
        <v>0</v>
      </c>
      <c r="FJ43" s="200">
        <f t="shared" si="71"/>
        <v>0</v>
      </c>
      <c r="FK43" s="200">
        <f t="shared" si="71"/>
        <v>0</v>
      </c>
      <c r="FL43" s="200">
        <f t="shared" si="71"/>
        <v>0</v>
      </c>
      <c r="FM43" s="200">
        <f t="shared" si="71"/>
        <v>0</v>
      </c>
      <c r="FN43" s="200">
        <f t="shared" si="71"/>
        <v>0</v>
      </c>
      <c r="FO43" s="200">
        <f t="shared" ref="FO43:GB55" si="72">IF(AND($G43=99,$H43=99),FO$22*$F43*(1+$N43)^(FO$20)*((1+$K43)^(FO$20)),IF(AND($H43=99,FO$20&gt;=$G43,FO$20&lt;=$F$20),$F43*(1+$N43)^(FO$20)*((1+$K43)^(FO$20)),IF(AND($G43=99,FO$20&lt;=$H43,FO$20&gt;=$F$18),$F43*(1+$N43)^(FO$20)*((1+$K43)^(FO$20)),IF(AND(FO$20&lt;=$H43,FO$20&gt;=$G43,$G43&lt;&gt;99,$H43&lt;&gt;99),$F43*(1+$N43)^(FO$20)*((1+$K43)^(FO$20)),0))))</f>
        <v>0</v>
      </c>
      <c r="FP43" s="200">
        <f t="shared" si="72"/>
        <v>0</v>
      </c>
      <c r="FQ43" s="200">
        <f t="shared" si="72"/>
        <v>0</v>
      </c>
      <c r="FR43" s="200">
        <f t="shared" si="72"/>
        <v>0</v>
      </c>
      <c r="FS43" s="200">
        <f t="shared" si="72"/>
        <v>0</v>
      </c>
      <c r="FT43" s="200">
        <f t="shared" si="72"/>
        <v>0</v>
      </c>
      <c r="FU43" s="200">
        <f t="shared" si="72"/>
        <v>0</v>
      </c>
      <c r="FV43" s="200">
        <f t="shared" si="72"/>
        <v>0</v>
      </c>
      <c r="FW43" s="200">
        <f t="shared" si="72"/>
        <v>0</v>
      </c>
      <c r="FX43" s="200">
        <f t="shared" si="72"/>
        <v>0</v>
      </c>
      <c r="FY43" s="200">
        <f t="shared" si="72"/>
        <v>0</v>
      </c>
      <c r="FZ43" s="200">
        <f t="shared" si="72"/>
        <v>0</v>
      </c>
      <c r="GA43" s="200">
        <f t="shared" si="72"/>
        <v>0</v>
      </c>
      <c r="GB43" s="200">
        <f t="shared" si="72"/>
        <v>0</v>
      </c>
    </row>
    <row r="44" spans="1:184" ht="17.25" customHeight="1" x14ac:dyDescent="0.5">
      <c r="A44" s="88"/>
      <c r="B44" s="323"/>
      <c r="C44" s="204" t="s">
        <v>140</v>
      </c>
      <c r="D44" s="169">
        <f>E44*1.3</f>
        <v>6500</v>
      </c>
      <c r="E44" s="169">
        <v>5000</v>
      </c>
      <c r="F44" s="203">
        <f>E44*0.75</f>
        <v>3750</v>
      </c>
      <c r="G44" s="177">
        <v>0</v>
      </c>
      <c r="H44" s="205">
        <v>0</v>
      </c>
      <c r="I44" s="154">
        <v>0</v>
      </c>
      <c r="J44" s="155">
        <v>0</v>
      </c>
      <c r="K44" s="156">
        <v>0</v>
      </c>
      <c r="L44" s="179">
        <f>$D$7</f>
        <v>0.02</v>
      </c>
      <c r="M44" s="180">
        <f>$E$7</f>
        <v>0.03</v>
      </c>
      <c r="N44" s="181">
        <f>$F$7</f>
        <v>0.05</v>
      </c>
      <c r="R44" s="199" t="str">
        <f t="shared" si="16"/>
        <v>Investitionskosten Zeitpunkt t in €</v>
      </c>
      <c r="S44" s="200">
        <f t="shared" si="58"/>
        <v>5000</v>
      </c>
      <c r="T44" s="200">
        <f t="shared" si="58"/>
        <v>0</v>
      </c>
      <c r="U44" s="200">
        <f t="shared" si="58"/>
        <v>0</v>
      </c>
      <c r="V44" s="200">
        <f t="shared" si="58"/>
        <v>0</v>
      </c>
      <c r="W44" s="200">
        <f t="shared" si="58"/>
        <v>0</v>
      </c>
      <c r="X44" s="200">
        <f t="shared" si="58"/>
        <v>0</v>
      </c>
      <c r="Y44" s="200">
        <f t="shared" si="58"/>
        <v>0</v>
      </c>
      <c r="Z44" s="200">
        <f t="shared" si="58"/>
        <v>0</v>
      </c>
      <c r="AA44" s="200">
        <f t="shared" si="58"/>
        <v>0</v>
      </c>
      <c r="AB44" s="200">
        <f t="shared" si="58"/>
        <v>0</v>
      </c>
      <c r="AC44" s="200">
        <f t="shared" si="59"/>
        <v>0</v>
      </c>
      <c r="AD44" s="200">
        <f t="shared" si="59"/>
        <v>0</v>
      </c>
      <c r="AE44" s="200">
        <f t="shared" si="59"/>
        <v>0</v>
      </c>
      <c r="AF44" s="200">
        <f t="shared" si="59"/>
        <v>0</v>
      </c>
      <c r="AG44" s="200">
        <f t="shared" si="59"/>
        <v>0</v>
      </c>
      <c r="AH44" s="200">
        <f t="shared" si="59"/>
        <v>0</v>
      </c>
      <c r="AI44" s="200">
        <f t="shared" si="59"/>
        <v>0</v>
      </c>
      <c r="AJ44" s="200">
        <f t="shared" si="59"/>
        <v>0</v>
      </c>
      <c r="AK44" s="200">
        <f t="shared" si="59"/>
        <v>0</v>
      </c>
      <c r="AL44" s="200">
        <f t="shared" si="59"/>
        <v>0</v>
      </c>
      <c r="AM44" s="200">
        <f t="shared" si="60"/>
        <v>0</v>
      </c>
      <c r="AN44" s="200">
        <f t="shared" si="60"/>
        <v>0</v>
      </c>
      <c r="AO44" s="200">
        <f t="shared" si="60"/>
        <v>0</v>
      </c>
      <c r="AP44" s="200">
        <f t="shared" si="60"/>
        <v>0</v>
      </c>
      <c r="AQ44" s="200">
        <f t="shared" si="60"/>
        <v>0</v>
      </c>
      <c r="AR44" s="200">
        <f t="shared" si="60"/>
        <v>0</v>
      </c>
      <c r="AS44" s="200">
        <f t="shared" si="60"/>
        <v>0</v>
      </c>
      <c r="AT44" s="200">
        <f t="shared" si="60"/>
        <v>0</v>
      </c>
      <c r="AU44" s="200">
        <f t="shared" si="60"/>
        <v>0</v>
      </c>
      <c r="AV44" s="200">
        <f t="shared" si="60"/>
        <v>0</v>
      </c>
      <c r="AW44" s="200">
        <f t="shared" si="61"/>
        <v>0</v>
      </c>
      <c r="AX44" s="200">
        <f t="shared" si="61"/>
        <v>0</v>
      </c>
      <c r="AY44" s="200">
        <f t="shared" si="61"/>
        <v>0</v>
      </c>
      <c r="AZ44" s="200">
        <f t="shared" si="61"/>
        <v>0</v>
      </c>
      <c r="BA44" s="200">
        <f t="shared" si="61"/>
        <v>0</v>
      </c>
      <c r="BB44" s="200">
        <f t="shared" si="61"/>
        <v>0</v>
      </c>
      <c r="BC44" s="200">
        <f t="shared" si="61"/>
        <v>0</v>
      </c>
      <c r="BD44" s="200">
        <f t="shared" si="61"/>
        <v>0</v>
      </c>
      <c r="BE44" s="200">
        <f t="shared" si="61"/>
        <v>0</v>
      </c>
      <c r="BF44" s="200">
        <f t="shared" si="61"/>
        <v>0</v>
      </c>
      <c r="BG44" s="200">
        <f t="shared" si="62"/>
        <v>0</v>
      </c>
      <c r="BH44" s="200">
        <f t="shared" si="62"/>
        <v>0</v>
      </c>
      <c r="BI44" s="200">
        <f t="shared" si="62"/>
        <v>0</v>
      </c>
      <c r="BJ44" s="200">
        <f t="shared" si="62"/>
        <v>0</v>
      </c>
      <c r="BK44" s="200">
        <f t="shared" si="62"/>
        <v>0</v>
      </c>
      <c r="BL44" s="200">
        <f t="shared" si="62"/>
        <v>0</v>
      </c>
      <c r="BM44" s="200">
        <f t="shared" si="62"/>
        <v>0</v>
      </c>
      <c r="BN44" s="200">
        <f t="shared" si="62"/>
        <v>0</v>
      </c>
      <c r="BO44" s="200">
        <f t="shared" si="62"/>
        <v>0</v>
      </c>
      <c r="BP44" s="200">
        <f t="shared" si="62"/>
        <v>0</v>
      </c>
      <c r="BQ44" s="200">
        <f t="shared" si="62"/>
        <v>0</v>
      </c>
      <c r="BR44" s="200">
        <f t="shared" si="62"/>
        <v>0</v>
      </c>
      <c r="BS44" s="200">
        <f t="shared" si="62"/>
        <v>0</v>
      </c>
      <c r="BT44" s="200">
        <f t="shared" si="62"/>
        <v>0</v>
      </c>
      <c r="BV44" s="199" t="str">
        <f t="shared" si="19"/>
        <v>Investitionskosten Zeitpunkt t in €</v>
      </c>
      <c r="BW44" s="200">
        <f t="shared" si="63"/>
        <v>6500</v>
      </c>
      <c r="BX44" s="200">
        <f t="shared" si="63"/>
        <v>0</v>
      </c>
      <c r="BY44" s="200">
        <f t="shared" si="63"/>
        <v>0</v>
      </c>
      <c r="BZ44" s="200">
        <f t="shared" si="63"/>
        <v>0</v>
      </c>
      <c r="CA44" s="200">
        <f t="shared" si="63"/>
        <v>0</v>
      </c>
      <c r="CB44" s="200">
        <f t="shared" si="63"/>
        <v>0</v>
      </c>
      <c r="CC44" s="200">
        <f t="shared" si="63"/>
        <v>0</v>
      </c>
      <c r="CD44" s="200">
        <f t="shared" si="63"/>
        <v>0</v>
      </c>
      <c r="CE44" s="200">
        <f t="shared" si="63"/>
        <v>0</v>
      </c>
      <c r="CF44" s="200">
        <f t="shared" si="63"/>
        <v>0</v>
      </c>
      <c r="CG44" s="200">
        <f t="shared" si="64"/>
        <v>0</v>
      </c>
      <c r="CH44" s="200">
        <f t="shared" si="64"/>
        <v>0</v>
      </c>
      <c r="CI44" s="200">
        <f t="shared" si="64"/>
        <v>0</v>
      </c>
      <c r="CJ44" s="200">
        <f t="shared" si="64"/>
        <v>0</v>
      </c>
      <c r="CK44" s="200">
        <f t="shared" si="64"/>
        <v>0</v>
      </c>
      <c r="CL44" s="200">
        <f t="shared" si="64"/>
        <v>0</v>
      </c>
      <c r="CM44" s="200">
        <f t="shared" si="64"/>
        <v>0</v>
      </c>
      <c r="CN44" s="200">
        <f t="shared" si="64"/>
        <v>0</v>
      </c>
      <c r="CO44" s="200">
        <f t="shared" si="64"/>
        <v>0</v>
      </c>
      <c r="CP44" s="200">
        <f t="shared" si="64"/>
        <v>0</v>
      </c>
      <c r="CQ44" s="200">
        <f t="shared" si="65"/>
        <v>0</v>
      </c>
      <c r="CR44" s="200">
        <f t="shared" si="65"/>
        <v>0</v>
      </c>
      <c r="CS44" s="200">
        <f t="shared" si="65"/>
        <v>0</v>
      </c>
      <c r="CT44" s="200">
        <f t="shared" si="65"/>
        <v>0</v>
      </c>
      <c r="CU44" s="200">
        <f t="shared" si="65"/>
        <v>0</v>
      </c>
      <c r="CV44" s="200">
        <f t="shared" si="65"/>
        <v>0</v>
      </c>
      <c r="CW44" s="200">
        <f t="shared" si="65"/>
        <v>0</v>
      </c>
      <c r="CX44" s="200">
        <f t="shared" si="65"/>
        <v>0</v>
      </c>
      <c r="CY44" s="200">
        <f t="shared" si="65"/>
        <v>0</v>
      </c>
      <c r="CZ44" s="200">
        <f t="shared" si="65"/>
        <v>0</v>
      </c>
      <c r="DA44" s="200">
        <f t="shared" si="66"/>
        <v>0</v>
      </c>
      <c r="DB44" s="200">
        <f t="shared" si="66"/>
        <v>0</v>
      </c>
      <c r="DC44" s="200">
        <f t="shared" si="66"/>
        <v>0</v>
      </c>
      <c r="DD44" s="200">
        <f t="shared" si="66"/>
        <v>0</v>
      </c>
      <c r="DE44" s="200">
        <f t="shared" si="66"/>
        <v>0</v>
      </c>
      <c r="DF44" s="200">
        <f t="shared" si="66"/>
        <v>0</v>
      </c>
      <c r="DG44" s="200">
        <f t="shared" si="66"/>
        <v>0</v>
      </c>
      <c r="DH44" s="200">
        <f t="shared" si="66"/>
        <v>0</v>
      </c>
      <c r="DI44" s="200">
        <f t="shared" si="66"/>
        <v>0</v>
      </c>
      <c r="DJ44" s="200">
        <f t="shared" si="66"/>
        <v>0</v>
      </c>
      <c r="DK44" s="200">
        <f t="shared" si="67"/>
        <v>0</v>
      </c>
      <c r="DL44" s="200">
        <f t="shared" si="67"/>
        <v>0</v>
      </c>
      <c r="DM44" s="200">
        <f t="shared" si="67"/>
        <v>0</v>
      </c>
      <c r="DN44" s="200">
        <f t="shared" si="67"/>
        <v>0</v>
      </c>
      <c r="DO44" s="200">
        <f t="shared" si="67"/>
        <v>0</v>
      </c>
      <c r="DP44" s="200">
        <f t="shared" si="67"/>
        <v>0</v>
      </c>
      <c r="DQ44" s="200">
        <f t="shared" si="67"/>
        <v>0</v>
      </c>
      <c r="DR44" s="200">
        <f t="shared" si="67"/>
        <v>0</v>
      </c>
      <c r="DS44" s="200">
        <f t="shared" si="67"/>
        <v>0</v>
      </c>
      <c r="DT44" s="200">
        <f t="shared" si="67"/>
        <v>0</v>
      </c>
      <c r="DU44" s="200">
        <f t="shared" si="67"/>
        <v>0</v>
      </c>
      <c r="DV44" s="200">
        <f t="shared" si="67"/>
        <v>0</v>
      </c>
      <c r="DW44" s="200">
        <f t="shared" si="67"/>
        <v>0</v>
      </c>
      <c r="DX44" s="200">
        <f t="shared" si="67"/>
        <v>0</v>
      </c>
      <c r="DZ44" s="199" t="str">
        <f t="shared" si="22"/>
        <v>Investitionskosten Zeitpunkt t in €</v>
      </c>
      <c r="EA44" s="200">
        <f t="shared" si="68"/>
        <v>3750</v>
      </c>
      <c r="EB44" s="200">
        <f t="shared" si="68"/>
        <v>0</v>
      </c>
      <c r="EC44" s="200">
        <f t="shared" si="68"/>
        <v>0</v>
      </c>
      <c r="ED44" s="200">
        <f t="shared" si="68"/>
        <v>0</v>
      </c>
      <c r="EE44" s="200">
        <f t="shared" si="68"/>
        <v>0</v>
      </c>
      <c r="EF44" s="200">
        <f t="shared" si="68"/>
        <v>0</v>
      </c>
      <c r="EG44" s="200">
        <f t="shared" si="68"/>
        <v>0</v>
      </c>
      <c r="EH44" s="200">
        <f t="shared" si="68"/>
        <v>0</v>
      </c>
      <c r="EI44" s="200">
        <f t="shared" si="68"/>
        <v>0</v>
      </c>
      <c r="EJ44" s="200">
        <f t="shared" si="68"/>
        <v>0</v>
      </c>
      <c r="EK44" s="200">
        <f t="shared" si="69"/>
        <v>0</v>
      </c>
      <c r="EL44" s="200">
        <f t="shared" si="69"/>
        <v>0</v>
      </c>
      <c r="EM44" s="200">
        <f t="shared" si="69"/>
        <v>0</v>
      </c>
      <c r="EN44" s="200">
        <f t="shared" si="69"/>
        <v>0</v>
      </c>
      <c r="EO44" s="200">
        <f t="shared" si="69"/>
        <v>0</v>
      </c>
      <c r="EP44" s="200">
        <f t="shared" si="69"/>
        <v>0</v>
      </c>
      <c r="EQ44" s="200">
        <f t="shared" si="69"/>
        <v>0</v>
      </c>
      <c r="ER44" s="200">
        <f t="shared" si="69"/>
        <v>0</v>
      </c>
      <c r="ES44" s="200">
        <f t="shared" si="69"/>
        <v>0</v>
      </c>
      <c r="ET44" s="200">
        <f t="shared" si="69"/>
        <v>0</v>
      </c>
      <c r="EU44" s="200">
        <f t="shared" si="70"/>
        <v>0</v>
      </c>
      <c r="EV44" s="200">
        <f t="shared" si="70"/>
        <v>0</v>
      </c>
      <c r="EW44" s="200">
        <f t="shared" si="70"/>
        <v>0</v>
      </c>
      <c r="EX44" s="200">
        <f t="shared" si="70"/>
        <v>0</v>
      </c>
      <c r="EY44" s="200">
        <f t="shared" si="70"/>
        <v>0</v>
      </c>
      <c r="EZ44" s="200">
        <f t="shared" si="70"/>
        <v>0</v>
      </c>
      <c r="FA44" s="200">
        <f t="shared" si="70"/>
        <v>0</v>
      </c>
      <c r="FB44" s="200">
        <f t="shared" si="70"/>
        <v>0</v>
      </c>
      <c r="FC44" s="200">
        <f t="shared" si="70"/>
        <v>0</v>
      </c>
      <c r="FD44" s="200">
        <f t="shared" si="70"/>
        <v>0</v>
      </c>
      <c r="FE44" s="200">
        <f t="shared" si="71"/>
        <v>0</v>
      </c>
      <c r="FF44" s="200">
        <f t="shared" si="71"/>
        <v>0</v>
      </c>
      <c r="FG44" s="200">
        <f t="shared" si="71"/>
        <v>0</v>
      </c>
      <c r="FH44" s="200">
        <f t="shared" si="71"/>
        <v>0</v>
      </c>
      <c r="FI44" s="200">
        <f t="shared" si="71"/>
        <v>0</v>
      </c>
      <c r="FJ44" s="200">
        <f t="shared" si="71"/>
        <v>0</v>
      </c>
      <c r="FK44" s="200">
        <f t="shared" si="71"/>
        <v>0</v>
      </c>
      <c r="FL44" s="200">
        <f t="shared" si="71"/>
        <v>0</v>
      </c>
      <c r="FM44" s="200">
        <f t="shared" si="71"/>
        <v>0</v>
      </c>
      <c r="FN44" s="200">
        <f t="shared" si="71"/>
        <v>0</v>
      </c>
      <c r="FO44" s="200">
        <f t="shared" si="72"/>
        <v>0</v>
      </c>
      <c r="FP44" s="200">
        <f t="shared" si="72"/>
        <v>0</v>
      </c>
      <c r="FQ44" s="200">
        <f t="shared" si="72"/>
        <v>0</v>
      </c>
      <c r="FR44" s="200">
        <f t="shared" si="72"/>
        <v>0</v>
      </c>
      <c r="FS44" s="200">
        <f t="shared" si="72"/>
        <v>0</v>
      </c>
      <c r="FT44" s="200">
        <f t="shared" si="72"/>
        <v>0</v>
      </c>
      <c r="FU44" s="200">
        <f t="shared" si="72"/>
        <v>0</v>
      </c>
      <c r="FV44" s="200">
        <f t="shared" si="72"/>
        <v>0</v>
      </c>
      <c r="FW44" s="200">
        <f t="shared" si="72"/>
        <v>0</v>
      </c>
      <c r="FX44" s="200">
        <f t="shared" si="72"/>
        <v>0</v>
      </c>
      <c r="FY44" s="200">
        <f t="shared" si="72"/>
        <v>0</v>
      </c>
      <c r="FZ44" s="200">
        <f t="shared" si="72"/>
        <v>0</v>
      </c>
      <c r="GA44" s="200">
        <f t="shared" si="72"/>
        <v>0</v>
      </c>
      <c r="GB44" s="200">
        <f t="shared" si="72"/>
        <v>0</v>
      </c>
    </row>
    <row r="45" spans="1:184" ht="17.25" customHeight="1" x14ac:dyDescent="0.5">
      <c r="A45" s="88"/>
      <c r="B45" s="323"/>
      <c r="C45" s="101" t="s">
        <v>141</v>
      </c>
      <c r="D45" s="169">
        <v>0</v>
      </c>
      <c r="E45" s="169">
        <v>0</v>
      </c>
      <c r="F45" s="203">
        <v>0</v>
      </c>
      <c r="G45" s="177">
        <v>99</v>
      </c>
      <c r="H45" s="205">
        <v>99</v>
      </c>
      <c r="I45" s="206">
        <v>0</v>
      </c>
      <c r="J45" s="207">
        <v>0</v>
      </c>
      <c r="K45" s="208">
        <v>0</v>
      </c>
      <c r="L45" s="202">
        <v>0</v>
      </c>
      <c r="M45" s="209">
        <v>0</v>
      </c>
      <c r="N45" s="2">
        <v>0</v>
      </c>
      <c r="O45" s="38" t="s">
        <v>142</v>
      </c>
      <c r="R45" s="199" t="str">
        <f t="shared" si="16"/>
        <v>Abzahlung in €/Jahr  (ALTERNATIVE zu Zeile 44 – nicht zusätzlich!)</v>
      </c>
      <c r="S45" s="200">
        <f t="shared" si="58"/>
        <v>0</v>
      </c>
      <c r="T45" s="200">
        <f t="shared" si="58"/>
        <v>0</v>
      </c>
      <c r="U45" s="200">
        <f t="shared" si="58"/>
        <v>0</v>
      </c>
      <c r="V45" s="200">
        <f t="shared" si="58"/>
        <v>0</v>
      </c>
      <c r="W45" s="200">
        <f t="shared" si="58"/>
        <v>0</v>
      </c>
      <c r="X45" s="200">
        <f t="shared" si="58"/>
        <v>0</v>
      </c>
      <c r="Y45" s="200">
        <f t="shared" si="58"/>
        <v>0</v>
      </c>
      <c r="Z45" s="200">
        <f t="shared" si="58"/>
        <v>0</v>
      </c>
      <c r="AA45" s="200">
        <f t="shared" si="58"/>
        <v>0</v>
      </c>
      <c r="AB45" s="200">
        <f t="shared" si="58"/>
        <v>0</v>
      </c>
      <c r="AC45" s="200">
        <f t="shared" si="59"/>
        <v>0</v>
      </c>
      <c r="AD45" s="200">
        <f t="shared" si="59"/>
        <v>0</v>
      </c>
      <c r="AE45" s="200">
        <f t="shared" si="59"/>
        <v>0</v>
      </c>
      <c r="AF45" s="200">
        <f t="shared" si="59"/>
        <v>0</v>
      </c>
      <c r="AG45" s="200">
        <f t="shared" si="59"/>
        <v>0</v>
      </c>
      <c r="AH45" s="200">
        <f t="shared" si="59"/>
        <v>0</v>
      </c>
      <c r="AI45" s="200">
        <f t="shared" si="59"/>
        <v>0</v>
      </c>
      <c r="AJ45" s="200">
        <f t="shared" si="59"/>
        <v>0</v>
      </c>
      <c r="AK45" s="200">
        <f t="shared" si="59"/>
        <v>0</v>
      </c>
      <c r="AL45" s="200">
        <f t="shared" si="59"/>
        <v>0</v>
      </c>
      <c r="AM45" s="200">
        <f t="shared" si="60"/>
        <v>0</v>
      </c>
      <c r="AN45" s="200">
        <f t="shared" si="60"/>
        <v>0</v>
      </c>
      <c r="AO45" s="200">
        <f t="shared" si="60"/>
        <v>0</v>
      </c>
      <c r="AP45" s="200">
        <f t="shared" si="60"/>
        <v>0</v>
      </c>
      <c r="AQ45" s="200">
        <f t="shared" si="60"/>
        <v>0</v>
      </c>
      <c r="AR45" s="200">
        <f t="shared" si="60"/>
        <v>0</v>
      </c>
      <c r="AS45" s="200">
        <f t="shared" si="60"/>
        <v>0</v>
      </c>
      <c r="AT45" s="200">
        <f t="shared" si="60"/>
        <v>0</v>
      </c>
      <c r="AU45" s="200">
        <f t="shared" si="60"/>
        <v>0</v>
      </c>
      <c r="AV45" s="200">
        <f t="shared" si="60"/>
        <v>0</v>
      </c>
      <c r="AW45" s="200">
        <f t="shared" si="61"/>
        <v>0</v>
      </c>
      <c r="AX45" s="200">
        <f t="shared" si="61"/>
        <v>0</v>
      </c>
      <c r="AY45" s="200">
        <f t="shared" si="61"/>
        <v>0</v>
      </c>
      <c r="AZ45" s="200">
        <f t="shared" si="61"/>
        <v>0</v>
      </c>
      <c r="BA45" s="200">
        <f t="shared" si="61"/>
        <v>0</v>
      </c>
      <c r="BB45" s="200">
        <f t="shared" si="61"/>
        <v>0</v>
      </c>
      <c r="BC45" s="200">
        <f t="shared" si="61"/>
        <v>0</v>
      </c>
      <c r="BD45" s="200">
        <f t="shared" si="61"/>
        <v>0</v>
      </c>
      <c r="BE45" s="200">
        <f t="shared" si="61"/>
        <v>0</v>
      </c>
      <c r="BF45" s="200">
        <f t="shared" si="61"/>
        <v>0</v>
      </c>
      <c r="BG45" s="200">
        <f t="shared" si="62"/>
        <v>0</v>
      </c>
      <c r="BH45" s="200">
        <f t="shared" si="62"/>
        <v>0</v>
      </c>
      <c r="BI45" s="200">
        <f t="shared" si="62"/>
        <v>0</v>
      </c>
      <c r="BJ45" s="200">
        <f t="shared" si="62"/>
        <v>0</v>
      </c>
      <c r="BK45" s="200">
        <f t="shared" si="62"/>
        <v>0</v>
      </c>
      <c r="BL45" s="200">
        <f t="shared" si="62"/>
        <v>0</v>
      </c>
      <c r="BM45" s="200">
        <f t="shared" si="62"/>
        <v>0</v>
      </c>
      <c r="BN45" s="200">
        <f t="shared" si="62"/>
        <v>0</v>
      </c>
      <c r="BO45" s="200">
        <f t="shared" si="62"/>
        <v>0</v>
      </c>
      <c r="BP45" s="200">
        <f t="shared" si="62"/>
        <v>0</v>
      </c>
      <c r="BQ45" s="200">
        <f t="shared" si="62"/>
        <v>0</v>
      </c>
      <c r="BR45" s="200">
        <f t="shared" si="62"/>
        <v>0</v>
      </c>
      <c r="BS45" s="200">
        <f t="shared" si="62"/>
        <v>0</v>
      </c>
      <c r="BT45" s="200">
        <f t="shared" si="62"/>
        <v>0</v>
      </c>
      <c r="BV45" s="199" t="str">
        <f t="shared" si="19"/>
        <v>Abzahlung in €/Jahr  (ALTERNATIVE zu Zeile 44 – nicht zusätzlich!)</v>
      </c>
      <c r="BW45" s="200">
        <f t="shared" si="63"/>
        <v>0</v>
      </c>
      <c r="BX45" s="200">
        <f t="shared" si="63"/>
        <v>0</v>
      </c>
      <c r="BY45" s="200">
        <f t="shared" si="63"/>
        <v>0</v>
      </c>
      <c r="BZ45" s="200">
        <f t="shared" si="63"/>
        <v>0</v>
      </c>
      <c r="CA45" s="200">
        <f t="shared" si="63"/>
        <v>0</v>
      </c>
      <c r="CB45" s="200">
        <f t="shared" si="63"/>
        <v>0</v>
      </c>
      <c r="CC45" s="200">
        <f t="shared" si="63"/>
        <v>0</v>
      </c>
      <c r="CD45" s="200">
        <f t="shared" si="63"/>
        <v>0</v>
      </c>
      <c r="CE45" s="200">
        <f t="shared" si="63"/>
        <v>0</v>
      </c>
      <c r="CF45" s="200">
        <f t="shared" si="63"/>
        <v>0</v>
      </c>
      <c r="CG45" s="200">
        <f t="shared" si="64"/>
        <v>0</v>
      </c>
      <c r="CH45" s="200">
        <f t="shared" si="64"/>
        <v>0</v>
      </c>
      <c r="CI45" s="200">
        <f t="shared" si="64"/>
        <v>0</v>
      </c>
      <c r="CJ45" s="200">
        <f t="shared" si="64"/>
        <v>0</v>
      </c>
      <c r="CK45" s="200">
        <f t="shared" si="64"/>
        <v>0</v>
      </c>
      <c r="CL45" s="200">
        <f t="shared" si="64"/>
        <v>0</v>
      </c>
      <c r="CM45" s="200">
        <f t="shared" si="64"/>
        <v>0</v>
      </c>
      <c r="CN45" s="200">
        <f t="shared" si="64"/>
        <v>0</v>
      </c>
      <c r="CO45" s="200">
        <f t="shared" si="64"/>
        <v>0</v>
      </c>
      <c r="CP45" s="200">
        <f t="shared" si="64"/>
        <v>0</v>
      </c>
      <c r="CQ45" s="200">
        <f t="shared" si="65"/>
        <v>0</v>
      </c>
      <c r="CR45" s="200">
        <f t="shared" si="65"/>
        <v>0</v>
      </c>
      <c r="CS45" s="200">
        <f t="shared" si="65"/>
        <v>0</v>
      </c>
      <c r="CT45" s="200">
        <f t="shared" si="65"/>
        <v>0</v>
      </c>
      <c r="CU45" s="200">
        <f t="shared" si="65"/>
        <v>0</v>
      </c>
      <c r="CV45" s="200">
        <f t="shared" si="65"/>
        <v>0</v>
      </c>
      <c r="CW45" s="200">
        <f t="shared" si="65"/>
        <v>0</v>
      </c>
      <c r="CX45" s="200">
        <f t="shared" si="65"/>
        <v>0</v>
      </c>
      <c r="CY45" s="200">
        <f t="shared" si="65"/>
        <v>0</v>
      </c>
      <c r="CZ45" s="200">
        <f t="shared" si="65"/>
        <v>0</v>
      </c>
      <c r="DA45" s="200">
        <f t="shared" si="66"/>
        <v>0</v>
      </c>
      <c r="DB45" s="200">
        <f t="shared" si="66"/>
        <v>0</v>
      </c>
      <c r="DC45" s="200">
        <f t="shared" si="66"/>
        <v>0</v>
      </c>
      <c r="DD45" s="200">
        <f t="shared" si="66"/>
        <v>0</v>
      </c>
      <c r="DE45" s="200">
        <f t="shared" si="66"/>
        <v>0</v>
      </c>
      <c r="DF45" s="200">
        <f t="shared" si="66"/>
        <v>0</v>
      </c>
      <c r="DG45" s="200">
        <f t="shared" si="66"/>
        <v>0</v>
      </c>
      <c r="DH45" s="200">
        <f t="shared" si="66"/>
        <v>0</v>
      </c>
      <c r="DI45" s="200">
        <f t="shared" si="66"/>
        <v>0</v>
      </c>
      <c r="DJ45" s="200">
        <f t="shared" si="66"/>
        <v>0</v>
      </c>
      <c r="DK45" s="200">
        <f t="shared" si="67"/>
        <v>0</v>
      </c>
      <c r="DL45" s="200">
        <f t="shared" si="67"/>
        <v>0</v>
      </c>
      <c r="DM45" s="200">
        <f t="shared" si="67"/>
        <v>0</v>
      </c>
      <c r="DN45" s="200">
        <f t="shared" si="67"/>
        <v>0</v>
      </c>
      <c r="DO45" s="200">
        <f t="shared" si="67"/>
        <v>0</v>
      </c>
      <c r="DP45" s="200">
        <f t="shared" si="67"/>
        <v>0</v>
      </c>
      <c r="DQ45" s="200">
        <f t="shared" si="67"/>
        <v>0</v>
      </c>
      <c r="DR45" s="200">
        <f t="shared" si="67"/>
        <v>0</v>
      </c>
      <c r="DS45" s="200">
        <f t="shared" si="67"/>
        <v>0</v>
      </c>
      <c r="DT45" s="200">
        <f t="shared" si="67"/>
        <v>0</v>
      </c>
      <c r="DU45" s="200">
        <f t="shared" si="67"/>
        <v>0</v>
      </c>
      <c r="DV45" s="200">
        <f t="shared" si="67"/>
        <v>0</v>
      </c>
      <c r="DW45" s="200">
        <f t="shared" si="67"/>
        <v>0</v>
      </c>
      <c r="DX45" s="200">
        <f t="shared" si="67"/>
        <v>0</v>
      </c>
      <c r="DZ45" s="199" t="str">
        <f t="shared" si="22"/>
        <v>Abzahlung in €/Jahr  (ALTERNATIVE zu Zeile 44 – nicht zusätzlich!)</v>
      </c>
      <c r="EA45" s="200">
        <f t="shared" si="68"/>
        <v>0</v>
      </c>
      <c r="EB45" s="200">
        <f t="shared" si="68"/>
        <v>0</v>
      </c>
      <c r="EC45" s="200">
        <f t="shared" si="68"/>
        <v>0</v>
      </c>
      <c r="ED45" s="200">
        <f t="shared" si="68"/>
        <v>0</v>
      </c>
      <c r="EE45" s="200">
        <f t="shared" si="68"/>
        <v>0</v>
      </c>
      <c r="EF45" s="200">
        <f t="shared" si="68"/>
        <v>0</v>
      </c>
      <c r="EG45" s="200">
        <f t="shared" si="68"/>
        <v>0</v>
      </c>
      <c r="EH45" s="200">
        <f t="shared" si="68"/>
        <v>0</v>
      </c>
      <c r="EI45" s="200">
        <f t="shared" si="68"/>
        <v>0</v>
      </c>
      <c r="EJ45" s="200">
        <f t="shared" si="68"/>
        <v>0</v>
      </c>
      <c r="EK45" s="200">
        <f t="shared" si="69"/>
        <v>0</v>
      </c>
      <c r="EL45" s="200">
        <f t="shared" si="69"/>
        <v>0</v>
      </c>
      <c r="EM45" s="200">
        <f t="shared" si="69"/>
        <v>0</v>
      </c>
      <c r="EN45" s="200">
        <f t="shared" si="69"/>
        <v>0</v>
      </c>
      <c r="EO45" s="200">
        <f t="shared" si="69"/>
        <v>0</v>
      </c>
      <c r="EP45" s="200">
        <f t="shared" si="69"/>
        <v>0</v>
      </c>
      <c r="EQ45" s="200">
        <f t="shared" si="69"/>
        <v>0</v>
      </c>
      <c r="ER45" s="200">
        <f t="shared" si="69"/>
        <v>0</v>
      </c>
      <c r="ES45" s="200">
        <f t="shared" si="69"/>
        <v>0</v>
      </c>
      <c r="ET45" s="200">
        <f t="shared" si="69"/>
        <v>0</v>
      </c>
      <c r="EU45" s="200">
        <f t="shared" si="70"/>
        <v>0</v>
      </c>
      <c r="EV45" s="200">
        <f t="shared" si="70"/>
        <v>0</v>
      </c>
      <c r="EW45" s="200">
        <f t="shared" si="70"/>
        <v>0</v>
      </c>
      <c r="EX45" s="200">
        <f t="shared" si="70"/>
        <v>0</v>
      </c>
      <c r="EY45" s="200">
        <f t="shared" si="70"/>
        <v>0</v>
      </c>
      <c r="EZ45" s="200">
        <f t="shared" si="70"/>
        <v>0</v>
      </c>
      <c r="FA45" s="200">
        <f t="shared" si="70"/>
        <v>0</v>
      </c>
      <c r="FB45" s="200">
        <f t="shared" si="70"/>
        <v>0</v>
      </c>
      <c r="FC45" s="200">
        <f t="shared" si="70"/>
        <v>0</v>
      </c>
      <c r="FD45" s="200">
        <f t="shared" si="70"/>
        <v>0</v>
      </c>
      <c r="FE45" s="200">
        <f t="shared" si="71"/>
        <v>0</v>
      </c>
      <c r="FF45" s="200">
        <f t="shared" si="71"/>
        <v>0</v>
      </c>
      <c r="FG45" s="200">
        <f t="shared" si="71"/>
        <v>0</v>
      </c>
      <c r="FH45" s="200">
        <f t="shared" si="71"/>
        <v>0</v>
      </c>
      <c r="FI45" s="200">
        <f t="shared" si="71"/>
        <v>0</v>
      </c>
      <c r="FJ45" s="200">
        <f t="shared" si="71"/>
        <v>0</v>
      </c>
      <c r="FK45" s="200">
        <f t="shared" si="71"/>
        <v>0</v>
      </c>
      <c r="FL45" s="200">
        <f t="shared" si="71"/>
        <v>0</v>
      </c>
      <c r="FM45" s="200">
        <f t="shared" si="71"/>
        <v>0</v>
      </c>
      <c r="FN45" s="200">
        <f t="shared" si="71"/>
        <v>0</v>
      </c>
      <c r="FO45" s="200">
        <f t="shared" si="72"/>
        <v>0</v>
      </c>
      <c r="FP45" s="200">
        <f t="shared" si="72"/>
        <v>0</v>
      </c>
      <c r="FQ45" s="200">
        <f t="shared" si="72"/>
        <v>0</v>
      </c>
      <c r="FR45" s="200">
        <f t="shared" si="72"/>
        <v>0</v>
      </c>
      <c r="FS45" s="200">
        <f t="shared" si="72"/>
        <v>0</v>
      </c>
      <c r="FT45" s="200">
        <f t="shared" si="72"/>
        <v>0</v>
      </c>
      <c r="FU45" s="200">
        <f t="shared" si="72"/>
        <v>0</v>
      </c>
      <c r="FV45" s="200">
        <f t="shared" si="72"/>
        <v>0</v>
      </c>
      <c r="FW45" s="200">
        <f t="shared" si="72"/>
        <v>0</v>
      </c>
      <c r="FX45" s="200">
        <f t="shared" si="72"/>
        <v>0</v>
      </c>
      <c r="FY45" s="200">
        <f t="shared" si="72"/>
        <v>0</v>
      </c>
      <c r="FZ45" s="200">
        <f t="shared" si="72"/>
        <v>0</v>
      </c>
      <c r="GA45" s="200">
        <f t="shared" si="72"/>
        <v>0</v>
      </c>
      <c r="GB45" s="200">
        <f t="shared" si="72"/>
        <v>0</v>
      </c>
    </row>
    <row r="46" spans="1:184" ht="17.25" customHeight="1" x14ac:dyDescent="0.5">
      <c r="A46" s="88"/>
      <c r="B46" s="323"/>
      <c r="C46" s="101" t="s">
        <v>143</v>
      </c>
      <c r="D46" s="169"/>
      <c r="E46" s="169"/>
      <c r="F46" s="203"/>
      <c r="G46" s="177"/>
      <c r="H46" s="205"/>
      <c r="I46" s="154">
        <v>0</v>
      </c>
      <c r="J46" s="155">
        <v>0</v>
      </c>
      <c r="K46" s="156">
        <v>0</v>
      </c>
      <c r="L46" s="179">
        <f t="shared" ref="L46:L55" si="73">$D$7</f>
        <v>0.02</v>
      </c>
      <c r="M46" s="180">
        <f t="shared" ref="M46:M55" si="74">$E$7</f>
        <v>0.03</v>
      </c>
      <c r="N46" s="181">
        <f t="shared" ref="N46:N55" si="75">$F$7</f>
        <v>0.05</v>
      </c>
      <c r="R46" s="199" t="str">
        <f t="shared" si="16"/>
        <v>Zusätzliche Arbeitskraft in €/Jahr</v>
      </c>
      <c r="S46" s="200">
        <f t="shared" si="58"/>
        <v>0</v>
      </c>
      <c r="T46" s="200">
        <f t="shared" si="58"/>
        <v>0</v>
      </c>
      <c r="U46" s="200">
        <f t="shared" si="58"/>
        <v>0</v>
      </c>
      <c r="V46" s="200">
        <f t="shared" si="58"/>
        <v>0</v>
      </c>
      <c r="W46" s="200">
        <f t="shared" si="58"/>
        <v>0</v>
      </c>
      <c r="X46" s="200">
        <f t="shared" si="58"/>
        <v>0</v>
      </c>
      <c r="Y46" s="200">
        <f t="shared" si="58"/>
        <v>0</v>
      </c>
      <c r="Z46" s="200">
        <f t="shared" si="58"/>
        <v>0</v>
      </c>
      <c r="AA46" s="200">
        <f t="shared" si="58"/>
        <v>0</v>
      </c>
      <c r="AB46" s="200">
        <f t="shared" si="58"/>
        <v>0</v>
      </c>
      <c r="AC46" s="200">
        <f t="shared" si="59"/>
        <v>0</v>
      </c>
      <c r="AD46" s="200">
        <f t="shared" si="59"/>
        <v>0</v>
      </c>
      <c r="AE46" s="200">
        <f t="shared" si="59"/>
        <v>0</v>
      </c>
      <c r="AF46" s="200">
        <f t="shared" si="59"/>
        <v>0</v>
      </c>
      <c r="AG46" s="200">
        <f t="shared" si="59"/>
        <v>0</v>
      </c>
      <c r="AH46" s="200">
        <f t="shared" si="59"/>
        <v>0</v>
      </c>
      <c r="AI46" s="200">
        <f t="shared" si="59"/>
        <v>0</v>
      </c>
      <c r="AJ46" s="200">
        <f t="shared" si="59"/>
        <v>0</v>
      </c>
      <c r="AK46" s="200">
        <f t="shared" si="59"/>
        <v>0</v>
      </c>
      <c r="AL46" s="200">
        <f t="shared" si="59"/>
        <v>0</v>
      </c>
      <c r="AM46" s="200">
        <f t="shared" si="60"/>
        <v>0</v>
      </c>
      <c r="AN46" s="200">
        <f t="shared" si="60"/>
        <v>0</v>
      </c>
      <c r="AO46" s="200">
        <f t="shared" si="60"/>
        <v>0</v>
      </c>
      <c r="AP46" s="200">
        <f t="shared" si="60"/>
        <v>0</v>
      </c>
      <c r="AQ46" s="200">
        <f t="shared" si="60"/>
        <v>0</v>
      </c>
      <c r="AR46" s="200">
        <f t="shared" si="60"/>
        <v>0</v>
      </c>
      <c r="AS46" s="200">
        <f t="shared" si="60"/>
        <v>0</v>
      </c>
      <c r="AT46" s="200">
        <f t="shared" si="60"/>
        <v>0</v>
      </c>
      <c r="AU46" s="200">
        <f t="shared" si="60"/>
        <v>0</v>
      </c>
      <c r="AV46" s="200">
        <f t="shared" si="60"/>
        <v>0</v>
      </c>
      <c r="AW46" s="200">
        <f t="shared" si="61"/>
        <v>0</v>
      </c>
      <c r="AX46" s="200">
        <f t="shared" si="61"/>
        <v>0</v>
      </c>
      <c r="AY46" s="200">
        <f t="shared" si="61"/>
        <v>0</v>
      </c>
      <c r="AZ46" s="200">
        <f t="shared" si="61"/>
        <v>0</v>
      </c>
      <c r="BA46" s="200">
        <f t="shared" si="61"/>
        <v>0</v>
      </c>
      <c r="BB46" s="200">
        <f t="shared" si="61"/>
        <v>0</v>
      </c>
      <c r="BC46" s="200">
        <f t="shared" si="61"/>
        <v>0</v>
      </c>
      <c r="BD46" s="200">
        <f t="shared" si="61"/>
        <v>0</v>
      </c>
      <c r="BE46" s="200">
        <f t="shared" si="61"/>
        <v>0</v>
      </c>
      <c r="BF46" s="200">
        <f t="shared" si="61"/>
        <v>0</v>
      </c>
      <c r="BG46" s="200">
        <f t="shared" si="62"/>
        <v>0</v>
      </c>
      <c r="BH46" s="200">
        <f t="shared" si="62"/>
        <v>0</v>
      </c>
      <c r="BI46" s="200">
        <f t="shared" si="62"/>
        <v>0</v>
      </c>
      <c r="BJ46" s="200">
        <f t="shared" si="62"/>
        <v>0</v>
      </c>
      <c r="BK46" s="200">
        <f t="shared" si="62"/>
        <v>0</v>
      </c>
      <c r="BL46" s="200">
        <f t="shared" si="62"/>
        <v>0</v>
      </c>
      <c r="BM46" s="200">
        <f t="shared" si="62"/>
        <v>0</v>
      </c>
      <c r="BN46" s="200">
        <f t="shared" si="62"/>
        <v>0</v>
      </c>
      <c r="BO46" s="200">
        <f t="shared" si="62"/>
        <v>0</v>
      </c>
      <c r="BP46" s="200">
        <f t="shared" si="62"/>
        <v>0</v>
      </c>
      <c r="BQ46" s="200">
        <f t="shared" si="62"/>
        <v>0</v>
      </c>
      <c r="BR46" s="200">
        <f t="shared" si="62"/>
        <v>0</v>
      </c>
      <c r="BS46" s="200">
        <f t="shared" si="62"/>
        <v>0</v>
      </c>
      <c r="BT46" s="200">
        <f t="shared" si="62"/>
        <v>0</v>
      </c>
      <c r="BV46" s="199" t="str">
        <f t="shared" si="19"/>
        <v>Zusätzliche Arbeitskraft in €/Jahr</v>
      </c>
      <c r="BW46" s="200">
        <f t="shared" si="63"/>
        <v>0</v>
      </c>
      <c r="BX46" s="200">
        <f t="shared" si="63"/>
        <v>0</v>
      </c>
      <c r="BY46" s="200">
        <f t="shared" si="63"/>
        <v>0</v>
      </c>
      <c r="BZ46" s="200">
        <f t="shared" si="63"/>
        <v>0</v>
      </c>
      <c r="CA46" s="200">
        <f t="shared" si="63"/>
        <v>0</v>
      </c>
      <c r="CB46" s="200">
        <f t="shared" si="63"/>
        <v>0</v>
      </c>
      <c r="CC46" s="200">
        <f t="shared" si="63"/>
        <v>0</v>
      </c>
      <c r="CD46" s="200">
        <f t="shared" si="63"/>
        <v>0</v>
      </c>
      <c r="CE46" s="200">
        <f t="shared" si="63"/>
        <v>0</v>
      </c>
      <c r="CF46" s="200">
        <f t="shared" si="63"/>
        <v>0</v>
      </c>
      <c r="CG46" s="200">
        <f t="shared" si="64"/>
        <v>0</v>
      </c>
      <c r="CH46" s="200">
        <f t="shared" si="64"/>
        <v>0</v>
      </c>
      <c r="CI46" s="200">
        <f t="shared" si="64"/>
        <v>0</v>
      </c>
      <c r="CJ46" s="200">
        <f t="shared" si="64"/>
        <v>0</v>
      </c>
      <c r="CK46" s="200">
        <f t="shared" si="64"/>
        <v>0</v>
      </c>
      <c r="CL46" s="200">
        <f t="shared" si="64"/>
        <v>0</v>
      </c>
      <c r="CM46" s="200">
        <f t="shared" si="64"/>
        <v>0</v>
      </c>
      <c r="CN46" s="200">
        <f t="shared" si="64"/>
        <v>0</v>
      </c>
      <c r="CO46" s="200">
        <f t="shared" si="64"/>
        <v>0</v>
      </c>
      <c r="CP46" s="200">
        <f t="shared" si="64"/>
        <v>0</v>
      </c>
      <c r="CQ46" s="200">
        <f t="shared" si="65"/>
        <v>0</v>
      </c>
      <c r="CR46" s="200">
        <f t="shared" si="65"/>
        <v>0</v>
      </c>
      <c r="CS46" s="200">
        <f t="shared" si="65"/>
        <v>0</v>
      </c>
      <c r="CT46" s="200">
        <f t="shared" si="65"/>
        <v>0</v>
      </c>
      <c r="CU46" s="200">
        <f t="shared" si="65"/>
        <v>0</v>
      </c>
      <c r="CV46" s="200">
        <f t="shared" si="65"/>
        <v>0</v>
      </c>
      <c r="CW46" s="200">
        <f t="shared" si="65"/>
        <v>0</v>
      </c>
      <c r="CX46" s="200">
        <f t="shared" si="65"/>
        <v>0</v>
      </c>
      <c r="CY46" s="200">
        <f t="shared" si="65"/>
        <v>0</v>
      </c>
      <c r="CZ46" s="200">
        <f t="shared" si="65"/>
        <v>0</v>
      </c>
      <c r="DA46" s="200">
        <f t="shared" si="66"/>
        <v>0</v>
      </c>
      <c r="DB46" s="200">
        <f t="shared" si="66"/>
        <v>0</v>
      </c>
      <c r="DC46" s="200">
        <f t="shared" si="66"/>
        <v>0</v>
      </c>
      <c r="DD46" s="200">
        <f t="shared" si="66"/>
        <v>0</v>
      </c>
      <c r="DE46" s="200">
        <f t="shared" si="66"/>
        <v>0</v>
      </c>
      <c r="DF46" s="200">
        <f t="shared" si="66"/>
        <v>0</v>
      </c>
      <c r="DG46" s="200">
        <f t="shared" si="66"/>
        <v>0</v>
      </c>
      <c r="DH46" s="200">
        <f t="shared" si="66"/>
        <v>0</v>
      </c>
      <c r="DI46" s="200">
        <f t="shared" si="66"/>
        <v>0</v>
      </c>
      <c r="DJ46" s="200">
        <f t="shared" si="66"/>
        <v>0</v>
      </c>
      <c r="DK46" s="200">
        <f t="shared" si="67"/>
        <v>0</v>
      </c>
      <c r="DL46" s="200">
        <f t="shared" si="67"/>
        <v>0</v>
      </c>
      <c r="DM46" s="200">
        <f t="shared" si="67"/>
        <v>0</v>
      </c>
      <c r="DN46" s="200">
        <f t="shared" si="67"/>
        <v>0</v>
      </c>
      <c r="DO46" s="200">
        <f t="shared" si="67"/>
        <v>0</v>
      </c>
      <c r="DP46" s="200">
        <f t="shared" si="67"/>
        <v>0</v>
      </c>
      <c r="DQ46" s="200">
        <f t="shared" si="67"/>
        <v>0</v>
      </c>
      <c r="DR46" s="200">
        <f t="shared" si="67"/>
        <v>0</v>
      </c>
      <c r="DS46" s="200">
        <f t="shared" si="67"/>
        <v>0</v>
      </c>
      <c r="DT46" s="200">
        <f t="shared" si="67"/>
        <v>0</v>
      </c>
      <c r="DU46" s="200">
        <f t="shared" si="67"/>
        <v>0</v>
      </c>
      <c r="DV46" s="200">
        <f t="shared" si="67"/>
        <v>0</v>
      </c>
      <c r="DW46" s="200">
        <f t="shared" si="67"/>
        <v>0</v>
      </c>
      <c r="DX46" s="200">
        <f t="shared" si="67"/>
        <v>0</v>
      </c>
      <c r="DZ46" s="199" t="str">
        <f t="shared" si="22"/>
        <v>Zusätzliche Arbeitskraft in €/Jahr</v>
      </c>
      <c r="EA46" s="200">
        <f t="shared" si="68"/>
        <v>0</v>
      </c>
      <c r="EB46" s="200">
        <f t="shared" si="68"/>
        <v>0</v>
      </c>
      <c r="EC46" s="200">
        <f t="shared" si="68"/>
        <v>0</v>
      </c>
      <c r="ED46" s="200">
        <f t="shared" si="68"/>
        <v>0</v>
      </c>
      <c r="EE46" s="200">
        <f t="shared" si="68"/>
        <v>0</v>
      </c>
      <c r="EF46" s="200">
        <f t="shared" si="68"/>
        <v>0</v>
      </c>
      <c r="EG46" s="200">
        <f t="shared" si="68"/>
        <v>0</v>
      </c>
      <c r="EH46" s="200">
        <f t="shared" si="68"/>
        <v>0</v>
      </c>
      <c r="EI46" s="200">
        <f t="shared" si="68"/>
        <v>0</v>
      </c>
      <c r="EJ46" s="200">
        <f t="shared" si="68"/>
        <v>0</v>
      </c>
      <c r="EK46" s="200">
        <f t="shared" si="69"/>
        <v>0</v>
      </c>
      <c r="EL46" s="200">
        <f t="shared" si="69"/>
        <v>0</v>
      </c>
      <c r="EM46" s="200">
        <f t="shared" si="69"/>
        <v>0</v>
      </c>
      <c r="EN46" s="200">
        <f t="shared" si="69"/>
        <v>0</v>
      </c>
      <c r="EO46" s="200">
        <f t="shared" si="69"/>
        <v>0</v>
      </c>
      <c r="EP46" s="200">
        <f t="shared" si="69"/>
        <v>0</v>
      </c>
      <c r="EQ46" s="200">
        <f t="shared" si="69"/>
        <v>0</v>
      </c>
      <c r="ER46" s="200">
        <f t="shared" si="69"/>
        <v>0</v>
      </c>
      <c r="ES46" s="200">
        <f t="shared" si="69"/>
        <v>0</v>
      </c>
      <c r="ET46" s="200">
        <f t="shared" si="69"/>
        <v>0</v>
      </c>
      <c r="EU46" s="200">
        <f t="shared" si="70"/>
        <v>0</v>
      </c>
      <c r="EV46" s="200">
        <f t="shared" si="70"/>
        <v>0</v>
      </c>
      <c r="EW46" s="200">
        <f t="shared" si="70"/>
        <v>0</v>
      </c>
      <c r="EX46" s="200">
        <f t="shared" si="70"/>
        <v>0</v>
      </c>
      <c r="EY46" s="200">
        <f t="shared" si="70"/>
        <v>0</v>
      </c>
      <c r="EZ46" s="200">
        <f t="shared" si="70"/>
        <v>0</v>
      </c>
      <c r="FA46" s="200">
        <f t="shared" si="70"/>
        <v>0</v>
      </c>
      <c r="FB46" s="200">
        <f t="shared" si="70"/>
        <v>0</v>
      </c>
      <c r="FC46" s="200">
        <f t="shared" si="70"/>
        <v>0</v>
      </c>
      <c r="FD46" s="200">
        <f t="shared" si="70"/>
        <v>0</v>
      </c>
      <c r="FE46" s="200">
        <f t="shared" si="71"/>
        <v>0</v>
      </c>
      <c r="FF46" s="200">
        <f t="shared" si="71"/>
        <v>0</v>
      </c>
      <c r="FG46" s="200">
        <f t="shared" si="71"/>
        <v>0</v>
      </c>
      <c r="FH46" s="200">
        <f t="shared" si="71"/>
        <v>0</v>
      </c>
      <c r="FI46" s="200">
        <f t="shared" si="71"/>
        <v>0</v>
      </c>
      <c r="FJ46" s="200">
        <f t="shared" si="71"/>
        <v>0</v>
      </c>
      <c r="FK46" s="200">
        <f t="shared" si="71"/>
        <v>0</v>
      </c>
      <c r="FL46" s="200">
        <f t="shared" si="71"/>
        <v>0</v>
      </c>
      <c r="FM46" s="200">
        <f t="shared" si="71"/>
        <v>0</v>
      </c>
      <c r="FN46" s="200">
        <f t="shared" si="71"/>
        <v>0</v>
      </c>
      <c r="FO46" s="200">
        <f t="shared" si="72"/>
        <v>0</v>
      </c>
      <c r="FP46" s="200">
        <f t="shared" si="72"/>
        <v>0</v>
      </c>
      <c r="FQ46" s="200">
        <f t="shared" si="72"/>
        <v>0</v>
      </c>
      <c r="FR46" s="200">
        <f t="shared" si="72"/>
        <v>0</v>
      </c>
      <c r="FS46" s="200">
        <f t="shared" si="72"/>
        <v>0</v>
      </c>
      <c r="FT46" s="200">
        <f t="shared" si="72"/>
        <v>0</v>
      </c>
      <c r="FU46" s="200">
        <f t="shared" si="72"/>
        <v>0</v>
      </c>
      <c r="FV46" s="200">
        <f t="shared" si="72"/>
        <v>0</v>
      </c>
      <c r="FW46" s="200">
        <f t="shared" si="72"/>
        <v>0</v>
      </c>
      <c r="FX46" s="200">
        <f t="shared" si="72"/>
        <v>0</v>
      </c>
      <c r="FY46" s="200">
        <f t="shared" si="72"/>
        <v>0</v>
      </c>
      <c r="FZ46" s="200">
        <f t="shared" si="72"/>
        <v>0</v>
      </c>
      <c r="GA46" s="200">
        <f t="shared" si="72"/>
        <v>0</v>
      </c>
      <c r="GB46" s="200">
        <f t="shared" si="72"/>
        <v>0</v>
      </c>
    </row>
    <row r="47" spans="1:184" ht="17.25" customHeight="1" x14ac:dyDescent="0.5">
      <c r="A47" s="88"/>
      <c r="B47" s="323"/>
      <c r="C47" s="101" t="s">
        <v>143</v>
      </c>
      <c r="D47" s="169"/>
      <c r="E47" s="169"/>
      <c r="F47" s="203"/>
      <c r="G47" s="177"/>
      <c r="H47" s="205"/>
      <c r="I47" s="154">
        <v>0</v>
      </c>
      <c r="J47" s="155">
        <v>0</v>
      </c>
      <c r="K47" s="156">
        <v>0</v>
      </c>
      <c r="L47" s="179">
        <f t="shared" si="73"/>
        <v>0.02</v>
      </c>
      <c r="M47" s="180">
        <f t="shared" si="74"/>
        <v>0.03</v>
      </c>
      <c r="N47" s="181">
        <f t="shared" si="75"/>
        <v>0.05</v>
      </c>
      <c r="R47" s="199" t="str">
        <f t="shared" si="16"/>
        <v>Zusätzliche Arbeitskraft in €/Jahr</v>
      </c>
      <c r="S47" s="200">
        <f t="shared" si="58"/>
        <v>0</v>
      </c>
      <c r="T47" s="200">
        <f t="shared" si="58"/>
        <v>0</v>
      </c>
      <c r="U47" s="200">
        <f t="shared" si="58"/>
        <v>0</v>
      </c>
      <c r="V47" s="200">
        <f t="shared" si="58"/>
        <v>0</v>
      </c>
      <c r="W47" s="200">
        <f t="shared" si="58"/>
        <v>0</v>
      </c>
      <c r="X47" s="200">
        <f t="shared" si="58"/>
        <v>0</v>
      </c>
      <c r="Y47" s="200">
        <f t="shared" si="58"/>
        <v>0</v>
      </c>
      <c r="Z47" s="200">
        <f t="shared" si="58"/>
        <v>0</v>
      </c>
      <c r="AA47" s="200">
        <f t="shared" si="58"/>
        <v>0</v>
      </c>
      <c r="AB47" s="200">
        <f t="shared" si="58"/>
        <v>0</v>
      </c>
      <c r="AC47" s="200">
        <f t="shared" si="59"/>
        <v>0</v>
      </c>
      <c r="AD47" s="200">
        <f t="shared" si="59"/>
        <v>0</v>
      </c>
      <c r="AE47" s="200">
        <f t="shared" si="59"/>
        <v>0</v>
      </c>
      <c r="AF47" s="200">
        <f t="shared" si="59"/>
        <v>0</v>
      </c>
      <c r="AG47" s="200">
        <f t="shared" si="59"/>
        <v>0</v>
      </c>
      <c r="AH47" s="200">
        <f t="shared" si="59"/>
        <v>0</v>
      </c>
      <c r="AI47" s="200">
        <f t="shared" si="59"/>
        <v>0</v>
      </c>
      <c r="AJ47" s="200">
        <f t="shared" si="59"/>
        <v>0</v>
      </c>
      <c r="AK47" s="200">
        <f t="shared" si="59"/>
        <v>0</v>
      </c>
      <c r="AL47" s="200">
        <f t="shared" si="59"/>
        <v>0</v>
      </c>
      <c r="AM47" s="200">
        <f t="shared" si="60"/>
        <v>0</v>
      </c>
      <c r="AN47" s="200">
        <f t="shared" si="60"/>
        <v>0</v>
      </c>
      <c r="AO47" s="200">
        <f t="shared" si="60"/>
        <v>0</v>
      </c>
      <c r="AP47" s="200">
        <f t="shared" si="60"/>
        <v>0</v>
      </c>
      <c r="AQ47" s="200">
        <f t="shared" si="60"/>
        <v>0</v>
      </c>
      <c r="AR47" s="200">
        <f t="shared" si="60"/>
        <v>0</v>
      </c>
      <c r="AS47" s="200">
        <f t="shared" si="60"/>
        <v>0</v>
      </c>
      <c r="AT47" s="200">
        <f t="shared" si="60"/>
        <v>0</v>
      </c>
      <c r="AU47" s="200">
        <f t="shared" si="60"/>
        <v>0</v>
      </c>
      <c r="AV47" s="200">
        <f t="shared" si="60"/>
        <v>0</v>
      </c>
      <c r="AW47" s="200">
        <f t="shared" si="61"/>
        <v>0</v>
      </c>
      <c r="AX47" s="200">
        <f t="shared" si="61"/>
        <v>0</v>
      </c>
      <c r="AY47" s="200">
        <f t="shared" si="61"/>
        <v>0</v>
      </c>
      <c r="AZ47" s="200">
        <f t="shared" si="61"/>
        <v>0</v>
      </c>
      <c r="BA47" s="200">
        <f t="shared" si="61"/>
        <v>0</v>
      </c>
      <c r="BB47" s="200">
        <f t="shared" si="61"/>
        <v>0</v>
      </c>
      <c r="BC47" s="200">
        <f t="shared" si="61"/>
        <v>0</v>
      </c>
      <c r="BD47" s="200">
        <f t="shared" si="61"/>
        <v>0</v>
      </c>
      <c r="BE47" s="200">
        <f t="shared" si="61"/>
        <v>0</v>
      </c>
      <c r="BF47" s="200">
        <f t="shared" si="61"/>
        <v>0</v>
      </c>
      <c r="BG47" s="200">
        <f t="shared" si="62"/>
        <v>0</v>
      </c>
      <c r="BH47" s="200">
        <f t="shared" si="62"/>
        <v>0</v>
      </c>
      <c r="BI47" s="200">
        <f t="shared" si="62"/>
        <v>0</v>
      </c>
      <c r="BJ47" s="200">
        <f t="shared" si="62"/>
        <v>0</v>
      </c>
      <c r="BK47" s="200">
        <f t="shared" si="62"/>
        <v>0</v>
      </c>
      <c r="BL47" s="200">
        <f t="shared" si="62"/>
        <v>0</v>
      </c>
      <c r="BM47" s="200">
        <f t="shared" si="62"/>
        <v>0</v>
      </c>
      <c r="BN47" s="200">
        <f t="shared" si="62"/>
        <v>0</v>
      </c>
      <c r="BO47" s="200">
        <f t="shared" si="62"/>
        <v>0</v>
      </c>
      <c r="BP47" s="200">
        <f t="shared" si="62"/>
        <v>0</v>
      </c>
      <c r="BQ47" s="200">
        <f t="shared" si="62"/>
        <v>0</v>
      </c>
      <c r="BR47" s="200">
        <f t="shared" si="62"/>
        <v>0</v>
      </c>
      <c r="BS47" s="200">
        <f t="shared" si="62"/>
        <v>0</v>
      </c>
      <c r="BT47" s="200">
        <f t="shared" si="62"/>
        <v>0</v>
      </c>
      <c r="BV47" s="199" t="str">
        <f t="shared" si="19"/>
        <v>Zusätzliche Arbeitskraft in €/Jahr</v>
      </c>
      <c r="BW47" s="200">
        <f t="shared" si="63"/>
        <v>0</v>
      </c>
      <c r="BX47" s="200">
        <f t="shared" si="63"/>
        <v>0</v>
      </c>
      <c r="BY47" s="200">
        <f t="shared" si="63"/>
        <v>0</v>
      </c>
      <c r="BZ47" s="200">
        <f t="shared" si="63"/>
        <v>0</v>
      </c>
      <c r="CA47" s="200">
        <f t="shared" si="63"/>
        <v>0</v>
      </c>
      <c r="CB47" s="200">
        <f t="shared" si="63"/>
        <v>0</v>
      </c>
      <c r="CC47" s="200">
        <f t="shared" si="63"/>
        <v>0</v>
      </c>
      <c r="CD47" s="200">
        <f t="shared" si="63"/>
        <v>0</v>
      </c>
      <c r="CE47" s="200">
        <f t="shared" si="63"/>
        <v>0</v>
      </c>
      <c r="CF47" s="200">
        <f t="shared" si="63"/>
        <v>0</v>
      </c>
      <c r="CG47" s="200">
        <f t="shared" si="64"/>
        <v>0</v>
      </c>
      <c r="CH47" s="200">
        <f t="shared" si="64"/>
        <v>0</v>
      </c>
      <c r="CI47" s="200">
        <f t="shared" si="64"/>
        <v>0</v>
      </c>
      <c r="CJ47" s="200">
        <f t="shared" si="64"/>
        <v>0</v>
      </c>
      <c r="CK47" s="200">
        <f t="shared" si="64"/>
        <v>0</v>
      </c>
      <c r="CL47" s="200">
        <f t="shared" si="64"/>
        <v>0</v>
      </c>
      <c r="CM47" s="200">
        <f t="shared" si="64"/>
        <v>0</v>
      </c>
      <c r="CN47" s="200">
        <f t="shared" si="64"/>
        <v>0</v>
      </c>
      <c r="CO47" s="200">
        <f t="shared" si="64"/>
        <v>0</v>
      </c>
      <c r="CP47" s="200">
        <f t="shared" si="64"/>
        <v>0</v>
      </c>
      <c r="CQ47" s="200">
        <f t="shared" si="65"/>
        <v>0</v>
      </c>
      <c r="CR47" s="200">
        <f t="shared" si="65"/>
        <v>0</v>
      </c>
      <c r="CS47" s="200">
        <f t="shared" si="65"/>
        <v>0</v>
      </c>
      <c r="CT47" s="200">
        <f t="shared" si="65"/>
        <v>0</v>
      </c>
      <c r="CU47" s="200">
        <f t="shared" si="65"/>
        <v>0</v>
      </c>
      <c r="CV47" s="200">
        <f t="shared" si="65"/>
        <v>0</v>
      </c>
      <c r="CW47" s="200">
        <f t="shared" si="65"/>
        <v>0</v>
      </c>
      <c r="CX47" s="200">
        <f t="shared" si="65"/>
        <v>0</v>
      </c>
      <c r="CY47" s="200">
        <f t="shared" si="65"/>
        <v>0</v>
      </c>
      <c r="CZ47" s="200">
        <f t="shared" si="65"/>
        <v>0</v>
      </c>
      <c r="DA47" s="200">
        <f t="shared" si="66"/>
        <v>0</v>
      </c>
      <c r="DB47" s="200">
        <f t="shared" si="66"/>
        <v>0</v>
      </c>
      <c r="DC47" s="200">
        <f t="shared" si="66"/>
        <v>0</v>
      </c>
      <c r="DD47" s="200">
        <f t="shared" si="66"/>
        <v>0</v>
      </c>
      <c r="DE47" s="200">
        <f t="shared" si="66"/>
        <v>0</v>
      </c>
      <c r="DF47" s="200">
        <f t="shared" si="66"/>
        <v>0</v>
      </c>
      <c r="DG47" s="200">
        <f t="shared" si="66"/>
        <v>0</v>
      </c>
      <c r="DH47" s="200">
        <f t="shared" si="66"/>
        <v>0</v>
      </c>
      <c r="DI47" s="200">
        <f t="shared" si="66"/>
        <v>0</v>
      </c>
      <c r="DJ47" s="200">
        <f t="shared" si="66"/>
        <v>0</v>
      </c>
      <c r="DK47" s="200">
        <f t="shared" si="67"/>
        <v>0</v>
      </c>
      <c r="DL47" s="200">
        <f t="shared" si="67"/>
        <v>0</v>
      </c>
      <c r="DM47" s="200">
        <f t="shared" si="67"/>
        <v>0</v>
      </c>
      <c r="DN47" s="200">
        <f t="shared" si="67"/>
        <v>0</v>
      </c>
      <c r="DO47" s="200">
        <f t="shared" si="67"/>
        <v>0</v>
      </c>
      <c r="DP47" s="200">
        <f t="shared" si="67"/>
        <v>0</v>
      </c>
      <c r="DQ47" s="200">
        <f t="shared" si="67"/>
        <v>0</v>
      </c>
      <c r="DR47" s="200">
        <f t="shared" si="67"/>
        <v>0</v>
      </c>
      <c r="DS47" s="200">
        <f t="shared" si="67"/>
        <v>0</v>
      </c>
      <c r="DT47" s="200">
        <f t="shared" si="67"/>
        <v>0</v>
      </c>
      <c r="DU47" s="200">
        <f t="shared" si="67"/>
        <v>0</v>
      </c>
      <c r="DV47" s="200">
        <f t="shared" si="67"/>
        <v>0</v>
      </c>
      <c r="DW47" s="200">
        <f t="shared" si="67"/>
        <v>0</v>
      </c>
      <c r="DX47" s="200">
        <f t="shared" si="67"/>
        <v>0</v>
      </c>
      <c r="DZ47" s="199" t="str">
        <f t="shared" si="22"/>
        <v>Zusätzliche Arbeitskraft in €/Jahr</v>
      </c>
      <c r="EA47" s="200">
        <f t="shared" si="68"/>
        <v>0</v>
      </c>
      <c r="EB47" s="200">
        <f t="shared" si="68"/>
        <v>0</v>
      </c>
      <c r="EC47" s="200">
        <f t="shared" si="68"/>
        <v>0</v>
      </c>
      <c r="ED47" s="200">
        <f t="shared" si="68"/>
        <v>0</v>
      </c>
      <c r="EE47" s="200">
        <f t="shared" si="68"/>
        <v>0</v>
      </c>
      <c r="EF47" s="200">
        <f t="shared" si="68"/>
        <v>0</v>
      </c>
      <c r="EG47" s="200">
        <f t="shared" si="68"/>
        <v>0</v>
      </c>
      <c r="EH47" s="200">
        <f t="shared" si="68"/>
        <v>0</v>
      </c>
      <c r="EI47" s="200">
        <f t="shared" si="68"/>
        <v>0</v>
      </c>
      <c r="EJ47" s="200">
        <f t="shared" si="68"/>
        <v>0</v>
      </c>
      <c r="EK47" s="200">
        <f t="shared" si="69"/>
        <v>0</v>
      </c>
      <c r="EL47" s="200">
        <f t="shared" si="69"/>
        <v>0</v>
      </c>
      <c r="EM47" s="200">
        <f t="shared" si="69"/>
        <v>0</v>
      </c>
      <c r="EN47" s="200">
        <f t="shared" si="69"/>
        <v>0</v>
      </c>
      <c r="EO47" s="200">
        <f t="shared" si="69"/>
        <v>0</v>
      </c>
      <c r="EP47" s="200">
        <f t="shared" si="69"/>
        <v>0</v>
      </c>
      <c r="EQ47" s="200">
        <f t="shared" si="69"/>
        <v>0</v>
      </c>
      <c r="ER47" s="200">
        <f t="shared" si="69"/>
        <v>0</v>
      </c>
      <c r="ES47" s="200">
        <f t="shared" si="69"/>
        <v>0</v>
      </c>
      <c r="ET47" s="200">
        <f t="shared" si="69"/>
        <v>0</v>
      </c>
      <c r="EU47" s="200">
        <f t="shared" si="70"/>
        <v>0</v>
      </c>
      <c r="EV47" s="200">
        <f t="shared" si="70"/>
        <v>0</v>
      </c>
      <c r="EW47" s="200">
        <f t="shared" si="70"/>
        <v>0</v>
      </c>
      <c r="EX47" s="200">
        <f t="shared" si="70"/>
        <v>0</v>
      </c>
      <c r="EY47" s="200">
        <f t="shared" si="70"/>
        <v>0</v>
      </c>
      <c r="EZ47" s="200">
        <f t="shared" si="70"/>
        <v>0</v>
      </c>
      <c r="FA47" s="200">
        <f t="shared" si="70"/>
        <v>0</v>
      </c>
      <c r="FB47" s="200">
        <f t="shared" si="70"/>
        <v>0</v>
      </c>
      <c r="FC47" s="200">
        <f t="shared" si="70"/>
        <v>0</v>
      </c>
      <c r="FD47" s="200">
        <f t="shared" si="70"/>
        <v>0</v>
      </c>
      <c r="FE47" s="200">
        <f t="shared" si="71"/>
        <v>0</v>
      </c>
      <c r="FF47" s="200">
        <f t="shared" si="71"/>
        <v>0</v>
      </c>
      <c r="FG47" s="200">
        <f t="shared" si="71"/>
        <v>0</v>
      </c>
      <c r="FH47" s="200">
        <f t="shared" si="71"/>
        <v>0</v>
      </c>
      <c r="FI47" s="200">
        <f t="shared" si="71"/>
        <v>0</v>
      </c>
      <c r="FJ47" s="200">
        <f t="shared" si="71"/>
        <v>0</v>
      </c>
      <c r="FK47" s="200">
        <f t="shared" si="71"/>
        <v>0</v>
      </c>
      <c r="FL47" s="200">
        <f t="shared" si="71"/>
        <v>0</v>
      </c>
      <c r="FM47" s="200">
        <f t="shared" si="71"/>
        <v>0</v>
      </c>
      <c r="FN47" s="200">
        <f t="shared" si="71"/>
        <v>0</v>
      </c>
      <c r="FO47" s="200">
        <f t="shared" si="72"/>
        <v>0</v>
      </c>
      <c r="FP47" s="200">
        <f t="shared" si="72"/>
        <v>0</v>
      </c>
      <c r="FQ47" s="200">
        <f t="shared" si="72"/>
        <v>0</v>
      </c>
      <c r="FR47" s="200">
        <f t="shared" si="72"/>
        <v>0</v>
      </c>
      <c r="FS47" s="200">
        <f t="shared" si="72"/>
        <v>0</v>
      </c>
      <c r="FT47" s="200">
        <f t="shared" si="72"/>
        <v>0</v>
      </c>
      <c r="FU47" s="200">
        <f t="shared" si="72"/>
        <v>0</v>
      </c>
      <c r="FV47" s="200">
        <f t="shared" si="72"/>
        <v>0</v>
      </c>
      <c r="FW47" s="200">
        <f t="shared" si="72"/>
        <v>0</v>
      </c>
      <c r="FX47" s="200">
        <f t="shared" si="72"/>
        <v>0</v>
      </c>
      <c r="FY47" s="200">
        <f t="shared" si="72"/>
        <v>0</v>
      </c>
      <c r="FZ47" s="200">
        <f t="shared" si="72"/>
        <v>0</v>
      </c>
      <c r="GA47" s="200">
        <f t="shared" si="72"/>
        <v>0</v>
      </c>
      <c r="GB47" s="200">
        <f t="shared" si="72"/>
        <v>0</v>
      </c>
    </row>
    <row r="48" spans="1:184" ht="17.25" customHeight="1" x14ac:dyDescent="0.5">
      <c r="A48" s="88"/>
      <c r="B48" s="323"/>
      <c r="C48" s="101" t="s">
        <v>144</v>
      </c>
      <c r="D48" s="169"/>
      <c r="E48" s="169"/>
      <c r="F48" s="203"/>
      <c r="G48" s="177"/>
      <c r="H48" s="205"/>
      <c r="I48" s="154">
        <v>0</v>
      </c>
      <c r="J48" s="155">
        <v>0</v>
      </c>
      <c r="K48" s="156">
        <v>0</v>
      </c>
      <c r="L48" s="179">
        <f t="shared" si="73"/>
        <v>0.02</v>
      </c>
      <c r="M48" s="180">
        <f t="shared" si="74"/>
        <v>0.03</v>
      </c>
      <c r="N48" s="181">
        <f t="shared" si="75"/>
        <v>0.05</v>
      </c>
      <c r="R48" s="199" t="str">
        <f t="shared" si="16"/>
        <v>Minderproduktion in €/Jahr</v>
      </c>
      <c r="S48" s="200">
        <f t="shared" si="58"/>
        <v>0</v>
      </c>
      <c r="T48" s="200">
        <f t="shared" si="58"/>
        <v>0</v>
      </c>
      <c r="U48" s="200">
        <f t="shared" si="58"/>
        <v>0</v>
      </c>
      <c r="V48" s="200">
        <f t="shared" si="58"/>
        <v>0</v>
      </c>
      <c r="W48" s="200">
        <f t="shared" si="58"/>
        <v>0</v>
      </c>
      <c r="X48" s="200">
        <f t="shared" si="58"/>
        <v>0</v>
      </c>
      <c r="Y48" s="200">
        <f t="shared" si="58"/>
        <v>0</v>
      </c>
      <c r="Z48" s="200">
        <f t="shared" si="58"/>
        <v>0</v>
      </c>
      <c r="AA48" s="200">
        <f t="shared" si="58"/>
        <v>0</v>
      </c>
      <c r="AB48" s="200">
        <f t="shared" si="58"/>
        <v>0</v>
      </c>
      <c r="AC48" s="200">
        <f t="shared" si="59"/>
        <v>0</v>
      </c>
      <c r="AD48" s="200">
        <f t="shared" si="59"/>
        <v>0</v>
      </c>
      <c r="AE48" s="200">
        <f t="shared" si="59"/>
        <v>0</v>
      </c>
      <c r="AF48" s="200">
        <f t="shared" si="59"/>
        <v>0</v>
      </c>
      <c r="AG48" s="200">
        <f t="shared" si="59"/>
        <v>0</v>
      </c>
      <c r="AH48" s="200">
        <f t="shared" si="59"/>
        <v>0</v>
      </c>
      <c r="AI48" s="200">
        <f t="shared" si="59"/>
        <v>0</v>
      </c>
      <c r="AJ48" s="200">
        <f t="shared" si="59"/>
        <v>0</v>
      </c>
      <c r="AK48" s="200">
        <f t="shared" si="59"/>
        <v>0</v>
      </c>
      <c r="AL48" s="200">
        <f t="shared" si="59"/>
        <v>0</v>
      </c>
      <c r="AM48" s="200">
        <f t="shared" si="60"/>
        <v>0</v>
      </c>
      <c r="AN48" s="200">
        <f t="shared" si="60"/>
        <v>0</v>
      </c>
      <c r="AO48" s="200">
        <f t="shared" si="60"/>
        <v>0</v>
      </c>
      <c r="AP48" s="200">
        <f t="shared" si="60"/>
        <v>0</v>
      </c>
      <c r="AQ48" s="200">
        <f t="shared" si="60"/>
        <v>0</v>
      </c>
      <c r="AR48" s="200">
        <f t="shared" si="60"/>
        <v>0</v>
      </c>
      <c r="AS48" s="200">
        <f t="shared" si="60"/>
        <v>0</v>
      </c>
      <c r="AT48" s="200">
        <f t="shared" si="60"/>
        <v>0</v>
      </c>
      <c r="AU48" s="200">
        <f t="shared" si="60"/>
        <v>0</v>
      </c>
      <c r="AV48" s="200">
        <f t="shared" si="60"/>
        <v>0</v>
      </c>
      <c r="AW48" s="200">
        <f t="shared" si="61"/>
        <v>0</v>
      </c>
      <c r="AX48" s="200">
        <f t="shared" si="61"/>
        <v>0</v>
      </c>
      <c r="AY48" s="200">
        <f t="shared" si="61"/>
        <v>0</v>
      </c>
      <c r="AZ48" s="200">
        <f t="shared" si="61"/>
        <v>0</v>
      </c>
      <c r="BA48" s="200">
        <f t="shared" si="61"/>
        <v>0</v>
      </c>
      <c r="BB48" s="200">
        <f t="shared" si="61"/>
        <v>0</v>
      </c>
      <c r="BC48" s="200">
        <f t="shared" si="61"/>
        <v>0</v>
      </c>
      <c r="BD48" s="200">
        <f t="shared" si="61"/>
        <v>0</v>
      </c>
      <c r="BE48" s="200">
        <f t="shared" si="61"/>
        <v>0</v>
      </c>
      <c r="BF48" s="200">
        <f t="shared" si="61"/>
        <v>0</v>
      </c>
      <c r="BG48" s="200">
        <f t="shared" si="62"/>
        <v>0</v>
      </c>
      <c r="BH48" s="200">
        <f t="shared" si="62"/>
        <v>0</v>
      </c>
      <c r="BI48" s="200">
        <f t="shared" si="62"/>
        <v>0</v>
      </c>
      <c r="BJ48" s="200">
        <f t="shared" si="62"/>
        <v>0</v>
      </c>
      <c r="BK48" s="200">
        <f t="shared" si="62"/>
        <v>0</v>
      </c>
      <c r="BL48" s="200">
        <f t="shared" si="62"/>
        <v>0</v>
      </c>
      <c r="BM48" s="200">
        <f t="shared" si="62"/>
        <v>0</v>
      </c>
      <c r="BN48" s="200">
        <f t="shared" si="62"/>
        <v>0</v>
      </c>
      <c r="BO48" s="200">
        <f t="shared" si="62"/>
        <v>0</v>
      </c>
      <c r="BP48" s="200">
        <f t="shared" si="62"/>
        <v>0</v>
      </c>
      <c r="BQ48" s="200">
        <f t="shared" si="62"/>
        <v>0</v>
      </c>
      <c r="BR48" s="200">
        <f t="shared" si="62"/>
        <v>0</v>
      </c>
      <c r="BS48" s="200">
        <f t="shared" si="62"/>
        <v>0</v>
      </c>
      <c r="BT48" s="200">
        <f t="shared" si="62"/>
        <v>0</v>
      </c>
      <c r="BV48" s="199" t="str">
        <f t="shared" si="19"/>
        <v>Minderproduktion in €/Jahr</v>
      </c>
      <c r="BW48" s="200">
        <f t="shared" si="63"/>
        <v>0</v>
      </c>
      <c r="BX48" s="200">
        <f t="shared" si="63"/>
        <v>0</v>
      </c>
      <c r="BY48" s="200">
        <f t="shared" si="63"/>
        <v>0</v>
      </c>
      <c r="BZ48" s="200">
        <f t="shared" si="63"/>
        <v>0</v>
      </c>
      <c r="CA48" s="200">
        <f t="shared" si="63"/>
        <v>0</v>
      </c>
      <c r="CB48" s="200">
        <f t="shared" si="63"/>
        <v>0</v>
      </c>
      <c r="CC48" s="200">
        <f t="shared" si="63"/>
        <v>0</v>
      </c>
      <c r="CD48" s="200">
        <f t="shared" si="63"/>
        <v>0</v>
      </c>
      <c r="CE48" s="200">
        <f t="shared" si="63"/>
        <v>0</v>
      </c>
      <c r="CF48" s="200">
        <f t="shared" si="63"/>
        <v>0</v>
      </c>
      <c r="CG48" s="200">
        <f t="shared" si="64"/>
        <v>0</v>
      </c>
      <c r="CH48" s="200">
        <f t="shared" si="64"/>
        <v>0</v>
      </c>
      <c r="CI48" s="200">
        <f t="shared" si="64"/>
        <v>0</v>
      </c>
      <c r="CJ48" s="200">
        <f t="shared" si="64"/>
        <v>0</v>
      </c>
      <c r="CK48" s="200">
        <f t="shared" si="64"/>
        <v>0</v>
      </c>
      <c r="CL48" s="200">
        <f t="shared" si="64"/>
        <v>0</v>
      </c>
      <c r="CM48" s="200">
        <f t="shared" si="64"/>
        <v>0</v>
      </c>
      <c r="CN48" s="200">
        <f t="shared" si="64"/>
        <v>0</v>
      </c>
      <c r="CO48" s="200">
        <f t="shared" si="64"/>
        <v>0</v>
      </c>
      <c r="CP48" s="200">
        <f t="shared" si="64"/>
        <v>0</v>
      </c>
      <c r="CQ48" s="200">
        <f t="shared" si="65"/>
        <v>0</v>
      </c>
      <c r="CR48" s="200">
        <f t="shared" si="65"/>
        <v>0</v>
      </c>
      <c r="CS48" s="200">
        <f t="shared" si="65"/>
        <v>0</v>
      </c>
      <c r="CT48" s="200">
        <f t="shared" si="65"/>
        <v>0</v>
      </c>
      <c r="CU48" s="200">
        <f t="shared" si="65"/>
        <v>0</v>
      </c>
      <c r="CV48" s="200">
        <f t="shared" si="65"/>
        <v>0</v>
      </c>
      <c r="CW48" s="200">
        <f t="shared" si="65"/>
        <v>0</v>
      </c>
      <c r="CX48" s="200">
        <f t="shared" si="65"/>
        <v>0</v>
      </c>
      <c r="CY48" s="200">
        <f t="shared" si="65"/>
        <v>0</v>
      </c>
      <c r="CZ48" s="200">
        <f t="shared" si="65"/>
        <v>0</v>
      </c>
      <c r="DA48" s="200">
        <f t="shared" si="66"/>
        <v>0</v>
      </c>
      <c r="DB48" s="200">
        <f t="shared" si="66"/>
        <v>0</v>
      </c>
      <c r="DC48" s="200">
        <f t="shared" si="66"/>
        <v>0</v>
      </c>
      <c r="DD48" s="200">
        <f t="shared" si="66"/>
        <v>0</v>
      </c>
      <c r="DE48" s="200">
        <f t="shared" si="66"/>
        <v>0</v>
      </c>
      <c r="DF48" s="200">
        <f t="shared" si="66"/>
        <v>0</v>
      </c>
      <c r="DG48" s="200">
        <f t="shared" si="66"/>
        <v>0</v>
      </c>
      <c r="DH48" s="200">
        <f t="shared" si="66"/>
        <v>0</v>
      </c>
      <c r="DI48" s="200">
        <f t="shared" si="66"/>
        <v>0</v>
      </c>
      <c r="DJ48" s="200">
        <f t="shared" si="66"/>
        <v>0</v>
      </c>
      <c r="DK48" s="200">
        <f t="shared" si="67"/>
        <v>0</v>
      </c>
      <c r="DL48" s="200">
        <f t="shared" si="67"/>
        <v>0</v>
      </c>
      <c r="DM48" s="200">
        <f t="shared" si="67"/>
        <v>0</v>
      </c>
      <c r="DN48" s="200">
        <f t="shared" si="67"/>
        <v>0</v>
      </c>
      <c r="DO48" s="200">
        <f t="shared" si="67"/>
        <v>0</v>
      </c>
      <c r="DP48" s="200">
        <f t="shared" si="67"/>
        <v>0</v>
      </c>
      <c r="DQ48" s="200">
        <f t="shared" si="67"/>
        <v>0</v>
      </c>
      <c r="DR48" s="200">
        <f t="shared" si="67"/>
        <v>0</v>
      </c>
      <c r="DS48" s="200">
        <f t="shared" si="67"/>
        <v>0</v>
      </c>
      <c r="DT48" s="200">
        <f t="shared" si="67"/>
        <v>0</v>
      </c>
      <c r="DU48" s="200">
        <f t="shared" si="67"/>
        <v>0</v>
      </c>
      <c r="DV48" s="200">
        <f t="shared" si="67"/>
        <v>0</v>
      </c>
      <c r="DW48" s="200">
        <f t="shared" si="67"/>
        <v>0</v>
      </c>
      <c r="DX48" s="200">
        <f t="shared" si="67"/>
        <v>0</v>
      </c>
      <c r="DZ48" s="199" t="str">
        <f t="shared" si="22"/>
        <v>Minderproduktion in €/Jahr</v>
      </c>
      <c r="EA48" s="200">
        <f t="shared" si="68"/>
        <v>0</v>
      </c>
      <c r="EB48" s="200">
        <f t="shared" si="68"/>
        <v>0</v>
      </c>
      <c r="EC48" s="200">
        <f t="shared" si="68"/>
        <v>0</v>
      </c>
      <c r="ED48" s="200">
        <f t="shared" si="68"/>
        <v>0</v>
      </c>
      <c r="EE48" s="200">
        <f t="shared" si="68"/>
        <v>0</v>
      </c>
      <c r="EF48" s="200">
        <f t="shared" si="68"/>
        <v>0</v>
      </c>
      <c r="EG48" s="200">
        <f t="shared" si="68"/>
        <v>0</v>
      </c>
      <c r="EH48" s="200">
        <f t="shared" si="68"/>
        <v>0</v>
      </c>
      <c r="EI48" s="200">
        <f t="shared" si="68"/>
        <v>0</v>
      </c>
      <c r="EJ48" s="200">
        <f t="shared" si="68"/>
        <v>0</v>
      </c>
      <c r="EK48" s="200">
        <f t="shared" si="69"/>
        <v>0</v>
      </c>
      <c r="EL48" s="200">
        <f t="shared" si="69"/>
        <v>0</v>
      </c>
      <c r="EM48" s="200">
        <f t="shared" si="69"/>
        <v>0</v>
      </c>
      <c r="EN48" s="200">
        <f t="shared" si="69"/>
        <v>0</v>
      </c>
      <c r="EO48" s="200">
        <f t="shared" si="69"/>
        <v>0</v>
      </c>
      <c r="EP48" s="200">
        <f t="shared" si="69"/>
        <v>0</v>
      </c>
      <c r="EQ48" s="200">
        <f t="shared" si="69"/>
        <v>0</v>
      </c>
      <c r="ER48" s="200">
        <f t="shared" si="69"/>
        <v>0</v>
      </c>
      <c r="ES48" s="200">
        <f t="shared" si="69"/>
        <v>0</v>
      </c>
      <c r="ET48" s="200">
        <f t="shared" si="69"/>
        <v>0</v>
      </c>
      <c r="EU48" s="200">
        <f t="shared" si="70"/>
        <v>0</v>
      </c>
      <c r="EV48" s="200">
        <f t="shared" si="70"/>
        <v>0</v>
      </c>
      <c r="EW48" s="200">
        <f t="shared" si="70"/>
        <v>0</v>
      </c>
      <c r="EX48" s="200">
        <f t="shared" si="70"/>
        <v>0</v>
      </c>
      <c r="EY48" s="200">
        <f t="shared" si="70"/>
        <v>0</v>
      </c>
      <c r="EZ48" s="200">
        <f t="shared" si="70"/>
        <v>0</v>
      </c>
      <c r="FA48" s="200">
        <f t="shared" si="70"/>
        <v>0</v>
      </c>
      <c r="FB48" s="200">
        <f t="shared" si="70"/>
        <v>0</v>
      </c>
      <c r="FC48" s="200">
        <f t="shared" si="70"/>
        <v>0</v>
      </c>
      <c r="FD48" s="200">
        <f t="shared" si="70"/>
        <v>0</v>
      </c>
      <c r="FE48" s="200">
        <f t="shared" si="71"/>
        <v>0</v>
      </c>
      <c r="FF48" s="200">
        <f t="shared" si="71"/>
        <v>0</v>
      </c>
      <c r="FG48" s="200">
        <f t="shared" si="71"/>
        <v>0</v>
      </c>
      <c r="FH48" s="200">
        <f t="shared" si="71"/>
        <v>0</v>
      </c>
      <c r="FI48" s="200">
        <f t="shared" si="71"/>
        <v>0</v>
      </c>
      <c r="FJ48" s="200">
        <f t="shared" si="71"/>
        <v>0</v>
      </c>
      <c r="FK48" s="200">
        <f t="shared" si="71"/>
        <v>0</v>
      </c>
      <c r="FL48" s="200">
        <f t="shared" si="71"/>
        <v>0</v>
      </c>
      <c r="FM48" s="200">
        <f t="shared" si="71"/>
        <v>0</v>
      </c>
      <c r="FN48" s="200">
        <f t="shared" si="71"/>
        <v>0</v>
      </c>
      <c r="FO48" s="200">
        <f t="shared" si="72"/>
        <v>0</v>
      </c>
      <c r="FP48" s="200">
        <f t="shared" si="72"/>
        <v>0</v>
      </c>
      <c r="FQ48" s="200">
        <f t="shared" si="72"/>
        <v>0</v>
      </c>
      <c r="FR48" s="200">
        <f t="shared" si="72"/>
        <v>0</v>
      </c>
      <c r="FS48" s="200">
        <f t="shared" si="72"/>
        <v>0</v>
      </c>
      <c r="FT48" s="200">
        <f t="shared" si="72"/>
        <v>0</v>
      </c>
      <c r="FU48" s="200">
        <f t="shared" si="72"/>
        <v>0</v>
      </c>
      <c r="FV48" s="200">
        <f t="shared" si="72"/>
        <v>0</v>
      </c>
      <c r="FW48" s="200">
        <f t="shared" si="72"/>
        <v>0</v>
      </c>
      <c r="FX48" s="200">
        <f t="shared" si="72"/>
        <v>0</v>
      </c>
      <c r="FY48" s="200">
        <f t="shared" si="72"/>
        <v>0</v>
      </c>
      <c r="FZ48" s="200">
        <f t="shared" si="72"/>
        <v>0</v>
      </c>
      <c r="GA48" s="200">
        <f t="shared" si="72"/>
        <v>0</v>
      </c>
      <c r="GB48" s="200">
        <f t="shared" si="72"/>
        <v>0</v>
      </c>
    </row>
    <row r="49" spans="1:184" ht="17.25" customHeight="1" x14ac:dyDescent="0.5">
      <c r="A49" s="88"/>
      <c r="B49" s="323"/>
      <c r="C49" s="101" t="s">
        <v>134</v>
      </c>
      <c r="D49" s="169"/>
      <c r="E49" s="169"/>
      <c r="F49" s="203"/>
      <c r="G49" s="177"/>
      <c r="H49" s="205"/>
      <c r="I49" s="154">
        <v>0</v>
      </c>
      <c r="J49" s="155">
        <v>0</v>
      </c>
      <c r="K49" s="156">
        <v>0</v>
      </c>
      <c r="L49" s="179">
        <f t="shared" si="73"/>
        <v>0.02</v>
      </c>
      <c r="M49" s="180">
        <f t="shared" si="74"/>
        <v>0.03</v>
      </c>
      <c r="N49" s="181">
        <f t="shared" si="75"/>
        <v>0.05</v>
      </c>
      <c r="R49" s="199" t="str">
        <f t="shared" si="16"/>
        <v>XX in €/Jahr</v>
      </c>
      <c r="S49" s="200">
        <f t="shared" si="58"/>
        <v>0</v>
      </c>
      <c r="T49" s="200">
        <f t="shared" si="58"/>
        <v>0</v>
      </c>
      <c r="U49" s="200">
        <f t="shared" si="58"/>
        <v>0</v>
      </c>
      <c r="V49" s="200">
        <f t="shared" si="58"/>
        <v>0</v>
      </c>
      <c r="W49" s="200">
        <f t="shared" si="58"/>
        <v>0</v>
      </c>
      <c r="X49" s="200">
        <f t="shared" si="58"/>
        <v>0</v>
      </c>
      <c r="Y49" s="200">
        <f t="shared" si="58"/>
        <v>0</v>
      </c>
      <c r="Z49" s="200">
        <f t="shared" si="58"/>
        <v>0</v>
      </c>
      <c r="AA49" s="200">
        <f t="shared" si="58"/>
        <v>0</v>
      </c>
      <c r="AB49" s="200">
        <f t="shared" si="58"/>
        <v>0</v>
      </c>
      <c r="AC49" s="200">
        <f t="shared" si="59"/>
        <v>0</v>
      </c>
      <c r="AD49" s="200">
        <f t="shared" si="59"/>
        <v>0</v>
      </c>
      <c r="AE49" s="200">
        <f t="shared" si="59"/>
        <v>0</v>
      </c>
      <c r="AF49" s="200">
        <f t="shared" si="59"/>
        <v>0</v>
      </c>
      <c r="AG49" s="200">
        <f t="shared" si="59"/>
        <v>0</v>
      </c>
      <c r="AH49" s="200">
        <f t="shared" si="59"/>
        <v>0</v>
      </c>
      <c r="AI49" s="200">
        <f t="shared" si="59"/>
        <v>0</v>
      </c>
      <c r="AJ49" s="200">
        <f t="shared" si="59"/>
        <v>0</v>
      </c>
      <c r="AK49" s="200">
        <f t="shared" si="59"/>
        <v>0</v>
      </c>
      <c r="AL49" s="200">
        <f t="shared" si="59"/>
        <v>0</v>
      </c>
      <c r="AM49" s="200">
        <f t="shared" si="60"/>
        <v>0</v>
      </c>
      <c r="AN49" s="200">
        <f t="shared" si="60"/>
        <v>0</v>
      </c>
      <c r="AO49" s="200">
        <f t="shared" si="60"/>
        <v>0</v>
      </c>
      <c r="AP49" s="200">
        <f t="shared" si="60"/>
        <v>0</v>
      </c>
      <c r="AQ49" s="200">
        <f t="shared" si="60"/>
        <v>0</v>
      </c>
      <c r="AR49" s="200">
        <f t="shared" si="60"/>
        <v>0</v>
      </c>
      <c r="AS49" s="200">
        <f t="shared" si="60"/>
        <v>0</v>
      </c>
      <c r="AT49" s="200">
        <f t="shared" si="60"/>
        <v>0</v>
      </c>
      <c r="AU49" s="200">
        <f t="shared" si="60"/>
        <v>0</v>
      </c>
      <c r="AV49" s="200">
        <f t="shared" si="60"/>
        <v>0</v>
      </c>
      <c r="AW49" s="200">
        <f t="shared" si="61"/>
        <v>0</v>
      </c>
      <c r="AX49" s="200">
        <f t="shared" si="61"/>
        <v>0</v>
      </c>
      <c r="AY49" s="200">
        <f t="shared" si="61"/>
        <v>0</v>
      </c>
      <c r="AZ49" s="200">
        <f t="shared" si="61"/>
        <v>0</v>
      </c>
      <c r="BA49" s="200">
        <f t="shared" si="61"/>
        <v>0</v>
      </c>
      <c r="BB49" s="200">
        <f t="shared" si="61"/>
        <v>0</v>
      </c>
      <c r="BC49" s="200">
        <f t="shared" si="61"/>
        <v>0</v>
      </c>
      <c r="BD49" s="200">
        <f t="shared" si="61"/>
        <v>0</v>
      </c>
      <c r="BE49" s="200">
        <f t="shared" si="61"/>
        <v>0</v>
      </c>
      <c r="BF49" s="200">
        <f t="shared" si="61"/>
        <v>0</v>
      </c>
      <c r="BG49" s="200">
        <f t="shared" si="62"/>
        <v>0</v>
      </c>
      <c r="BH49" s="200">
        <f t="shared" si="62"/>
        <v>0</v>
      </c>
      <c r="BI49" s="200">
        <f t="shared" si="62"/>
        <v>0</v>
      </c>
      <c r="BJ49" s="200">
        <f t="shared" si="62"/>
        <v>0</v>
      </c>
      <c r="BK49" s="200">
        <f t="shared" si="62"/>
        <v>0</v>
      </c>
      <c r="BL49" s="200">
        <f t="shared" si="62"/>
        <v>0</v>
      </c>
      <c r="BM49" s="200">
        <f t="shared" si="62"/>
        <v>0</v>
      </c>
      <c r="BN49" s="200">
        <f t="shared" si="62"/>
        <v>0</v>
      </c>
      <c r="BO49" s="200">
        <f t="shared" si="62"/>
        <v>0</v>
      </c>
      <c r="BP49" s="200">
        <f t="shared" si="62"/>
        <v>0</v>
      </c>
      <c r="BQ49" s="200">
        <f t="shared" si="62"/>
        <v>0</v>
      </c>
      <c r="BR49" s="200">
        <f t="shared" si="62"/>
        <v>0</v>
      </c>
      <c r="BS49" s="200">
        <f t="shared" si="62"/>
        <v>0</v>
      </c>
      <c r="BT49" s="200">
        <f t="shared" si="62"/>
        <v>0</v>
      </c>
      <c r="BV49" s="199" t="str">
        <f t="shared" si="19"/>
        <v>XX in €/Jahr</v>
      </c>
      <c r="BW49" s="200">
        <f t="shared" si="63"/>
        <v>0</v>
      </c>
      <c r="BX49" s="200">
        <f t="shared" si="63"/>
        <v>0</v>
      </c>
      <c r="BY49" s="200">
        <f t="shared" si="63"/>
        <v>0</v>
      </c>
      <c r="BZ49" s="200">
        <f t="shared" si="63"/>
        <v>0</v>
      </c>
      <c r="CA49" s="200">
        <f t="shared" si="63"/>
        <v>0</v>
      </c>
      <c r="CB49" s="200">
        <f t="shared" si="63"/>
        <v>0</v>
      </c>
      <c r="CC49" s="200">
        <f t="shared" si="63"/>
        <v>0</v>
      </c>
      <c r="CD49" s="200">
        <f t="shared" si="63"/>
        <v>0</v>
      </c>
      <c r="CE49" s="200">
        <f t="shared" si="63"/>
        <v>0</v>
      </c>
      <c r="CF49" s="200">
        <f t="shared" si="63"/>
        <v>0</v>
      </c>
      <c r="CG49" s="200">
        <f t="shared" si="64"/>
        <v>0</v>
      </c>
      <c r="CH49" s="200">
        <f t="shared" si="64"/>
        <v>0</v>
      </c>
      <c r="CI49" s="200">
        <f t="shared" si="64"/>
        <v>0</v>
      </c>
      <c r="CJ49" s="200">
        <f t="shared" si="64"/>
        <v>0</v>
      </c>
      <c r="CK49" s="200">
        <f t="shared" si="64"/>
        <v>0</v>
      </c>
      <c r="CL49" s="200">
        <f t="shared" si="64"/>
        <v>0</v>
      </c>
      <c r="CM49" s="200">
        <f t="shared" si="64"/>
        <v>0</v>
      </c>
      <c r="CN49" s="200">
        <f t="shared" si="64"/>
        <v>0</v>
      </c>
      <c r="CO49" s="200">
        <f t="shared" si="64"/>
        <v>0</v>
      </c>
      <c r="CP49" s="200">
        <f t="shared" si="64"/>
        <v>0</v>
      </c>
      <c r="CQ49" s="200">
        <f t="shared" si="65"/>
        <v>0</v>
      </c>
      <c r="CR49" s="200">
        <f t="shared" si="65"/>
        <v>0</v>
      </c>
      <c r="CS49" s="200">
        <f t="shared" si="65"/>
        <v>0</v>
      </c>
      <c r="CT49" s="200">
        <f t="shared" si="65"/>
        <v>0</v>
      </c>
      <c r="CU49" s="200">
        <f t="shared" si="65"/>
        <v>0</v>
      </c>
      <c r="CV49" s="200">
        <f t="shared" si="65"/>
        <v>0</v>
      </c>
      <c r="CW49" s="200">
        <f t="shared" si="65"/>
        <v>0</v>
      </c>
      <c r="CX49" s="200">
        <f t="shared" si="65"/>
        <v>0</v>
      </c>
      <c r="CY49" s="200">
        <f t="shared" si="65"/>
        <v>0</v>
      </c>
      <c r="CZ49" s="200">
        <f t="shared" si="65"/>
        <v>0</v>
      </c>
      <c r="DA49" s="200">
        <f t="shared" si="66"/>
        <v>0</v>
      </c>
      <c r="DB49" s="200">
        <f t="shared" si="66"/>
        <v>0</v>
      </c>
      <c r="DC49" s="200">
        <f t="shared" si="66"/>
        <v>0</v>
      </c>
      <c r="DD49" s="200">
        <f t="shared" si="66"/>
        <v>0</v>
      </c>
      <c r="DE49" s="200">
        <f t="shared" si="66"/>
        <v>0</v>
      </c>
      <c r="DF49" s="200">
        <f t="shared" si="66"/>
        <v>0</v>
      </c>
      <c r="DG49" s="200">
        <f t="shared" si="66"/>
        <v>0</v>
      </c>
      <c r="DH49" s="200">
        <f t="shared" si="66"/>
        <v>0</v>
      </c>
      <c r="DI49" s="200">
        <f t="shared" si="66"/>
        <v>0</v>
      </c>
      <c r="DJ49" s="200">
        <f t="shared" si="66"/>
        <v>0</v>
      </c>
      <c r="DK49" s="200">
        <f t="shared" si="67"/>
        <v>0</v>
      </c>
      <c r="DL49" s="200">
        <f t="shared" si="67"/>
        <v>0</v>
      </c>
      <c r="DM49" s="200">
        <f t="shared" si="67"/>
        <v>0</v>
      </c>
      <c r="DN49" s="200">
        <f t="shared" si="67"/>
        <v>0</v>
      </c>
      <c r="DO49" s="200">
        <f t="shared" si="67"/>
        <v>0</v>
      </c>
      <c r="DP49" s="200">
        <f t="shared" si="67"/>
        <v>0</v>
      </c>
      <c r="DQ49" s="200">
        <f t="shared" si="67"/>
        <v>0</v>
      </c>
      <c r="DR49" s="200">
        <f t="shared" si="67"/>
        <v>0</v>
      </c>
      <c r="DS49" s="200">
        <f t="shared" si="67"/>
        <v>0</v>
      </c>
      <c r="DT49" s="200">
        <f t="shared" si="67"/>
        <v>0</v>
      </c>
      <c r="DU49" s="200">
        <f t="shared" si="67"/>
        <v>0</v>
      </c>
      <c r="DV49" s="200">
        <f t="shared" si="67"/>
        <v>0</v>
      </c>
      <c r="DW49" s="200">
        <f t="shared" si="67"/>
        <v>0</v>
      </c>
      <c r="DX49" s="200">
        <f t="shared" si="67"/>
        <v>0</v>
      </c>
      <c r="DZ49" s="199" t="str">
        <f t="shared" si="22"/>
        <v>XX in €/Jahr</v>
      </c>
      <c r="EA49" s="200">
        <f t="shared" si="68"/>
        <v>0</v>
      </c>
      <c r="EB49" s="200">
        <f t="shared" si="68"/>
        <v>0</v>
      </c>
      <c r="EC49" s="200">
        <f t="shared" si="68"/>
        <v>0</v>
      </c>
      <c r="ED49" s="200">
        <f t="shared" si="68"/>
        <v>0</v>
      </c>
      <c r="EE49" s="200">
        <f t="shared" si="68"/>
        <v>0</v>
      </c>
      <c r="EF49" s="200">
        <f t="shared" si="68"/>
        <v>0</v>
      </c>
      <c r="EG49" s="200">
        <f t="shared" si="68"/>
        <v>0</v>
      </c>
      <c r="EH49" s="200">
        <f t="shared" si="68"/>
        <v>0</v>
      </c>
      <c r="EI49" s="200">
        <f t="shared" si="68"/>
        <v>0</v>
      </c>
      <c r="EJ49" s="200">
        <f t="shared" si="68"/>
        <v>0</v>
      </c>
      <c r="EK49" s="200">
        <f t="shared" si="69"/>
        <v>0</v>
      </c>
      <c r="EL49" s="200">
        <f t="shared" si="69"/>
        <v>0</v>
      </c>
      <c r="EM49" s="200">
        <f t="shared" si="69"/>
        <v>0</v>
      </c>
      <c r="EN49" s="200">
        <f t="shared" si="69"/>
        <v>0</v>
      </c>
      <c r="EO49" s="200">
        <f t="shared" si="69"/>
        <v>0</v>
      </c>
      <c r="EP49" s="200">
        <f t="shared" si="69"/>
        <v>0</v>
      </c>
      <c r="EQ49" s="200">
        <f t="shared" si="69"/>
        <v>0</v>
      </c>
      <c r="ER49" s="200">
        <f t="shared" si="69"/>
        <v>0</v>
      </c>
      <c r="ES49" s="200">
        <f t="shared" si="69"/>
        <v>0</v>
      </c>
      <c r="ET49" s="200">
        <f t="shared" si="69"/>
        <v>0</v>
      </c>
      <c r="EU49" s="200">
        <f t="shared" si="70"/>
        <v>0</v>
      </c>
      <c r="EV49" s="200">
        <f t="shared" si="70"/>
        <v>0</v>
      </c>
      <c r="EW49" s="200">
        <f t="shared" si="70"/>
        <v>0</v>
      </c>
      <c r="EX49" s="200">
        <f t="shared" si="70"/>
        <v>0</v>
      </c>
      <c r="EY49" s="200">
        <f t="shared" si="70"/>
        <v>0</v>
      </c>
      <c r="EZ49" s="200">
        <f t="shared" si="70"/>
        <v>0</v>
      </c>
      <c r="FA49" s="200">
        <f t="shared" si="70"/>
        <v>0</v>
      </c>
      <c r="FB49" s="200">
        <f t="shared" si="70"/>
        <v>0</v>
      </c>
      <c r="FC49" s="200">
        <f t="shared" si="70"/>
        <v>0</v>
      </c>
      <c r="FD49" s="200">
        <f t="shared" si="70"/>
        <v>0</v>
      </c>
      <c r="FE49" s="200">
        <f t="shared" si="71"/>
        <v>0</v>
      </c>
      <c r="FF49" s="200">
        <f t="shared" si="71"/>
        <v>0</v>
      </c>
      <c r="FG49" s="200">
        <f t="shared" si="71"/>
        <v>0</v>
      </c>
      <c r="FH49" s="200">
        <f t="shared" si="71"/>
        <v>0</v>
      </c>
      <c r="FI49" s="200">
        <f t="shared" si="71"/>
        <v>0</v>
      </c>
      <c r="FJ49" s="200">
        <f t="shared" si="71"/>
        <v>0</v>
      </c>
      <c r="FK49" s="200">
        <f t="shared" si="71"/>
        <v>0</v>
      </c>
      <c r="FL49" s="200">
        <f t="shared" si="71"/>
        <v>0</v>
      </c>
      <c r="FM49" s="200">
        <f t="shared" si="71"/>
        <v>0</v>
      </c>
      <c r="FN49" s="200">
        <f t="shared" si="71"/>
        <v>0</v>
      </c>
      <c r="FO49" s="200">
        <f t="shared" si="72"/>
        <v>0</v>
      </c>
      <c r="FP49" s="200">
        <f t="shared" si="72"/>
        <v>0</v>
      </c>
      <c r="FQ49" s="200">
        <f t="shared" si="72"/>
        <v>0</v>
      </c>
      <c r="FR49" s="200">
        <f t="shared" si="72"/>
        <v>0</v>
      </c>
      <c r="FS49" s="200">
        <f t="shared" si="72"/>
        <v>0</v>
      </c>
      <c r="FT49" s="200">
        <f t="shared" si="72"/>
        <v>0</v>
      </c>
      <c r="FU49" s="200">
        <f t="shared" si="72"/>
        <v>0</v>
      </c>
      <c r="FV49" s="200">
        <f t="shared" si="72"/>
        <v>0</v>
      </c>
      <c r="FW49" s="200">
        <f t="shared" si="72"/>
        <v>0</v>
      </c>
      <c r="FX49" s="200">
        <f t="shared" si="72"/>
        <v>0</v>
      </c>
      <c r="FY49" s="200">
        <f t="shared" si="72"/>
        <v>0</v>
      </c>
      <c r="FZ49" s="200">
        <f t="shared" si="72"/>
        <v>0</v>
      </c>
      <c r="GA49" s="200">
        <f t="shared" si="72"/>
        <v>0</v>
      </c>
      <c r="GB49" s="200">
        <f t="shared" si="72"/>
        <v>0</v>
      </c>
    </row>
    <row r="50" spans="1:184" ht="17.25" customHeight="1" x14ac:dyDescent="0.5">
      <c r="A50" s="88"/>
      <c r="B50" s="323"/>
      <c r="C50" s="101" t="s">
        <v>134</v>
      </c>
      <c r="D50" s="169"/>
      <c r="E50" s="169"/>
      <c r="F50" s="203"/>
      <c r="G50" s="177"/>
      <c r="H50" s="205"/>
      <c r="I50" s="154">
        <v>0</v>
      </c>
      <c r="J50" s="155">
        <v>0</v>
      </c>
      <c r="K50" s="156">
        <v>0</v>
      </c>
      <c r="L50" s="179">
        <f t="shared" si="73"/>
        <v>0.02</v>
      </c>
      <c r="M50" s="180">
        <f t="shared" si="74"/>
        <v>0.03</v>
      </c>
      <c r="N50" s="181">
        <f t="shared" si="75"/>
        <v>0.05</v>
      </c>
      <c r="R50" s="199" t="str">
        <f t="shared" si="16"/>
        <v>XX in €/Jahr</v>
      </c>
      <c r="S50" s="200">
        <f t="shared" si="58"/>
        <v>0</v>
      </c>
      <c r="T50" s="200">
        <f t="shared" si="58"/>
        <v>0</v>
      </c>
      <c r="U50" s="200">
        <f t="shared" si="58"/>
        <v>0</v>
      </c>
      <c r="V50" s="200">
        <f t="shared" si="58"/>
        <v>0</v>
      </c>
      <c r="W50" s="200">
        <f t="shared" si="58"/>
        <v>0</v>
      </c>
      <c r="X50" s="200">
        <f t="shared" si="58"/>
        <v>0</v>
      </c>
      <c r="Y50" s="200">
        <f t="shared" si="58"/>
        <v>0</v>
      </c>
      <c r="Z50" s="200">
        <f t="shared" si="58"/>
        <v>0</v>
      </c>
      <c r="AA50" s="200">
        <f t="shared" si="58"/>
        <v>0</v>
      </c>
      <c r="AB50" s="200">
        <f t="shared" si="58"/>
        <v>0</v>
      </c>
      <c r="AC50" s="200">
        <f t="shared" si="59"/>
        <v>0</v>
      </c>
      <c r="AD50" s="200">
        <f t="shared" si="59"/>
        <v>0</v>
      </c>
      <c r="AE50" s="200">
        <f t="shared" si="59"/>
        <v>0</v>
      </c>
      <c r="AF50" s="200">
        <f t="shared" si="59"/>
        <v>0</v>
      </c>
      <c r="AG50" s="200">
        <f t="shared" si="59"/>
        <v>0</v>
      </c>
      <c r="AH50" s="200">
        <f t="shared" si="59"/>
        <v>0</v>
      </c>
      <c r="AI50" s="200">
        <f t="shared" si="59"/>
        <v>0</v>
      </c>
      <c r="AJ50" s="200">
        <f t="shared" si="59"/>
        <v>0</v>
      </c>
      <c r="AK50" s="200">
        <f t="shared" si="59"/>
        <v>0</v>
      </c>
      <c r="AL50" s="200">
        <f t="shared" si="59"/>
        <v>0</v>
      </c>
      <c r="AM50" s="200">
        <f t="shared" si="60"/>
        <v>0</v>
      </c>
      <c r="AN50" s="200">
        <f t="shared" si="60"/>
        <v>0</v>
      </c>
      <c r="AO50" s="200">
        <f t="shared" si="60"/>
        <v>0</v>
      </c>
      <c r="AP50" s="200">
        <f t="shared" si="60"/>
        <v>0</v>
      </c>
      <c r="AQ50" s="200">
        <f t="shared" si="60"/>
        <v>0</v>
      </c>
      <c r="AR50" s="200">
        <f t="shared" si="60"/>
        <v>0</v>
      </c>
      <c r="AS50" s="200">
        <f t="shared" si="60"/>
        <v>0</v>
      </c>
      <c r="AT50" s="200">
        <f t="shared" si="60"/>
        <v>0</v>
      </c>
      <c r="AU50" s="200">
        <f t="shared" si="60"/>
        <v>0</v>
      </c>
      <c r="AV50" s="200">
        <f t="shared" si="60"/>
        <v>0</v>
      </c>
      <c r="AW50" s="200">
        <f t="shared" si="61"/>
        <v>0</v>
      </c>
      <c r="AX50" s="200">
        <f t="shared" si="61"/>
        <v>0</v>
      </c>
      <c r="AY50" s="200">
        <f t="shared" si="61"/>
        <v>0</v>
      </c>
      <c r="AZ50" s="200">
        <f t="shared" si="61"/>
        <v>0</v>
      </c>
      <c r="BA50" s="200">
        <f t="shared" si="61"/>
        <v>0</v>
      </c>
      <c r="BB50" s="200">
        <f t="shared" si="61"/>
        <v>0</v>
      </c>
      <c r="BC50" s="200">
        <f t="shared" si="61"/>
        <v>0</v>
      </c>
      <c r="BD50" s="200">
        <f t="shared" si="61"/>
        <v>0</v>
      </c>
      <c r="BE50" s="200">
        <f t="shared" si="61"/>
        <v>0</v>
      </c>
      <c r="BF50" s="200">
        <f t="shared" si="61"/>
        <v>0</v>
      </c>
      <c r="BG50" s="200">
        <f t="shared" si="62"/>
        <v>0</v>
      </c>
      <c r="BH50" s="200">
        <f t="shared" si="62"/>
        <v>0</v>
      </c>
      <c r="BI50" s="200">
        <f t="shared" si="62"/>
        <v>0</v>
      </c>
      <c r="BJ50" s="200">
        <f t="shared" si="62"/>
        <v>0</v>
      </c>
      <c r="BK50" s="200">
        <f t="shared" si="62"/>
        <v>0</v>
      </c>
      <c r="BL50" s="200">
        <f t="shared" si="62"/>
        <v>0</v>
      </c>
      <c r="BM50" s="200">
        <f t="shared" si="62"/>
        <v>0</v>
      </c>
      <c r="BN50" s="200">
        <f t="shared" si="62"/>
        <v>0</v>
      </c>
      <c r="BO50" s="200">
        <f t="shared" si="62"/>
        <v>0</v>
      </c>
      <c r="BP50" s="200">
        <f t="shared" si="62"/>
        <v>0</v>
      </c>
      <c r="BQ50" s="200">
        <f t="shared" si="62"/>
        <v>0</v>
      </c>
      <c r="BR50" s="200">
        <f t="shared" si="62"/>
        <v>0</v>
      </c>
      <c r="BS50" s="200">
        <f t="shared" si="62"/>
        <v>0</v>
      </c>
      <c r="BT50" s="200">
        <f t="shared" si="62"/>
        <v>0</v>
      </c>
      <c r="BV50" s="199" t="str">
        <f t="shared" si="19"/>
        <v>XX in €/Jahr</v>
      </c>
      <c r="BW50" s="200">
        <f t="shared" si="63"/>
        <v>0</v>
      </c>
      <c r="BX50" s="200">
        <f t="shared" si="63"/>
        <v>0</v>
      </c>
      <c r="BY50" s="200">
        <f t="shared" si="63"/>
        <v>0</v>
      </c>
      <c r="BZ50" s="200">
        <f t="shared" si="63"/>
        <v>0</v>
      </c>
      <c r="CA50" s="200">
        <f t="shared" si="63"/>
        <v>0</v>
      </c>
      <c r="CB50" s="200">
        <f t="shared" si="63"/>
        <v>0</v>
      </c>
      <c r="CC50" s="200">
        <f t="shared" si="63"/>
        <v>0</v>
      </c>
      <c r="CD50" s="200">
        <f t="shared" si="63"/>
        <v>0</v>
      </c>
      <c r="CE50" s="200">
        <f t="shared" si="63"/>
        <v>0</v>
      </c>
      <c r="CF50" s="200">
        <f t="shared" si="63"/>
        <v>0</v>
      </c>
      <c r="CG50" s="200">
        <f t="shared" si="64"/>
        <v>0</v>
      </c>
      <c r="CH50" s="200">
        <f t="shared" si="64"/>
        <v>0</v>
      </c>
      <c r="CI50" s="200">
        <f t="shared" si="64"/>
        <v>0</v>
      </c>
      <c r="CJ50" s="200">
        <f t="shared" si="64"/>
        <v>0</v>
      </c>
      <c r="CK50" s="200">
        <f t="shared" si="64"/>
        <v>0</v>
      </c>
      <c r="CL50" s="200">
        <f t="shared" si="64"/>
        <v>0</v>
      </c>
      <c r="CM50" s="200">
        <f t="shared" si="64"/>
        <v>0</v>
      </c>
      <c r="CN50" s="200">
        <f t="shared" si="64"/>
        <v>0</v>
      </c>
      <c r="CO50" s="200">
        <f t="shared" si="64"/>
        <v>0</v>
      </c>
      <c r="CP50" s="200">
        <f t="shared" si="64"/>
        <v>0</v>
      </c>
      <c r="CQ50" s="200">
        <f t="shared" si="65"/>
        <v>0</v>
      </c>
      <c r="CR50" s="200">
        <f t="shared" si="65"/>
        <v>0</v>
      </c>
      <c r="CS50" s="200">
        <f t="shared" si="65"/>
        <v>0</v>
      </c>
      <c r="CT50" s="200">
        <f t="shared" si="65"/>
        <v>0</v>
      </c>
      <c r="CU50" s="200">
        <f t="shared" si="65"/>
        <v>0</v>
      </c>
      <c r="CV50" s="200">
        <f t="shared" si="65"/>
        <v>0</v>
      </c>
      <c r="CW50" s="200">
        <f t="shared" si="65"/>
        <v>0</v>
      </c>
      <c r="CX50" s="200">
        <f t="shared" si="65"/>
        <v>0</v>
      </c>
      <c r="CY50" s="200">
        <f t="shared" si="65"/>
        <v>0</v>
      </c>
      <c r="CZ50" s="200">
        <f t="shared" si="65"/>
        <v>0</v>
      </c>
      <c r="DA50" s="200">
        <f t="shared" si="66"/>
        <v>0</v>
      </c>
      <c r="DB50" s="200">
        <f t="shared" si="66"/>
        <v>0</v>
      </c>
      <c r="DC50" s="200">
        <f t="shared" si="66"/>
        <v>0</v>
      </c>
      <c r="DD50" s="200">
        <f t="shared" si="66"/>
        <v>0</v>
      </c>
      <c r="DE50" s="200">
        <f t="shared" si="66"/>
        <v>0</v>
      </c>
      <c r="DF50" s="200">
        <f t="shared" si="66"/>
        <v>0</v>
      </c>
      <c r="DG50" s="200">
        <f t="shared" si="66"/>
        <v>0</v>
      </c>
      <c r="DH50" s="200">
        <f t="shared" si="66"/>
        <v>0</v>
      </c>
      <c r="DI50" s="200">
        <f t="shared" si="66"/>
        <v>0</v>
      </c>
      <c r="DJ50" s="200">
        <f t="shared" si="66"/>
        <v>0</v>
      </c>
      <c r="DK50" s="200">
        <f t="shared" si="67"/>
        <v>0</v>
      </c>
      <c r="DL50" s="200">
        <f t="shared" si="67"/>
        <v>0</v>
      </c>
      <c r="DM50" s="200">
        <f t="shared" si="67"/>
        <v>0</v>
      </c>
      <c r="DN50" s="200">
        <f t="shared" si="67"/>
        <v>0</v>
      </c>
      <c r="DO50" s="200">
        <f t="shared" si="67"/>
        <v>0</v>
      </c>
      <c r="DP50" s="200">
        <f t="shared" si="67"/>
        <v>0</v>
      </c>
      <c r="DQ50" s="200">
        <f t="shared" si="67"/>
        <v>0</v>
      </c>
      <c r="DR50" s="200">
        <f t="shared" si="67"/>
        <v>0</v>
      </c>
      <c r="DS50" s="200">
        <f t="shared" si="67"/>
        <v>0</v>
      </c>
      <c r="DT50" s="200">
        <f t="shared" si="67"/>
        <v>0</v>
      </c>
      <c r="DU50" s="200">
        <f t="shared" si="67"/>
        <v>0</v>
      </c>
      <c r="DV50" s="200">
        <f t="shared" si="67"/>
        <v>0</v>
      </c>
      <c r="DW50" s="200">
        <f t="shared" si="67"/>
        <v>0</v>
      </c>
      <c r="DX50" s="200">
        <f t="shared" si="67"/>
        <v>0</v>
      </c>
      <c r="DZ50" s="199" t="str">
        <f t="shared" si="22"/>
        <v>XX in €/Jahr</v>
      </c>
      <c r="EA50" s="200">
        <f t="shared" si="68"/>
        <v>0</v>
      </c>
      <c r="EB50" s="200">
        <f t="shared" si="68"/>
        <v>0</v>
      </c>
      <c r="EC50" s="200">
        <f t="shared" si="68"/>
        <v>0</v>
      </c>
      <c r="ED50" s="200">
        <f t="shared" si="68"/>
        <v>0</v>
      </c>
      <c r="EE50" s="200">
        <f t="shared" si="68"/>
        <v>0</v>
      </c>
      <c r="EF50" s="200">
        <f t="shared" si="68"/>
        <v>0</v>
      </c>
      <c r="EG50" s="200">
        <f t="shared" si="68"/>
        <v>0</v>
      </c>
      <c r="EH50" s="200">
        <f t="shared" si="68"/>
        <v>0</v>
      </c>
      <c r="EI50" s="200">
        <f t="shared" si="68"/>
        <v>0</v>
      </c>
      <c r="EJ50" s="200">
        <f t="shared" si="68"/>
        <v>0</v>
      </c>
      <c r="EK50" s="200">
        <f t="shared" si="69"/>
        <v>0</v>
      </c>
      <c r="EL50" s="200">
        <f t="shared" si="69"/>
        <v>0</v>
      </c>
      <c r="EM50" s="200">
        <f t="shared" si="69"/>
        <v>0</v>
      </c>
      <c r="EN50" s="200">
        <f t="shared" si="69"/>
        <v>0</v>
      </c>
      <c r="EO50" s="200">
        <f t="shared" si="69"/>
        <v>0</v>
      </c>
      <c r="EP50" s="200">
        <f t="shared" si="69"/>
        <v>0</v>
      </c>
      <c r="EQ50" s="200">
        <f t="shared" si="69"/>
        <v>0</v>
      </c>
      <c r="ER50" s="200">
        <f t="shared" si="69"/>
        <v>0</v>
      </c>
      <c r="ES50" s="200">
        <f t="shared" si="69"/>
        <v>0</v>
      </c>
      <c r="ET50" s="200">
        <f t="shared" si="69"/>
        <v>0</v>
      </c>
      <c r="EU50" s="200">
        <f t="shared" si="70"/>
        <v>0</v>
      </c>
      <c r="EV50" s="200">
        <f t="shared" si="70"/>
        <v>0</v>
      </c>
      <c r="EW50" s="200">
        <f t="shared" si="70"/>
        <v>0</v>
      </c>
      <c r="EX50" s="200">
        <f t="shared" si="70"/>
        <v>0</v>
      </c>
      <c r="EY50" s="200">
        <f t="shared" si="70"/>
        <v>0</v>
      </c>
      <c r="EZ50" s="200">
        <f t="shared" si="70"/>
        <v>0</v>
      </c>
      <c r="FA50" s="200">
        <f t="shared" si="70"/>
        <v>0</v>
      </c>
      <c r="FB50" s="200">
        <f t="shared" si="70"/>
        <v>0</v>
      </c>
      <c r="FC50" s="200">
        <f t="shared" si="70"/>
        <v>0</v>
      </c>
      <c r="FD50" s="200">
        <f t="shared" si="70"/>
        <v>0</v>
      </c>
      <c r="FE50" s="200">
        <f t="shared" si="71"/>
        <v>0</v>
      </c>
      <c r="FF50" s="200">
        <f t="shared" si="71"/>
        <v>0</v>
      </c>
      <c r="FG50" s="200">
        <f t="shared" si="71"/>
        <v>0</v>
      </c>
      <c r="FH50" s="200">
        <f t="shared" si="71"/>
        <v>0</v>
      </c>
      <c r="FI50" s="200">
        <f t="shared" si="71"/>
        <v>0</v>
      </c>
      <c r="FJ50" s="200">
        <f t="shared" si="71"/>
        <v>0</v>
      </c>
      <c r="FK50" s="200">
        <f t="shared" si="71"/>
        <v>0</v>
      </c>
      <c r="FL50" s="200">
        <f t="shared" si="71"/>
        <v>0</v>
      </c>
      <c r="FM50" s="200">
        <f t="shared" si="71"/>
        <v>0</v>
      </c>
      <c r="FN50" s="200">
        <f t="shared" si="71"/>
        <v>0</v>
      </c>
      <c r="FO50" s="200">
        <f t="shared" si="72"/>
        <v>0</v>
      </c>
      <c r="FP50" s="200">
        <f t="shared" si="72"/>
        <v>0</v>
      </c>
      <c r="FQ50" s="200">
        <f t="shared" si="72"/>
        <v>0</v>
      </c>
      <c r="FR50" s="200">
        <f t="shared" si="72"/>
        <v>0</v>
      </c>
      <c r="FS50" s="200">
        <f t="shared" si="72"/>
        <v>0</v>
      </c>
      <c r="FT50" s="200">
        <f t="shared" si="72"/>
        <v>0</v>
      </c>
      <c r="FU50" s="200">
        <f t="shared" si="72"/>
        <v>0</v>
      </c>
      <c r="FV50" s="200">
        <f t="shared" si="72"/>
        <v>0</v>
      </c>
      <c r="FW50" s="200">
        <f t="shared" si="72"/>
        <v>0</v>
      </c>
      <c r="FX50" s="200">
        <f t="shared" si="72"/>
        <v>0</v>
      </c>
      <c r="FY50" s="200">
        <f t="shared" si="72"/>
        <v>0</v>
      </c>
      <c r="FZ50" s="200">
        <f t="shared" si="72"/>
        <v>0</v>
      </c>
      <c r="GA50" s="200">
        <f t="shared" si="72"/>
        <v>0</v>
      </c>
      <c r="GB50" s="200">
        <f t="shared" si="72"/>
        <v>0</v>
      </c>
    </row>
    <row r="51" spans="1:184" ht="17.25" customHeight="1" x14ac:dyDescent="0.5">
      <c r="A51" s="88"/>
      <c r="B51" s="323"/>
      <c r="C51" s="101" t="s">
        <v>134</v>
      </c>
      <c r="D51" s="169"/>
      <c r="E51" s="169"/>
      <c r="F51" s="203"/>
      <c r="G51" s="177"/>
      <c r="H51" s="205"/>
      <c r="I51" s="154">
        <v>0</v>
      </c>
      <c r="J51" s="155">
        <v>0</v>
      </c>
      <c r="K51" s="156">
        <v>0</v>
      </c>
      <c r="L51" s="179">
        <f t="shared" si="73"/>
        <v>0.02</v>
      </c>
      <c r="M51" s="180">
        <f t="shared" si="74"/>
        <v>0.03</v>
      </c>
      <c r="N51" s="181">
        <f t="shared" si="75"/>
        <v>0.05</v>
      </c>
      <c r="R51" s="199" t="str">
        <f t="shared" si="16"/>
        <v>XX in €/Jahr</v>
      </c>
      <c r="S51" s="200">
        <f t="shared" si="58"/>
        <v>0</v>
      </c>
      <c r="T51" s="200">
        <f t="shared" si="58"/>
        <v>0</v>
      </c>
      <c r="U51" s="200">
        <f t="shared" si="58"/>
        <v>0</v>
      </c>
      <c r="V51" s="200">
        <f t="shared" si="58"/>
        <v>0</v>
      </c>
      <c r="W51" s="200">
        <f t="shared" si="58"/>
        <v>0</v>
      </c>
      <c r="X51" s="200">
        <f t="shared" si="58"/>
        <v>0</v>
      </c>
      <c r="Y51" s="200">
        <f t="shared" si="58"/>
        <v>0</v>
      </c>
      <c r="Z51" s="200">
        <f t="shared" si="58"/>
        <v>0</v>
      </c>
      <c r="AA51" s="200">
        <f t="shared" si="58"/>
        <v>0</v>
      </c>
      <c r="AB51" s="200">
        <f t="shared" si="58"/>
        <v>0</v>
      </c>
      <c r="AC51" s="200">
        <f t="shared" si="59"/>
        <v>0</v>
      </c>
      <c r="AD51" s="200">
        <f t="shared" si="59"/>
        <v>0</v>
      </c>
      <c r="AE51" s="200">
        <f t="shared" si="59"/>
        <v>0</v>
      </c>
      <c r="AF51" s="200">
        <f t="shared" si="59"/>
        <v>0</v>
      </c>
      <c r="AG51" s="200">
        <f t="shared" si="59"/>
        <v>0</v>
      </c>
      <c r="AH51" s="200">
        <f t="shared" si="59"/>
        <v>0</v>
      </c>
      <c r="AI51" s="200">
        <f t="shared" si="59"/>
        <v>0</v>
      </c>
      <c r="AJ51" s="200">
        <f t="shared" si="59"/>
        <v>0</v>
      </c>
      <c r="AK51" s="200">
        <f t="shared" si="59"/>
        <v>0</v>
      </c>
      <c r="AL51" s="200">
        <f t="shared" si="59"/>
        <v>0</v>
      </c>
      <c r="AM51" s="200">
        <f t="shared" si="60"/>
        <v>0</v>
      </c>
      <c r="AN51" s="200">
        <f t="shared" si="60"/>
        <v>0</v>
      </c>
      <c r="AO51" s="200">
        <f t="shared" si="60"/>
        <v>0</v>
      </c>
      <c r="AP51" s="200">
        <f t="shared" si="60"/>
        <v>0</v>
      </c>
      <c r="AQ51" s="200">
        <f t="shared" si="60"/>
        <v>0</v>
      </c>
      <c r="AR51" s="200">
        <f t="shared" si="60"/>
        <v>0</v>
      </c>
      <c r="AS51" s="200">
        <f t="shared" si="60"/>
        <v>0</v>
      </c>
      <c r="AT51" s="200">
        <f t="shared" si="60"/>
        <v>0</v>
      </c>
      <c r="AU51" s="200">
        <f t="shared" si="60"/>
        <v>0</v>
      </c>
      <c r="AV51" s="200">
        <f t="shared" si="60"/>
        <v>0</v>
      </c>
      <c r="AW51" s="200">
        <f t="shared" si="61"/>
        <v>0</v>
      </c>
      <c r="AX51" s="200">
        <f t="shared" si="61"/>
        <v>0</v>
      </c>
      <c r="AY51" s="200">
        <f t="shared" si="61"/>
        <v>0</v>
      </c>
      <c r="AZ51" s="200">
        <f t="shared" si="61"/>
        <v>0</v>
      </c>
      <c r="BA51" s="200">
        <f t="shared" si="61"/>
        <v>0</v>
      </c>
      <c r="BB51" s="200">
        <f t="shared" si="61"/>
        <v>0</v>
      </c>
      <c r="BC51" s="200">
        <f t="shared" si="61"/>
        <v>0</v>
      </c>
      <c r="BD51" s="200">
        <f t="shared" si="61"/>
        <v>0</v>
      </c>
      <c r="BE51" s="200">
        <f t="shared" si="61"/>
        <v>0</v>
      </c>
      <c r="BF51" s="200">
        <f t="shared" si="61"/>
        <v>0</v>
      </c>
      <c r="BG51" s="200">
        <f t="shared" si="62"/>
        <v>0</v>
      </c>
      <c r="BH51" s="200">
        <f t="shared" si="62"/>
        <v>0</v>
      </c>
      <c r="BI51" s="200">
        <f t="shared" si="62"/>
        <v>0</v>
      </c>
      <c r="BJ51" s="200">
        <f t="shared" si="62"/>
        <v>0</v>
      </c>
      <c r="BK51" s="200">
        <f t="shared" si="62"/>
        <v>0</v>
      </c>
      <c r="BL51" s="200">
        <f t="shared" si="62"/>
        <v>0</v>
      </c>
      <c r="BM51" s="200">
        <f t="shared" si="62"/>
        <v>0</v>
      </c>
      <c r="BN51" s="200">
        <f t="shared" si="62"/>
        <v>0</v>
      </c>
      <c r="BO51" s="200">
        <f t="shared" si="62"/>
        <v>0</v>
      </c>
      <c r="BP51" s="200">
        <f t="shared" si="62"/>
        <v>0</v>
      </c>
      <c r="BQ51" s="200">
        <f t="shared" si="62"/>
        <v>0</v>
      </c>
      <c r="BR51" s="200">
        <f t="shared" si="62"/>
        <v>0</v>
      </c>
      <c r="BS51" s="200">
        <f t="shared" si="62"/>
        <v>0</v>
      </c>
      <c r="BT51" s="200">
        <f t="shared" si="62"/>
        <v>0</v>
      </c>
      <c r="BV51" s="199" t="str">
        <f t="shared" si="19"/>
        <v>XX in €/Jahr</v>
      </c>
      <c r="BW51" s="200">
        <f t="shared" si="63"/>
        <v>0</v>
      </c>
      <c r="BX51" s="200">
        <f t="shared" si="63"/>
        <v>0</v>
      </c>
      <c r="BY51" s="200">
        <f t="shared" si="63"/>
        <v>0</v>
      </c>
      <c r="BZ51" s="200">
        <f t="shared" si="63"/>
        <v>0</v>
      </c>
      <c r="CA51" s="200">
        <f t="shared" si="63"/>
        <v>0</v>
      </c>
      <c r="CB51" s="200">
        <f t="shared" si="63"/>
        <v>0</v>
      </c>
      <c r="CC51" s="200">
        <f t="shared" si="63"/>
        <v>0</v>
      </c>
      <c r="CD51" s="200">
        <f t="shared" si="63"/>
        <v>0</v>
      </c>
      <c r="CE51" s="200">
        <f t="shared" si="63"/>
        <v>0</v>
      </c>
      <c r="CF51" s="200">
        <f t="shared" si="63"/>
        <v>0</v>
      </c>
      <c r="CG51" s="200">
        <f t="shared" si="64"/>
        <v>0</v>
      </c>
      <c r="CH51" s="200">
        <f t="shared" si="64"/>
        <v>0</v>
      </c>
      <c r="CI51" s="200">
        <f t="shared" si="64"/>
        <v>0</v>
      </c>
      <c r="CJ51" s="200">
        <f t="shared" si="64"/>
        <v>0</v>
      </c>
      <c r="CK51" s="200">
        <f t="shared" si="64"/>
        <v>0</v>
      </c>
      <c r="CL51" s="200">
        <f t="shared" si="64"/>
        <v>0</v>
      </c>
      <c r="CM51" s="200">
        <f t="shared" si="64"/>
        <v>0</v>
      </c>
      <c r="CN51" s="200">
        <f t="shared" si="64"/>
        <v>0</v>
      </c>
      <c r="CO51" s="200">
        <f t="shared" si="64"/>
        <v>0</v>
      </c>
      <c r="CP51" s="200">
        <f t="shared" si="64"/>
        <v>0</v>
      </c>
      <c r="CQ51" s="200">
        <f t="shared" si="65"/>
        <v>0</v>
      </c>
      <c r="CR51" s="200">
        <f t="shared" si="65"/>
        <v>0</v>
      </c>
      <c r="CS51" s="200">
        <f t="shared" si="65"/>
        <v>0</v>
      </c>
      <c r="CT51" s="200">
        <f t="shared" si="65"/>
        <v>0</v>
      </c>
      <c r="CU51" s="200">
        <f t="shared" si="65"/>
        <v>0</v>
      </c>
      <c r="CV51" s="200">
        <f t="shared" si="65"/>
        <v>0</v>
      </c>
      <c r="CW51" s="200">
        <f t="shared" si="65"/>
        <v>0</v>
      </c>
      <c r="CX51" s="200">
        <f t="shared" si="65"/>
        <v>0</v>
      </c>
      <c r="CY51" s="200">
        <f t="shared" si="65"/>
        <v>0</v>
      </c>
      <c r="CZ51" s="200">
        <f t="shared" si="65"/>
        <v>0</v>
      </c>
      <c r="DA51" s="200">
        <f t="shared" si="66"/>
        <v>0</v>
      </c>
      <c r="DB51" s="200">
        <f t="shared" si="66"/>
        <v>0</v>
      </c>
      <c r="DC51" s="200">
        <f t="shared" si="66"/>
        <v>0</v>
      </c>
      <c r="DD51" s="200">
        <f t="shared" si="66"/>
        <v>0</v>
      </c>
      <c r="DE51" s="200">
        <f t="shared" si="66"/>
        <v>0</v>
      </c>
      <c r="DF51" s="200">
        <f t="shared" si="66"/>
        <v>0</v>
      </c>
      <c r="DG51" s="200">
        <f t="shared" si="66"/>
        <v>0</v>
      </c>
      <c r="DH51" s="200">
        <f t="shared" si="66"/>
        <v>0</v>
      </c>
      <c r="DI51" s="200">
        <f t="shared" si="66"/>
        <v>0</v>
      </c>
      <c r="DJ51" s="200">
        <f t="shared" si="66"/>
        <v>0</v>
      </c>
      <c r="DK51" s="200">
        <f t="shared" si="67"/>
        <v>0</v>
      </c>
      <c r="DL51" s="200">
        <f t="shared" si="67"/>
        <v>0</v>
      </c>
      <c r="DM51" s="200">
        <f t="shared" si="67"/>
        <v>0</v>
      </c>
      <c r="DN51" s="200">
        <f t="shared" si="67"/>
        <v>0</v>
      </c>
      <c r="DO51" s="200">
        <f t="shared" si="67"/>
        <v>0</v>
      </c>
      <c r="DP51" s="200">
        <f t="shared" si="67"/>
        <v>0</v>
      </c>
      <c r="DQ51" s="200">
        <f t="shared" si="67"/>
        <v>0</v>
      </c>
      <c r="DR51" s="200">
        <f t="shared" si="67"/>
        <v>0</v>
      </c>
      <c r="DS51" s="200">
        <f t="shared" si="67"/>
        <v>0</v>
      </c>
      <c r="DT51" s="200">
        <f t="shared" si="67"/>
        <v>0</v>
      </c>
      <c r="DU51" s="200">
        <f t="shared" si="67"/>
        <v>0</v>
      </c>
      <c r="DV51" s="200">
        <f t="shared" si="67"/>
        <v>0</v>
      </c>
      <c r="DW51" s="200">
        <f t="shared" si="67"/>
        <v>0</v>
      </c>
      <c r="DX51" s="200">
        <f t="shared" si="67"/>
        <v>0</v>
      </c>
      <c r="DZ51" s="199" t="str">
        <f t="shared" si="22"/>
        <v>XX in €/Jahr</v>
      </c>
      <c r="EA51" s="200">
        <f t="shared" si="68"/>
        <v>0</v>
      </c>
      <c r="EB51" s="200">
        <f t="shared" si="68"/>
        <v>0</v>
      </c>
      <c r="EC51" s="200">
        <f t="shared" si="68"/>
        <v>0</v>
      </c>
      <c r="ED51" s="200">
        <f t="shared" si="68"/>
        <v>0</v>
      </c>
      <c r="EE51" s="200">
        <f t="shared" si="68"/>
        <v>0</v>
      </c>
      <c r="EF51" s="200">
        <f t="shared" si="68"/>
        <v>0</v>
      </c>
      <c r="EG51" s="200">
        <f t="shared" si="68"/>
        <v>0</v>
      </c>
      <c r="EH51" s="200">
        <f t="shared" si="68"/>
        <v>0</v>
      </c>
      <c r="EI51" s="200">
        <f t="shared" si="68"/>
        <v>0</v>
      </c>
      <c r="EJ51" s="200">
        <f t="shared" si="68"/>
        <v>0</v>
      </c>
      <c r="EK51" s="200">
        <f t="shared" si="69"/>
        <v>0</v>
      </c>
      <c r="EL51" s="200">
        <f t="shared" si="69"/>
        <v>0</v>
      </c>
      <c r="EM51" s="200">
        <f t="shared" si="69"/>
        <v>0</v>
      </c>
      <c r="EN51" s="200">
        <f t="shared" si="69"/>
        <v>0</v>
      </c>
      <c r="EO51" s="200">
        <f t="shared" si="69"/>
        <v>0</v>
      </c>
      <c r="EP51" s="200">
        <f t="shared" si="69"/>
        <v>0</v>
      </c>
      <c r="EQ51" s="200">
        <f t="shared" si="69"/>
        <v>0</v>
      </c>
      <c r="ER51" s="200">
        <f t="shared" si="69"/>
        <v>0</v>
      </c>
      <c r="ES51" s="200">
        <f t="shared" si="69"/>
        <v>0</v>
      </c>
      <c r="ET51" s="200">
        <f t="shared" si="69"/>
        <v>0</v>
      </c>
      <c r="EU51" s="200">
        <f t="shared" si="70"/>
        <v>0</v>
      </c>
      <c r="EV51" s="200">
        <f t="shared" si="70"/>
        <v>0</v>
      </c>
      <c r="EW51" s="200">
        <f t="shared" si="70"/>
        <v>0</v>
      </c>
      <c r="EX51" s="200">
        <f t="shared" si="70"/>
        <v>0</v>
      </c>
      <c r="EY51" s="200">
        <f t="shared" si="70"/>
        <v>0</v>
      </c>
      <c r="EZ51" s="200">
        <f t="shared" si="70"/>
        <v>0</v>
      </c>
      <c r="FA51" s="200">
        <f t="shared" si="70"/>
        <v>0</v>
      </c>
      <c r="FB51" s="200">
        <f t="shared" si="70"/>
        <v>0</v>
      </c>
      <c r="FC51" s="200">
        <f t="shared" si="70"/>
        <v>0</v>
      </c>
      <c r="FD51" s="200">
        <f t="shared" si="70"/>
        <v>0</v>
      </c>
      <c r="FE51" s="200">
        <f t="shared" si="71"/>
        <v>0</v>
      </c>
      <c r="FF51" s="200">
        <f t="shared" si="71"/>
        <v>0</v>
      </c>
      <c r="FG51" s="200">
        <f t="shared" si="71"/>
        <v>0</v>
      </c>
      <c r="FH51" s="200">
        <f t="shared" si="71"/>
        <v>0</v>
      </c>
      <c r="FI51" s="200">
        <f t="shared" si="71"/>
        <v>0</v>
      </c>
      <c r="FJ51" s="200">
        <f t="shared" si="71"/>
        <v>0</v>
      </c>
      <c r="FK51" s="200">
        <f t="shared" si="71"/>
        <v>0</v>
      </c>
      <c r="FL51" s="200">
        <f t="shared" si="71"/>
        <v>0</v>
      </c>
      <c r="FM51" s="200">
        <f t="shared" si="71"/>
        <v>0</v>
      </c>
      <c r="FN51" s="200">
        <f t="shared" si="71"/>
        <v>0</v>
      </c>
      <c r="FO51" s="200">
        <f t="shared" si="72"/>
        <v>0</v>
      </c>
      <c r="FP51" s="200">
        <f t="shared" si="72"/>
        <v>0</v>
      </c>
      <c r="FQ51" s="200">
        <f t="shared" si="72"/>
        <v>0</v>
      </c>
      <c r="FR51" s="200">
        <f t="shared" si="72"/>
        <v>0</v>
      </c>
      <c r="FS51" s="200">
        <f t="shared" si="72"/>
        <v>0</v>
      </c>
      <c r="FT51" s="200">
        <f t="shared" si="72"/>
        <v>0</v>
      </c>
      <c r="FU51" s="200">
        <f t="shared" si="72"/>
        <v>0</v>
      </c>
      <c r="FV51" s="200">
        <f t="shared" si="72"/>
        <v>0</v>
      </c>
      <c r="FW51" s="200">
        <f t="shared" si="72"/>
        <v>0</v>
      </c>
      <c r="FX51" s="200">
        <f t="shared" si="72"/>
        <v>0</v>
      </c>
      <c r="FY51" s="200">
        <f t="shared" si="72"/>
        <v>0</v>
      </c>
      <c r="FZ51" s="200">
        <f t="shared" si="72"/>
        <v>0</v>
      </c>
      <c r="GA51" s="200">
        <f t="shared" si="72"/>
        <v>0</v>
      </c>
      <c r="GB51" s="200">
        <f t="shared" si="72"/>
        <v>0</v>
      </c>
    </row>
    <row r="52" spans="1:184" ht="17.25" customHeight="1" x14ac:dyDescent="0.5">
      <c r="A52" s="88"/>
      <c r="B52" s="323"/>
      <c r="C52" s="101" t="s">
        <v>134</v>
      </c>
      <c r="D52" s="169"/>
      <c r="E52" s="169"/>
      <c r="F52" s="203"/>
      <c r="G52" s="177"/>
      <c r="H52" s="205"/>
      <c r="I52" s="154">
        <v>0</v>
      </c>
      <c r="J52" s="155">
        <v>0</v>
      </c>
      <c r="K52" s="156">
        <v>0</v>
      </c>
      <c r="L52" s="179">
        <f t="shared" si="73"/>
        <v>0.02</v>
      </c>
      <c r="M52" s="180">
        <f t="shared" si="74"/>
        <v>0.03</v>
      </c>
      <c r="N52" s="181">
        <f t="shared" si="75"/>
        <v>0.05</v>
      </c>
      <c r="R52" s="199" t="str">
        <f t="shared" si="16"/>
        <v>XX in €/Jahr</v>
      </c>
      <c r="S52" s="200">
        <f t="shared" si="58"/>
        <v>0</v>
      </c>
      <c r="T52" s="200">
        <f t="shared" si="58"/>
        <v>0</v>
      </c>
      <c r="U52" s="200">
        <f t="shared" si="58"/>
        <v>0</v>
      </c>
      <c r="V52" s="200">
        <f t="shared" si="58"/>
        <v>0</v>
      </c>
      <c r="W52" s="200">
        <f t="shared" si="58"/>
        <v>0</v>
      </c>
      <c r="X52" s="200">
        <f t="shared" si="58"/>
        <v>0</v>
      </c>
      <c r="Y52" s="200">
        <f t="shared" si="58"/>
        <v>0</v>
      </c>
      <c r="Z52" s="200">
        <f t="shared" si="58"/>
        <v>0</v>
      </c>
      <c r="AA52" s="200">
        <f t="shared" si="58"/>
        <v>0</v>
      </c>
      <c r="AB52" s="200">
        <f t="shared" si="58"/>
        <v>0</v>
      </c>
      <c r="AC52" s="200">
        <f t="shared" si="59"/>
        <v>0</v>
      </c>
      <c r="AD52" s="200">
        <f t="shared" si="59"/>
        <v>0</v>
      </c>
      <c r="AE52" s="200">
        <f t="shared" si="59"/>
        <v>0</v>
      </c>
      <c r="AF52" s="200">
        <f t="shared" si="59"/>
        <v>0</v>
      </c>
      <c r="AG52" s="200">
        <f t="shared" si="59"/>
        <v>0</v>
      </c>
      <c r="AH52" s="200">
        <f t="shared" si="59"/>
        <v>0</v>
      </c>
      <c r="AI52" s="200">
        <f t="shared" si="59"/>
        <v>0</v>
      </c>
      <c r="AJ52" s="200">
        <f t="shared" si="59"/>
        <v>0</v>
      </c>
      <c r="AK52" s="200">
        <f t="shared" si="59"/>
        <v>0</v>
      </c>
      <c r="AL52" s="200">
        <f t="shared" si="59"/>
        <v>0</v>
      </c>
      <c r="AM52" s="200">
        <f t="shared" si="60"/>
        <v>0</v>
      </c>
      <c r="AN52" s="200">
        <f t="shared" si="60"/>
        <v>0</v>
      </c>
      <c r="AO52" s="200">
        <f t="shared" si="60"/>
        <v>0</v>
      </c>
      <c r="AP52" s="200">
        <f t="shared" si="60"/>
        <v>0</v>
      </c>
      <c r="AQ52" s="200">
        <f t="shared" si="60"/>
        <v>0</v>
      </c>
      <c r="AR52" s="200">
        <f t="shared" si="60"/>
        <v>0</v>
      </c>
      <c r="AS52" s="200">
        <f t="shared" si="60"/>
        <v>0</v>
      </c>
      <c r="AT52" s="200">
        <f t="shared" si="60"/>
        <v>0</v>
      </c>
      <c r="AU52" s="200">
        <f t="shared" si="60"/>
        <v>0</v>
      </c>
      <c r="AV52" s="200">
        <f t="shared" si="60"/>
        <v>0</v>
      </c>
      <c r="AW52" s="200">
        <f t="shared" si="61"/>
        <v>0</v>
      </c>
      <c r="AX52" s="200">
        <f t="shared" si="61"/>
        <v>0</v>
      </c>
      <c r="AY52" s="200">
        <f t="shared" si="61"/>
        <v>0</v>
      </c>
      <c r="AZ52" s="200">
        <f t="shared" si="61"/>
        <v>0</v>
      </c>
      <c r="BA52" s="200">
        <f t="shared" si="61"/>
        <v>0</v>
      </c>
      <c r="BB52" s="200">
        <f t="shared" si="61"/>
        <v>0</v>
      </c>
      <c r="BC52" s="200">
        <f t="shared" si="61"/>
        <v>0</v>
      </c>
      <c r="BD52" s="200">
        <f t="shared" si="61"/>
        <v>0</v>
      </c>
      <c r="BE52" s="200">
        <f t="shared" si="61"/>
        <v>0</v>
      </c>
      <c r="BF52" s="200">
        <f t="shared" si="61"/>
        <v>0</v>
      </c>
      <c r="BG52" s="200">
        <f t="shared" si="62"/>
        <v>0</v>
      </c>
      <c r="BH52" s="200">
        <f t="shared" si="62"/>
        <v>0</v>
      </c>
      <c r="BI52" s="200">
        <f t="shared" si="62"/>
        <v>0</v>
      </c>
      <c r="BJ52" s="200">
        <f t="shared" si="62"/>
        <v>0</v>
      </c>
      <c r="BK52" s="200">
        <f t="shared" si="62"/>
        <v>0</v>
      </c>
      <c r="BL52" s="200">
        <f t="shared" si="62"/>
        <v>0</v>
      </c>
      <c r="BM52" s="200">
        <f t="shared" si="62"/>
        <v>0</v>
      </c>
      <c r="BN52" s="200">
        <f t="shared" si="62"/>
        <v>0</v>
      </c>
      <c r="BO52" s="200">
        <f t="shared" si="62"/>
        <v>0</v>
      </c>
      <c r="BP52" s="200">
        <f t="shared" si="62"/>
        <v>0</v>
      </c>
      <c r="BQ52" s="200">
        <f t="shared" si="62"/>
        <v>0</v>
      </c>
      <c r="BR52" s="200">
        <f t="shared" si="62"/>
        <v>0</v>
      </c>
      <c r="BS52" s="200">
        <f t="shared" si="62"/>
        <v>0</v>
      </c>
      <c r="BT52" s="200">
        <f t="shared" si="62"/>
        <v>0</v>
      </c>
      <c r="BV52" s="199" t="str">
        <f t="shared" si="19"/>
        <v>XX in €/Jahr</v>
      </c>
      <c r="BW52" s="200">
        <f t="shared" si="63"/>
        <v>0</v>
      </c>
      <c r="BX52" s="200">
        <f t="shared" si="63"/>
        <v>0</v>
      </c>
      <c r="BY52" s="200">
        <f t="shared" si="63"/>
        <v>0</v>
      </c>
      <c r="BZ52" s="200">
        <f t="shared" si="63"/>
        <v>0</v>
      </c>
      <c r="CA52" s="200">
        <f t="shared" si="63"/>
        <v>0</v>
      </c>
      <c r="CB52" s="200">
        <f t="shared" si="63"/>
        <v>0</v>
      </c>
      <c r="CC52" s="200">
        <f t="shared" si="63"/>
        <v>0</v>
      </c>
      <c r="CD52" s="200">
        <f t="shared" si="63"/>
        <v>0</v>
      </c>
      <c r="CE52" s="200">
        <f t="shared" si="63"/>
        <v>0</v>
      </c>
      <c r="CF52" s="200">
        <f t="shared" si="63"/>
        <v>0</v>
      </c>
      <c r="CG52" s="200">
        <f t="shared" si="64"/>
        <v>0</v>
      </c>
      <c r="CH52" s="200">
        <f t="shared" si="64"/>
        <v>0</v>
      </c>
      <c r="CI52" s="200">
        <f t="shared" si="64"/>
        <v>0</v>
      </c>
      <c r="CJ52" s="200">
        <f t="shared" si="64"/>
        <v>0</v>
      </c>
      <c r="CK52" s="200">
        <f t="shared" si="64"/>
        <v>0</v>
      </c>
      <c r="CL52" s="200">
        <f t="shared" si="64"/>
        <v>0</v>
      </c>
      <c r="CM52" s="200">
        <f t="shared" si="64"/>
        <v>0</v>
      </c>
      <c r="CN52" s="200">
        <f t="shared" si="64"/>
        <v>0</v>
      </c>
      <c r="CO52" s="200">
        <f t="shared" si="64"/>
        <v>0</v>
      </c>
      <c r="CP52" s="200">
        <f t="shared" si="64"/>
        <v>0</v>
      </c>
      <c r="CQ52" s="200">
        <f t="shared" si="65"/>
        <v>0</v>
      </c>
      <c r="CR52" s="200">
        <f t="shared" si="65"/>
        <v>0</v>
      </c>
      <c r="CS52" s="200">
        <f t="shared" si="65"/>
        <v>0</v>
      </c>
      <c r="CT52" s="200">
        <f t="shared" si="65"/>
        <v>0</v>
      </c>
      <c r="CU52" s="200">
        <f t="shared" si="65"/>
        <v>0</v>
      </c>
      <c r="CV52" s="200">
        <f t="shared" si="65"/>
        <v>0</v>
      </c>
      <c r="CW52" s="200">
        <f t="shared" si="65"/>
        <v>0</v>
      </c>
      <c r="CX52" s="200">
        <f t="shared" si="65"/>
        <v>0</v>
      </c>
      <c r="CY52" s="200">
        <f t="shared" si="65"/>
        <v>0</v>
      </c>
      <c r="CZ52" s="200">
        <f t="shared" si="65"/>
        <v>0</v>
      </c>
      <c r="DA52" s="200">
        <f t="shared" si="66"/>
        <v>0</v>
      </c>
      <c r="DB52" s="200">
        <f t="shared" si="66"/>
        <v>0</v>
      </c>
      <c r="DC52" s="200">
        <f t="shared" si="66"/>
        <v>0</v>
      </c>
      <c r="DD52" s="200">
        <f t="shared" si="66"/>
        <v>0</v>
      </c>
      <c r="DE52" s="200">
        <f t="shared" si="66"/>
        <v>0</v>
      </c>
      <c r="DF52" s="200">
        <f t="shared" si="66"/>
        <v>0</v>
      </c>
      <c r="DG52" s="200">
        <f t="shared" si="66"/>
        <v>0</v>
      </c>
      <c r="DH52" s="200">
        <f t="shared" si="66"/>
        <v>0</v>
      </c>
      <c r="DI52" s="200">
        <f t="shared" si="66"/>
        <v>0</v>
      </c>
      <c r="DJ52" s="200">
        <f t="shared" si="66"/>
        <v>0</v>
      </c>
      <c r="DK52" s="200">
        <f t="shared" si="67"/>
        <v>0</v>
      </c>
      <c r="DL52" s="200">
        <f t="shared" si="67"/>
        <v>0</v>
      </c>
      <c r="DM52" s="200">
        <f t="shared" si="67"/>
        <v>0</v>
      </c>
      <c r="DN52" s="200">
        <f t="shared" si="67"/>
        <v>0</v>
      </c>
      <c r="DO52" s="200">
        <f t="shared" si="67"/>
        <v>0</v>
      </c>
      <c r="DP52" s="200">
        <f t="shared" si="67"/>
        <v>0</v>
      </c>
      <c r="DQ52" s="200">
        <f t="shared" si="67"/>
        <v>0</v>
      </c>
      <c r="DR52" s="200">
        <f t="shared" si="67"/>
        <v>0</v>
      </c>
      <c r="DS52" s="200">
        <f t="shared" si="67"/>
        <v>0</v>
      </c>
      <c r="DT52" s="200">
        <f t="shared" si="67"/>
        <v>0</v>
      </c>
      <c r="DU52" s="200">
        <f t="shared" si="67"/>
        <v>0</v>
      </c>
      <c r="DV52" s="200">
        <f t="shared" si="67"/>
        <v>0</v>
      </c>
      <c r="DW52" s="200">
        <f t="shared" si="67"/>
        <v>0</v>
      </c>
      <c r="DX52" s="200">
        <f t="shared" si="67"/>
        <v>0</v>
      </c>
      <c r="DZ52" s="199" t="str">
        <f t="shared" si="22"/>
        <v>XX in €/Jahr</v>
      </c>
      <c r="EA52" s="200">
        <f t="shared" si="68"/>
        <v>0</v>
      </c>
      <c r="EB52" s="200">
        <f t="shared" si="68"/>
        <v>0</v>
      </c>
      <c r="EC52" s="200">
        <f t="shared" si="68"/>
        <v>0</v>
      </c>
      <c r="ED52" s="200">
        <f t="shared" si="68"/>
        <v>0</v>
      </c>
      <c r="EE52" s="200">
        <f t="shared" si="68"/>
        <v>0</v>
      </c>
      <c r="EF52" s="200">
        <f t="shared" si="68"/>
        <v>0</v>
      </c>
      <c r="EG52" s="200">
        <f t="shared" si="68"/>
        <v>0</v>
      </c>
      <c r="EH52" s="200">
        <f t="shared" si="68"/>
        <v>0</v>
      </c>
      <c r="EI52" s="200">
        <f t="shared" si="68"/>
        <v>0</v>
      </c>
      <c r="EJ52" s="200">
        <f t="shared" si="68"/>
        <v>0</v>
      </c>
      <c r="EK52" s="200">
        <f t="shared" si="69"/>
        <v>0</v>
      </c>
      <c r="EL52" s="200">
        <f t="shared" si="69"/>
        <v>0</v>
      </c>
      <c r="EM52" s="200">
        <f t="shared" si="69"/>
        <v>0</v>
      </c>
      <c r="EN52" s="200">
        <f t="shared" si="69"/>
        <v>0</v>
      </c>
      <c r="EO52" s="200">
        <f t="shared" si="69"/>
        <v>0</v>
      </c>
      <c r="EP52" s="200">
        <f t="shared" si="69"/>
        <v>0</v>
      </c>
      <c r="EQ52" s="200">
        <f t="shared" si="69"/>
        <v>0</v>
      </c>
      <c r="ER52" s="200">
        <f t="shared" si="69"/>
        <v>0</v>
      </c>
      <c r="ES52" s="200">
        <f t="shared" si="69"/>
        <v>0</v>
      </c>
      <c r="ET52" s="200">
        <f t="shared" si="69"/>
        <v>0</v>
      </c>
      <c r="EU52" s="200">
        <f t="shared" si="70"/>
        <v>0</v>
      </c>
      <c r="EV52" s="200">
        <f t="shared" si="70"/>
        <v>0</v>
      </c>
      <c r="EW52" s="200">
        <f t="shared" si="70"/>
        <v>0</v>
      </c>
      <c r="EX52" s="200">
        <f t="shared" si="70"/>
        <v>0</v>
      </c>
      <c r="EY52" s="200">
        <f t="shared" si="70"/>
        <v>0</v>
      </c>
      <c r="EZ52" s="200">
        <f t="shared" si="70"/>
        <v>0</v>
      </c>
      <c r="FA52" s="200">
        <f t="shared" si="70"/>
        <v>0</v>
      </c>
      <c r="FB52" s="200">
        <f t="shared" si="70"/>
        <v>0</v>
      </c>
      <c r="FC52" s="200">
        <f t="shared" si="70"/>
        <v>0</v>
      </c>
      <c r="FD52" s="200">
        <f t="shared" si="70"/>
        <v>0</v>
      </c>
      <c r="FE52" s="200">
        <f t="shared" si="71"/>
        <v>0</v>
      </c>
      <c r="FF52" s="200">
        <f t="shared" si="71"/>
        <v>0</v>
      </c>
      <c r="FG52" s="200">
        <f t="shared" si="71"/>
        <v>0</v>
      </c>
      <c r="FH52" s="200">
        <f t="shared" si="71"/>
        <v>0</v>
      </c>
      <c r="FI52" s="200">
        <f t="shared" si="71"/>
        <v>0</v>
      </c>
      <c r="FJ52" s="200">
        <f t="shared" si="71"/>
        <v>0</v>
      </c>
      <c r="FK52" s="200">
        <f t="shared" si="71"/>
        <v>0</v>
      </c>
      <c r="FL52" s="200">
        <f t="shared" si="71"/>
        <v>0</v>
      </c>
      <c r="FM52" s="200">
        <f t="shared" si="71"/>
        <v>0</v>
      </c>
      <c r="FN52" s="200">
        <f t="shared" si="71"/>
        <v>0</v>
      </c>
      <c r="FO52" s="200">
        <f t="shared" si="72"/>
        <v>0</v>
      </c>
      <c r="FP52" s="200">
        <f t="shared" si="72"/>
        <v>0</v>
      </c>
      <c r="FQ52" s="200">
        <f t="shared" si="72"/>
        <v>0</v>
      </c>
      <c r="FR52" s="200">
        <f t="shared" si="72"/>
        <v>0</v>
      </c>
      <c r="FS52" s="200">
        <f t="shared" si="72"/>
        <v>0</v>
      </c>
      <c r="FT52" s="200">
        <f t="shared" si="72"/>
        <v>0</v>
      </c>
      <c r="FU52" s="200">
        <f t="shared" si="72"/>
        <v>0</v>
      </c>
      <c r="FV52" s="200">
        <f t="shared" si="72"/>
        <v>0</v>
      </c>
      <c r="FW52" s="200">
        <f t="shared" si="72"/>
        <v>0</v>
      </c>
      <c r="FX52" s="200">
        <f t="shared" si="72"/>
        <v>0</v>
      </c>
      <c r="FY52" s="200">
        <f t="shared" si="72"/>
        <v>0</v>
      </c>
      <c r="FZ52" s="200">
        <f t="shared" si="72"/>
        <v>0</v>
      </c>
      <c r="GA52" s="200">
        <f t="shared" si="72"/>
        <v>0</v>
      </c>
      <c r="GB52" s="200">
        <f t="shared" si="72"/>
        <v>0</v>
      </c>
    </row>
    <row r="53" spans="1:184" ht="17.25" customHeight="1" x14ac:dyDescent="0.5">
      <c r="A53" s="88"/>
      <c r="B53" s="323"/>
      <c r="C53" s="101" t="s">
        <v>134</v>
      </c>
      <c r="D53" s="169"/>
      <c r="E53" s="169"/>
      <c r="F53" s="203"/>
      <c r="G53" s="177"/>
      <c r="H53" s="205"/>
      <c r="I53" s="154">
        <v>0</v>
      </c>
      <c r="J53" s="155">
        <v>0</v>
      </c>
      <c r="K53" s="156">
        <v>0</v>
      </c>
      <c r="L53" s="179">
        <f t="shared" si="73"/>
        <v>0.02</v>
      </c>
      <c r="M53" s="180">
        <f t="shared" si="74"/>
        <v>0.03</v>
      </c>
      <c r="N53" s="181">
        <f t="shared" si="75"/>
        <v>0.05</v>
      </c>
      <c r="R53" s="199" t="str">
        <f t="shared" si="16"/>
        <v>XX in €/Jahr</v>
      </c>
      <c r="S53" s="200">
        <f t="shared" si="58"/>
        <v>0</v>
      </c>
      <c r="T53" s="200">
        <f t="shared" si="58"/>
        <v>0</v>
      </c>
      <c r="U53" s="200">
        <f t="shared" si="58"/>
        <v>0</v>
      </c>
      <c r="V53" s="200">
        <f t="shared" si="58"/>
        <v>0</v>
      </c>
      <c r="W53" s="200">
        <f t="shared" si="58"/>
        <v>0</v>
      </c>
      <c r="X53" s="200">
        <f t="shared" si="58"/>
        <v>0</v>
      </c>
      <c r="Y53" s="200">
        <f t="shared" si="58"/>
        <v>0</v>
      </c>
      <c r="Z53" s="200">
        <f t="shared" si="58"/>
        <v>0</v>
      </c>
      <c r="AA53" s="200">
        <f t="shared" si="58"/>
        <v>0</v>
      </c>
      <c r="AB53" s="200">
        <f t="shared" si="58"/>
        <v>0</v>
      </c>
      <c r="AC53" s="200">
        <f t="shared" si="59"/>
        <v>0</v>
      </c>
      <c r="AD53" s="200">
        <f t="shared" si="59"/>
        <v>0</v>
      </c>
      <c r="AE53" s="200">
        <f t="shared" si="59"/>
        <v>0</v>
      </c>
      <c r="AF53" s="200">
        <f t="shared" si="59"/>
        <v>0</v>
      </c>
      <c r="AG53" s="200">
        <f t="shared" si="59"/>
        <v>0</v>
      </c>
      <c r="AH53" s="200">
        <f t="shared" si="59"/>
        <v>0</v>
      </c>
      <c r="AI53" s="200">
        <f t="shared" si="59"/>
        <v>0</v>
      </c>
      <c r="AJ53" s="200">
        <f t="shared" si="59"/>
        <v>0</v>
      </c>
      <c r="AK53" s="200">
        <f t="shared" si="59"/>
        <v>0</v>
      </c>
      <c r="AL53" s="200">
        <f t="shared" si="59"/>
        <v>0</v>
      </c>
      <c r="AM53" s="200">
        <f t="shared" si="60"/>
        <v>0</v>
      </c>
      <c r="AN53" s="200">
        <f t="shared" si="60"/>
        <v>0</v>
      </c>
      <c r="AO53" s="200">
        <f t="shared" si="60"/>
        <v>0</v>
      </c>
      <c r="AP53" s="200">
        <f t="shared" si="60"/>
        <v>0</v>
      </c>
      <c r="AQ53" s="200">
        <f t="shared" si="60"/>
        <v>0</v>
      </c>
      <c r="AR53" s="200">
        <f t="shared" si="60"/>
        <v>0</v>
      </c>
      <c r="AS53" s="200">
        <f t="shared" si="60"/>
        <v>0</v>
      </c>
      <c r="AT53" s="200">
        <f t="shared" si="60"/>
        <v>0</v>
      </c>
      <c r="AU53" s="200">
        <f t="shared" si="60"/>
        <v>0</v>
      </c>
      <c r="AV53" s="200">
        <f t="shared" si="60"/>
        <v>0</v>
      </c>
      <c r="AW53" s="200">
        <f t="shared" si="61"/>
        <v>0</v>
      </c>
      <c r="AX53" s="200">
        <f t="shared" si="61"/>
        <v>0</v>
      </c>
      <c r="AY53" s="200">
        <f t="shared" si="61"/>
        <v>0</v>
      </c>
      <c r="AZ53" s="200">
        <f t="shared" si="61"/>
        <v>0</v>
      </c>
      <c r="BA53" s="200">
        <f t="shared" si="61"/>
        <v>0</v>
      </c>
      <c r="BB53" s="200">
        <f t="shared" si="61"/>
        <v>0</v>
      </c>
      <c r="BC53" s="200">
        <f t="shared" si="61"/>
        <v>0</v>
      </c>
      <c r="BD53" s="200">
        <f t="shared" si="61"/>
        <v>0</v>
      </c>
      <c r="BE53" s="200">
        <f t="shared" si="61"/>
        <v>0</v>
      </c>
      <c r="BF53" s="200">
        <f t="shared" si="61"/>
        <v>0</v>
      </c>
      <c r="BG53" s="200">
        <f t="shared" si="62"/>
        <v>0</v>
      </c>
      <c r="BH53" s="200">
        <f t="shared" si="62"/>
        <v>0</v>
      </c>
      <c r="BI53" s="200">
        <f t="shared" si="62"/>
        <v>0</v>
      </c>
      <c r="BJ53" s="200">
        <f t="shared" si="62"/>
        <v>0</v>
      </c>
      <c r="BK53" s="200">
        <f t="shared" si="62"/>
        <v>0</v>
      </c>
      <c r="BL53" s="200">
        <f t="shared" si="62"/>
        <v>0</v>
      </c>
      <c r="BM53" s="200">
        <f t="shared" si="62"/>
        <v>0</v>
      </c>
      <c r="BN53" s="200">
        <f t="shared" si="62"/>
        <v>0</v>
      </c>
      <c r="BO53" s="200">
        <f t="shared" si="62"/>
        <v>0</v>
      </c>
      <c r="BP53" s="200">
        <f t="shared" si="62"/>
        <v>0</v>
      </c>
      <c r="BQ53" s="200">
        <f t="shared" si="62"/>
        <v>0</v>
      </c>
      <c r="BR53" s="200">
        <f t="shared" si="62"/>
        <v>0</v>
      </c>
      <c r="BS53" s="200">
        <f t="shared" si="62"/>
        <v>0</v>
      </c>
      <c r="BT53" s="200">
        <f t="shared" si="62"/>
        <v>0</v>
      </c>
      <c r="BV53" s="199" t="str">
        <f t="shared" si="19"/>
        <v>XX in €/Jahr</v>
      </c>
      <c r="BW53" s="200">
        <f t="shared" si="63"/>
        <v>0</v>
      </c>
      <c r="BX53" s="200">
        <f t="shared" si="63"/>
        <v>0</v>
      </c>
      <c r="BY53" s="200">
        <f t="shared" si="63"/>
        <v>0</v>
      </c>
      <c r="BZ53" s="200">
        <f t="shared" si="63"/>
        <v>0</v>
      </c>
      <c r="CA53" s="200">
        <f t="shared" si="63"/>
        <v>0</v>
      </c>
      <c r="CB53" s="200">
        <f t="shared" si="63"/>
        <v>0</v>
      </c>
      <c r="CC53" s="200">
        <f t="shared" si="63"/>
        <v>0</v>
      </c>
      <c r="CD53" s="200">
        <f t="shared" si="63"/>
        <v>0</v>
      </c>
      <c r="CE53" s="200">
        <f t="shared" si="63"/>
        <v>0</v>
      </c>
      <c r="CF53" s="200">
        <f t="shared" si="63"/>
        <v>0</v>
      </c>
      <c r="CG53" s="200">
        <f t="shared" si="64"/>
        <v>0</v>
      </c>
      <c r="CH53" s="200">
        <f t="shared" si="64"/>
        <v>0</v>
      </c>
      <c r="CI53" s="200">
        <f t="shared" si="64"/>
        <v>0</v>
      </c>
      <c r="CJ53" s="200">
        <f t="shared" si="64"/>
        <v>0</v>
      </c>
      <c r="CK53" s="200">
        <f t="shared" si="64"/>
        <v>0</v>
      </c>
      <c r="CL53" s="200">
        <f t="shared" si="64"/>
        <v>0</v>
      </c>
      <c r="CM53" s="200">
        <f t="shared" si="64"/>
        <v>0</v>
      </c>
      <c r="CN53" s="200">
        <f t="shared" si="64"/>
        <v>0</v>
      </c>
      <c r="CO53" s="200">
        <f t="shared" si="64"/>
        <v>0</v>
      </c>
      <c r="CP53" s="200">
        <f t="shared" si="64"/>
        <v>0</v>
      </c>
      <c r="CQ53" s="200">
        <f t="shared" si="65"/>
        <v>0</v>
      </c>
      <c r="CR53" s="200">
        <f t="shared" si="65"/>
        <v>0</v>
      </c>
      <c r="CS53" s="200">
        <f t="shared" si="65"/>
        <v>0</v>
      </c>
      <c r="CT53" s="200">
        <f t="shared" si="65"/>
        <v>0</v>
      </c>
      <c r="CU53" s="200">
        <f t="shared" si="65"/>
        <v>0</v>
      </c>
      <c r="CV53" s="200">
        <f t="shared" si="65"/>
        <v>0</v>
      </c>
      <c r="CW53" s="200">
        <f t="shared" si="65"/>
        <v>0</v>
      </c>
      <c r="CX53" s="200">
        <f t="shared" si="65"/>
        <v>0</v>
      </c>
      <c r="CY53" s="200">
        <f t="shared" si="65"/>
        <v>0</v>
      </c>
      <c r="CZ53" s="200">
        <f t="shared" si="65"/>
        <v>0</v>
      </c>
      <c r="DA53" s="200">
        <f t="shared" si="66"/>
        <v>0</v>
      </c>
      <c r="DB53" s="200">
        <f t="shared" si="66"/>
        <v>0</v>
      </c>
      <c r="DC53" s="200">
        <f t="shared" si="66"/>
        <v>0</v>
      </c>
      <c r="DD53" s="200">
        <f t="shared" si="66"/>
        <v>0</v>
      </c>
      <c r="DE53" s="200">
        <f t="shared" si="66"/>
        <v>0</v>
      </c>
      <c r="DF53" s="200">
        <f t="shared" si="66"/>
        <v>0</v>
      </c>
      <c r="DG53" s="200">
        <f t="shared" si="66"/>
        <v>0</v>
      </c>
      <c r="DH53" s="200">
        <f t="shared" si="66"/>
        <v>0</v>
      </c>
      <c r="DI53" s="200">
        <f t="shared" si="66"/>
        <v>0</v>
      </c>
      <c r="DJ53" s="200">
        <f t="shared" si="66"/>
        <v>0</v>
      </c>
      <c r="DK53" s="200">
        <f t="shared" si="67"/>
        <v>0</v>
      </c>
      <c r="DL53" s="200">
        <f t="shared" si="67"/>
        <v>0</v>
      </c>
      <c r="DM53" s="200">
        <f t="shared" si="67"/>
        <v>0</v>
      </c>
      <c r="DN53" s="200">
        <f t="shared" si="67"/>
        <v>0</v>
      </c>
      <c r="DO53" s="200">
        <f t="shared" si="67"/>
        <v>0</v>
      </c>
      <c r="DP53" s="200">
        <f t="shared" si="67"/>
        <v>0</v>
      </c>
      <c r="DQ53" s="200">
        <f t="shared" si="67"/>
        <v>0</v>
      </c>
      <c r="DR53" s="200">
        <f t="shared" si="67"/>
        <v>0</v>
      </c>
      <c r="DS53" s="200">
        <f t="shared" si="67"/>
        <v>0</v>
      </c>
      <c r="DT53" s="200">
        <f t="shared" si="67"/>
        <v>0</v>
      </c>
      <c r="DU53" s="200">
        <f t="shared" si="67"/>
        <v>0</v>
      </c>
      <c r="DV53" s="200">
        <f t="shared" si="67"/>
        <v>0</v>
      </c>
      <c r="DW53" s="200">
        <f t="shared" si="67"/>
        <v>0</v>
      </c>
      <c r="DX53" s="200">
        <f t="shared" si="67"/>
        <v>0</v>
      </c>
      <c r="DZ53" s="199" t="str">
        <f t="shared" si="22"/>
        <v>XX in €/Jahr</v>
      </c>
      <c r="EA53" s="200">
        <f t="shared" si="68"/>
        <v>0</v>
      </c>
      <c r="EB53" s="200">
        <f t="shared" si="68"/>
        <v>0</v>
      </c>
      <c r="EC53" s="200">
        <f t="shared" si="68"/>
        <v>0</v>
      </c>
      <c r="ED53" s="200">
        <f t="shared" si="68"/>
        <v>0</v>
      </c>
      <c r="EE53" s="200">
        <f t="shared" si="68"/>
        <v>0</v>
      </c>
      <c r="EF53" s="200">
        <f t="shared" si="68"/>
        <v>0</v>
      </c>
      <c r="EG53" s="200">
        <f t="shared" si="68"/>
        <v>0</v>
      </c>
      <c r="EH53" s="200">
        <f t="shared" si="68"/>
        <v>0</v>
      </c>
      <c r="EI53" s="200">
        <f t="shared" si="68"/>
        <v>0</v>
      </c>
      <c r="EJ53" s="200">
        <f t="shared" si="68"/>
        <v>0</v>
      </c>
      <c r="EK53" s="200">
        <f t="shared" si="69"/>
        <v>0</v>
      </c>
      <c r="EL53" s="200">
        <f t="shared" si="69"/>
        <v>0</v>
      </c>
      <c r="EM53" s="200">
        <f t="shared" si="69"/>
        <v>0</v>
      </c>
      <c r="EN53" s="200">
        <f t="shared" si="69"/>
        <v>0</v>
      </c>
      <c r="EO53" s="200">
        <f t="shared" si="69"/>
        <v>0</v>
      </c>
      <c r="EP53" s="200">
        <f t="shared" si="69"/>
        <v>0</v>
      </c>
      <c r="EQ53" s="200">
        <f t="shared" si="69"/>
        <v>0</v>
      </c>
      <c r="ER53" s="200">
        <f t="shared" si="69"/>
        <v>0</v>
      </c>
      <c r="ES53" s="200">
        <f t="shared" si="69"/>
        <v>0</v>
      </c>
      <c r="ET53" s="200">
        <f t="shared" si="69"/>
        <v>0</v>
      </c>
      <c r="EU53" s="200">
        <f t="shared" si="70"/>
        <v>0</v>
      </c>
      <c r="EV53" s="200">
        <f t="shared" si="70"/>
        <v>0</v>
      </c>
      <c r="EW53" s="200">
        <f t="shared" si="70"/>
        <v>0</v>
      </c>
      <c r="EX53" s="200">
        <f t="shared" si="70"/>
        <v>0</v>
      </c>
      <c r="EY53" s="200">
        <f t="shared" si="70"/>
        <v>0</v>
      </c>
      <c r="EZ53" s="200">
        <f t="shared" si="70"/>
        <v>0</v>
      </c>
      <c r="FA53" s="200">
        <f t="shared" si="70"/>
        <v>0</v>
      </c>
      <c r="FB53" s="200">
        <f t="shared" si="70"/>
        <v>0</v>
      </c>
      <c r="FC53" s="200">
        <f t="shared" si="70"/>
        <v>0</v>
      </c>
      <c r="FD53" s="200">
        <f t="shared" si="70"/>
        <v>0</v>
      </c>
      <c r="FE53" s="200">
        <f t="shared" si="71"/>
        <v>0</v>
      </c>
      <c r="FF53" s="200">
        <f t="shared" si="71"/>
        <v>0</v>
      </c>
      <c r="FG53" s="200">
        <f t="shared" si="71"/>
        <v>0</v>
      </c>
      <c r="FH53" s="200">
        <f t="shared" si="71"/>
        <v>0</v>
      </c>
      <c r="FI53" s="200">
        <f t="shared" si="71"/>
        <v>0</v>
      </c>
      <c r="FJ53" s="200">
        <f t="shared" si="71"/>
        <v>0</v>
      </c>
      <c r="FK53" s="200">
        <f t="shared" si="71"/>
        <v>0</v>
      </c>
      <c r="FL53" s="200">
        <f t="shared" si="71"/>
        <v>0</v>
      </c>
      <c r="FM53" s="200">
        <f t="shared" si="71"/>
        <v>0</v>
      </c>
      <c r="FN53" s="200">
        <f t="shared" si="71"/>
        <v>0</v>
      </c>
      <c r="FO53" s="200">
        <f t="shared" si="72"/>
        <v>0</v>
      </c>
      <c r="FP53" s="200">
        <f t="shared" si="72"/>
        <v>0</v>
      </c>
      <c r="FQ53" s="200">
        <f t="shared" si="72"/>
        <v>0</v>
      </c>
      <c r="FR53" s="200">
        <f t="shared" si="72"/>
        <v>0</v>
      </c>
      <c r="FS53" s="200">
        <f t="shared" si="72"/>
        <v>0</v>
      </c>
      <c r="FT53" s="200">
        <f t="shared" si="72"/>
        <v>0</v>
      </c>
      <c r="FU53" s="200">
        <f t="shared" si="72"/>
        <v>0</v>
      </c>
      <c r="FV53" s="200">
        <f t="shared" si="72"/>
        <v>0</v>
      </c>
      <c r="FW53" s="200">
        <f t="shared" si="72"/>
        <v>0</v>
      </c>
      <c r="FX53" s="200">
        <f t="shared" si="72"/>
        <v>0</v>
      </c>
      <c r="FY53" s="200">
        <f t="shared" si="72"/>
        <v>0</v>
      </c>
      <c r="FZ53" s="200">
        <f t="shared" si="72"/>
        <v>0</v>
      </c>
      <c r="GA53" s="200">
        <f t="shared" si="72"/>
        <v>0</v>
      </c>
      <c r="GB53" s="200">
        <f t="shared" si="72"/>
        <v>0</v>
      </c>
    </row>
    <row r="54" spans="1:184" ht="17.25" customHeight="1" x14ac:dyDescent="0.5">
      <c r="A54" s="88"/>
      <c r="B54" s="323"/>
      <c r="C54" s="101" t="s">
        <v>134</v>
      </c>
      <c r="D54" s="169"/>
      <c r="E54" s="169"/>
      <c r="F54" s="203"/>
      <c r="G54" s="177"/>
      <c r="H54" s="205"/>
      <c r="I54" s="154">
        <v>0</v>
      </c>
      <c r="J54" s="155">
        <v>0</v>
      </c>
      <c r="K54" s="156">
        <v>0</v>
      </c>
      <c r="L54" s="179">
        <f t="shared" si="73"/>
        <v>0.02</v>
      </c>
      <c r="M54" s="180">
        <f t="shared" si="74"/>
        <v>0.03</v>
      </c>
      <c r="N54" s="181">
        <f t="shared" si="75"/>
        <v>0.05</v>
      </c>
      <c r="R54" s="199" t="str">
        <f t="shared" si="16"/>
        <v>XX in €/Jahr</v>
      </c>
      <c r="S54" s="200">
        <f t="shared" si="58"/>
        <v>0</v>
      </c>
      <c r="T54" s="200">
        <f t="shared" si="58"/>
        <v>0</v>
      </c>
      <c r="U54" s="200">
        <f t="shared" si="58"/>
        <v>0</v>
      </c>
      <c r="V54" s="200">
        <f t="shared" si="58"/>
        <v>0</v>
      </c>
      <c r="W54" s="200">
        <f t="shared" si="58"/>
        <v>0</v>
      </c>
      <c r="X54" s="200">
        <f t="shared" si="58"/>
        <v>0</v>
      </c>
      <c r="Y54" s="200">
        <f t="shared" si="58"/>
        <v>0</v>
      </c>
      <c r="Z54" s="200">
        <f t="shared" si="58"/>
        <v>0</v>
      </c>
      <c r="AA54" s="200">
        <f t="shared" si="58"/>
        <v>0</v>
      </c>
      <c r="AB54" s="200">
        <f t="shared" si="58"/>
        <v>0</v>
      </c>
      <c r="AC54" s="200">
        <f t="shared" si="59"/>
        <v>0</v>
      </c>
      <c r="AD54" s="200">
        <f t="shared" si="59"/>
        <v>0</v>
      </c>
      <c r="AE54" s="200">
        <f t="shared" si="59"/>
        <v>0</v>
      </c>
      <c r="AF54" s="200">
        <f t="shared" si="59"/>
        <v>0</v>
      </c>
      <c r="AG54" s="200">
        <f t="shared" si="59"/>
        <v>0</v>
      </c>
      <c r="AH54" s="200">
        <f t="shared" si="59"/>
        <v>0</v>
      </c>
      <c r="AI54" s="200">
        <f t="shared" si="59"/>
        <v>0</v>
      </c>
      <c r="AJ54" s="200">
        <f t="shared" si="59"/>
        <v>0</v>
      </c>
      <c r="AK54" s="200">
        <f t="shared" si="59"/>
        <v>0</v>
      </c>
      <c r="AL54" s="200">
        <f t="shared" si="59"/>
        <v>0</v>
      </c>
      <c r="AM54" s="200">
        <f t="shared" si="60"/>
        <v>0</v>
      </c>
      <c r="AN54" s="200">
        <f t="shared" si="60"/>
        <v>0</v>
      </c>
      <c r="AO54" s="200">
        <f t="shared" si="60"/>
        <v>0</v>
      </c>
      <c r="AP54" s="200">
        <f t="shared" si="60"/>
        <v>0</v>
      </c>
      <c r="AQ54" s="200">
        <f t="shared" si="60"/>
        <v>0</v>
      </c>
      <c r="AR54" s="200">
        <f t="shared" si="60"/>
        <v>0</v>
      </c>
      <c r="AS54" s="200">
        <f t="shared" si="60"/>
        <v>0</v>
      </c>
      <c r="AT54" s="200">
        <f t="shared" si="60"/>
        <v>0</v>
      </c>
      <c r="AU54" s="200">
        <f t="shared" si="60"/>
        <v>0</v>
      </c>
      <c r="AV54" s="200">
        <f t="shared" si="60"/>
        <v>0</v>
      </c>
      <c r="AW54" s="200">
        <f t="shared" si="61"/>
        <v>0</v>
      </c>
      <c r="AX54" s="200">
        <f t="shared" si="61"/>
        <v>0</v>
      </c>
      <c r="AY54" s="200">
        <f t="shared" si="61"/>
        <v>0</v>
      </c>
      <c r="AZ54" s="200">
        <f t="shared" si="61"/>
        <v>0</v>
      </c>
      <c r="BA54" s="200">
        <f t="shared" si="61"/>
        <v>0</v>
      </c>
      <c r="BB54" s="200">
        <f t="shared" si="61"/>
        <v>0</v>
      </c>
      <c r="BC54" s="200">
        <f t="shared" si="61"/>
        <v>0</v>
      </c>
      <c r="BD54" s="200">
        <f t="shared" si="61"/>
        <v>0</v>
      </c>
      <c r="BE54" s="200">
        <f t="shared" si="61"/>
        <v>0</v>
      </c>
      <c r="BF54" s="200">
        <f t="shared" si="61"/>
        <v>0</v>
      </c>
      <c r="BG54" s="200">
        <f t="shared" si="62"/>
        <v>0</v>
      </c>
      <c r="BH54" s="200">
        <f t="shared" si="62"/>
        <v>0</v>
      </c>
      <c r="BI54" s="200">
        <f t="shared" si="62"/>
        <v>0</v>
      </c>
      <c r="BJ54" s="200">
        <f t="shared" si="62"/>
        <v>0</v>
      </c>
      <c r="BK54" s="200">
        <f t="shared" si="62"/>
        <v>0</v>
      </c>
      <c r="BL54" s="200">
        <f t="shared" si="62"/>
        <v>0</v>
      </c>
      <c r="BM54" s="200">
        <f t="shared" si="62"/>
        <v>0</v>
      </c>
      <c r="BN54" s="200">
        <f t="shared" si="62"/>
        <v>0</v>
      </c>
      <c r="BO54" s="200">
        <f t="shared" si="62"/>
        <v>0</v>
      </c>
      <c r="BP54" s="200">
        <f t="shared" si="62"/>
        <v>0</v>
      </c>
      <c r="BQ54" s="200">
        <f t="shared" si="62"/>
        <v>0</v>
      </c>
      <c r="BR54" s="200">
        <f t="shared" si="62"/>
        <v>0</v>
      </c>
      <c r="BS54" s="200">
        <f t="shared" si="62"/>
        <v>0</v>
      </c>
      <c r="BT54" s="200">
        <f t="shared" si="62"/>
        <v>0</v>
      </c>
      <c r="BV54" s="199" t="str">
        <f t="shared" si="19"/>
        <v>XX in €/Jahr</v>
      </c>
      <c r="BW54" s="200">
        <f t="shared" si="63"/>
        <v>0</v>
      </c>
      <c r="BX54" s="200">
        <f t="shared" si="63"/>
        <v>0</v>
      </c>
      <c r="BY54" s="200">
        <f t="shared" si="63"/>
        <v>0</v>
      </c>
      <c r="BZ54" s="200">
        <f t="shared" si="63"/>
        <v>0</v>
      </c>
      <c r="CA54" s="200">
        <f t="shared" si="63"/>
        <v>0</v>
      </c>
      <c r="CB54" s="200">
        <f t="shared" si="63"/>
        <v>0</v>
      </c>
      <c r="CC54" s="200">
        <f t="shared" si="63"/>
        <v>0</v>
      </c>
      <c r="CD54" s="200">
        <f t="shared" si="63"/>
        <v>0</v>
      </c>
      <c r="CE54" s="200">
        <f t="shared" si="63"/>
        <v>0</v>
      </c>
      <c r="CF54" s="200">
        <f t="shared" si="63"/>
        <v>0</v>
      </c>
      <c r="CG54" s="200">
        <f t="shared" si="64"/>
        <v>0</v>
      </c>
      <c r="CH54" s="200">
        <f t="shared" si="64"/>
        <v>0</v>
      </c>
      <c r="CI54" s="200">
        <f t="shared" si="64"/>
        <v>0</v>
      </c>
      <c r="CJ54" s="200">
        <f t="shared" si="64"/>
        <v>0</v>
      </c>
      <c r="CK54" s="200">
        <f t="shared" si="64"/>
        <v>0</v>
      </c>
      <c r="CL54" s="200">
        <f t="shared" si="64"/>
        <v>0</v>
      </c>
      <c r="CM54" s="200">
        <f t="shared" si="64"/>
        <v>0</v>
      </c>
      <c r="CN54" s="200">
        <f t="shared" si="64"/>
        <v>0</v>
      </c>
      <c r="CO54" s="200">
        <f t="shared" si="64"/>
        <v>0</v>
      </c>
      <c r="CP54" s="200">
        <f t="shared" si="64"/>
        <v>0</v>
      </c>
      <c r="CQ54" s="200">
        <f t="shared" si="65"/>
        <v>0</v>
      </c>
      <c r="CR54" s="200">
        <f t="shared" si="65"/>
        <v>0</v>
      </c>
      <c r="CS54" s="200">
        <f t="shared" si="65"/>
        <v>0</v>
      </c>
      <c r="CT54" s="200">
        <f t="shared" si="65"/>
        <v>0</v>
      </c>
      <c r="CU54" s="200">
        <f t="shared" si="65"/>
        <v>0</v>
      </c>
      <c r="CV54" s="200">
        <f t="shared" si="65"/>
        <v>0</v>
      </c>
      <c r="CW54" s="200">
        <f t="shared" si="65"/>
        <v>0</v>
      </c>
      <c r="CX54" s="200">
        <f t="shared" si="65"/>
        <v>0</v>
      </c>
      <c r="CY54" s="200">
        <f t="shared" si="65"/>
        <v>0</v>
      </c>
      <c r="CZ54" s="200">
        <f t="shared" si="65"/>
        <v>0</v>
      </c>
      <c r="DA54" s="200">
        <f t="shared" si="66"/>
        <v>0</v>
      </c>
      <c r="DB54" s="200">
        <f t="shared" si="66"/>
        <v>0</v>
      </c>
      <c r="DC54" s="200">
        <f t="shared" si="66"/>
        <v>0</v>
      </c>
      <c r="DD54" s="200">
        <f t="shared" si="66"/>
        <v>0</v>
      </c>
      <c r="DE54" s="200">
        <f t="shared" si="66"/>
        <v>0</v>
      </c>
      <c r="DF54" s="200">
        <f t="shared" si="66"/>
        <v>0</v>
      </c>
      <c r="DG54" s="200">
        <f t="shared" si="66"/>
        <v>0</v>
      </c>
      <c r="DH54" s="200">
        <f t="shared" si="66"/>
        <v>0</v>
      </c>
      <c r="DI54" s="200">
        <f t="shared" si="66"/>
        <v>0</v>
      </c>
      <c r="DJ54" s="200">
        <f t="shared" si="66"/>
        <v>0</v>
      </c>
      <c r="DK54" s="200">
        <f t="shared" si="67"/>
        <v>0</v>
      </c>
      <c r="DL54" s="200">
        <f t="shared" si="67"/>
        <v>0</v>
      </c>
      <c r="DM54" s="200">
        <f t="shared" si="67"/>
        <v>0</v>
      </c>
      <c r="DN54" s="200">
        <f t="shared" si="67"/>
        <v>0</v>
      </c>
      <c r="DO54" s="200">
        <f t="shared" si="67"/>
        <v>0</v>
      </c>
      <c r="DP54" s="200">
        <f t="shared" si="67"/>
        <v>0</v>
      </c>
      <c r="DQ54" s="200">
        <f t="shared" si="67"/>
        <v>0</v>
      </c>
      <c r="DR54" s="200">
        <f t="shared" si="67"/>
        <v>0</v>
      </c>
      <c r="DS54" s="200">
        <f t="shared" si="67"/>
        <v>0</v>
      </c>
      <c r="DT54" s="200">
        <f t="shared" si="67"/>
        <v>0</v>
      </c>
      <c r="DU54" s="200">
        <f t="shared" si="67"/>
        <v>0</v>
      </c>
      <c r="DV54" s="200">
        <f t="shared" si="67"/>
        <v>0</v>
      </c>
      <c r="DW54" s="200">
        <f t="shared" si="67"/>
        <v>0</v>
      </c>
      <c r="DX54" s="200">
        <f t="shared" si="67"/>
        <v>0</v>
      </c>
      <c r="DZ54" s="199" t="str">
        <f t="shared" si="22"/>
        <v>XX in €/Jahr</v>
      </c>
      <c r="EA54" s="200">
        <f t="shared" si="68"/>
        <v>0</v>
      </c>
      <c r="EB54" s="200">
        <f t="shared" si="68"/>
        <v>0</v>
      </c>
      <c r="EC54" s="200">
        <f t="shared" si="68"/>
        <v>0</v>
      </c>
      <c r="ED54" s="200">
        <f t="shared" si="68"/>
        <v>0</v>
      </c>
      <c r="EE54" s="200">
        <f t="shared" si="68"/>
        <v>0</v>
      </c>
      <c r="EF54" s="200">
        <f t="shared" si="68"/>
        <v>0</v>
      </c>
      <c r="EG54" s="200">
        <f t="shared" si="68"/>
        <v>0</v>
      </c>
      <c r="EH54" s="200">
        <f t="shared" si="68"/>
        <v>0</v>
      </c>
      <c r="EI54" s="200">
        <f t="shared" si="68"/>
        <v>0</v>
      </c>
      <c r="EJ54" s="200">
        <f t="shared" si="68"/>
        <v>0</v>
      </c>
      <c r="EK54" s="200">
        <f t="shared" si="69"/>
        <v>0</v>
      </c>
      <c r="EL54" s="200">
        <f t="shared" si="69"/>
        <v>0</v>
      </c>
      <c r="EM54" s="200">
        <f t="shared" si="69"/>
        <v>0</v>
      </c>
      <c r="EN54" s="200">
        <f t="shared" si="69"/>
        <v>0</v>
      </c>
      <c r="EO54" s="200">
        <f t="shared" si="69"/>
        <v>0</v>
      </c>
      <c r="EP54" s="200">
        <f t="shared" si="69"/>
        <v>0</v>
      </c>
      <c r="EQ54" s="200">
        <f t="shared" si="69"/>
        <v>0</v>
      </c>
      <c r="ER54" s="200">
        <f t="shared" si="69"/>
        <v>0</v>
      </c>
      <c r="ES54" s="200">
        <f t="shared" si="69"/>
        <v>0</v>
      </c>
      <c r="ET54" s="200">
        <f t="shared" si="69"/>
        <v>0</v>
      </c>
      <c r="EU54" s="200">
        <f t="shared" si="70"/>
        <v>0</v>
      </c>
      <c r="EV54" s="200">
        <f t="shared" si="70"/>
        <v>0</v>
      </c>
      <c r="EW54" s="200">
        <f t="shared" si="70"/>
        <v>0</v>
      </c>
      <c r="EX54" s="200">
        <f t="shared" si="70"/>
        <v>0</v>
      </c>
      <c r="EY54" s="200">
        <f t="shared" si="70"/>
        <v>0</v>
      </c>
      <c r="EZ54" s="200">
        <f t="shared" si="70"/>
        <v>0</v>
      </c>
      <c r="FA54" s="200">
        <f t="shared" si="70"/>
        <v>0</v>
      </c>
      <c r="FB54" s="200">
        <f t="shared" si="70"/>
        <v>0</v>
      </c>
      <c r="FC54" s="200">
        <f t="shared" si="70"/>
        <v>0</v>
      </c>
      <c r="FD54" s="200">
        <f t="shared" si="70"/>
        <v>0</v>
      </c>
      <c r="FE54" s="200">
        <f t="shared" si="71"/>
        <v>0</v>
      </c>
      <c r="FF54" s="200">
        <f t="shared" si="71"/>
        <v>0</v>
      </c>
      <c r="FG54" s="200">
        <f t="shared" si="71"/>
        <v>0</v>
      </c>
      <c r="FH54" s="200">
        <f t="shared" si="71"/>
        <v>0</v>
      </c>
      <c r="FI54" s="200">
        <f t="shared" si="71"/>
        <v>0</v>
      </c>
      <c r="FJ54" s="200">
        <f t="shared" si="71"/>
        <v>0</v>
      </c>
      <c r="FK54" s="200">
        <f t="shared" si="71"/>
        <v>0</v>
      </c>
      <c r="FL54" s="200">
        <f t="shared" si="71"/>
        <v>0</v>
      </c>
      <c r="FM54" s="200">
        <f t="shared" si="71"/>
        <v>0</v>
      </c>
      <c r="FN54" s="200">
        <f t="shared" si="71"/>
        <v>0</v>
      </c>
      <c r="FO54" s="200">
        <f t="shared" si="72"/>
        <v>0</v>
      </c>
      <c r="FP54" s="200">
        <f t="shared" si="72"/>
        <v>0</v>
      </c>
      <c r="FQ54" s="200">
        <f t="shared" si="72"/>
        <v>0</v>
      </c>
      <c r="FR54" s="200">
        <f t="shared" si="72"/>
        <v>0</v>
      </c>
      <c r="FS54" s="200">
        <f t="shared" si="72"/>
        <v>0</v>
      </c>
      <c r="FT54" s="200">
        <f t="shared" si="72"/>
        <v>0</v>
      </c>
      <c r="FU54" s="200">
        <f t="shared" si="72"/>
        <v>0</v>
      </c>
      <c r="FV54" s="200">
        <f t="shared" si="72"/>
        <v>0</v>
      </c>
      <c r="FW54" s="200">
        <f t="shared" si="72"/>
        <v>0</v>
      </c>
      <c r="FX54" s="200">
        <f t="shared" si="72"/>
        <v>0</v>
      </c>
      <c r="FY54" s="200">
        <f t="shared" si="72"/>
        <v>0</v>
      </c>
      <c r="FZ54" s="200">
        <f t="shared" si="72"/>
        <v>0</v>
      </c>
      <c r="GA54" s="200">
        <f t="shared" si="72"/>
        <v>0</v>
      </c>
      <c r="GB54" s="200">
        <f t="shared" si="72"/>
        <v>0</v>
      </c>
    </row>
    <row r="55" spans="1:184" ht="18" customHeight="1" x14ac:dyDescent="0.5">
      <c r="B55" s="323"/>
      <c r="C55" s="114" t="s">
        <v>134</v>
      </c>
      <c r="D55" s="210"/>
      <c r="E55" s="210"/>
      <c r="F55" s="211"/>
      <c r="G55" s="183"/>
      <c r="H55" s="212"/>
      <c r="I55" s="185">
        <v>0</v>
      </c>
      <c r="J55" s="186">
        <v>0</v>
      </c>
      <c r="K55" s="187">
        <v>0</v>
      </c>
      <c r="L55" s="213">
        <f t="shared" si="73"/>
        <v>0.02</v>
      </c>
      <c r="M55" s="214">
        <f t="shared" si="74"/>
        <v>0.03</v>
      </c>
      <c r="N55" s="215">
        <f t="shared" si="75"/>
        <v>0.05</v>
      </c>
      <c r="R55" s="216" t="str">
        <f t="shared" si="16"/>
        <v>XX in €/Jahr</v>
      </c>
      <c r="S55" s="200">
        <f t="shared" si="58"/>
        <v>0</v>
      </c>
      <c r="T55" s="200">
        <f t="shared" si="58"/>
        <v>0</v>
      </c>
      <c r="U55" s="200">
        <f t="shared" si="58"/>
        <v>0</v>
      </c>
      <c r="V55" s="200">
        <f t="shared" si="58"/>
        <v>0</v>
      </c>
      <c r="W55" s="200">
        <f t="shared" si="58"/>
        <v>0</v>
      </c>
      <c r="X55" s="200">
        <f t="shared" si="58"/>
        <v>0</v>
      </c>
      <c r="Y55" s="200">
        <f t="shared" si="58"/>
        <v>0</v>
      </c>
      <c r="Z55" s="200">
        <f t="shared" si="58"/>
        <v>0</v>
      </c>
      <c r="AA55" s="200">
        <f t="shared" si="58"/>
        <v>0</v>
      </c>
      <c r="AB55" s="200">
        <f t="shared" si="58"/>
        <v>0</v>
      </c>
      <c r="AC55" s="200">
        <f t="shared" si="59"/>
        <v>0</v>
      </c>
      <c r="AD55" s="200">
        <f t="shared" si="59"/>
        <v>0</v>
      </c>
      <c r="AE55" s="200">
        <f t="shared" si="59"/>
        <v>0</v>
      </c>
      <c r="AF55" s="200">
        <f t="shared" si="59"/>
        <v>0</v>
      </c>
      <c r="AG55" s="200">
        <f t="shared" si="59"/>
        <v>0</v>
      </c>
      <c r="AH55" s="200">
        <f t="shared" si="59"/>
        <v>0</v>
      </c>
      <c r="AI55" s="200">
        <f t="shared" si="59"/>
        <v>0</v>
      </c>
      <c r="AJ55" s="200">
        <f t="shared" si="59"/>
        <v>0</v>
      </c>
      <c r="AK55" s="200">
        <f t="shared" si="59"/>
        <v>0</v>
      </c>
      <c r="AL55" s="200">
        <f t="shared" si="59"/>
        <v>0</v>
      </c>
      <c r="AM55" s="200">
        <f t="shared" si="60"/>
        <v>0</v>
      </c>
      <c r="AN55" s="200">
        <f t="shared" si="60"/>
        <v>0</v>
      </c>
      <c r="AO55" s="200">
        <f t="shared" si="60"/>
        <v>0</v>
      </c>
      <c r="AP55" s="200">
        <f t="shared" si="60"/>
        <v>0</v>
      </c>
      <c r="AQ55" s="200">
        <f t="shared" si="60"/>
        <v>0</v>
      </c>
      <c r="AR55" s="200">
        <f t="shared" si="60"/>
        <v>0</v>
      </c>
      <c r="AS55" s="200">
        <f t="shared" si="60"/>
        <v>0</v>
      </c>
      <c r="AT55" s="200">
        <f t="shared" si="60"/>
        <v>0</v>
      </c>
      <c r="AU55" s="200">
        <f t="shared" si="60"/>
        <v>0</v>
      </c>
      <c r="AV55" s="200">
        <f t="shared" si="60"/>
        <v>0</v>
      </c>
      <c r="AW55" s="200">
        <f t="shared" si="61"/>
        <v>0</v>
      </c>
      <c r="AX55" s="200">
        <f t="shared" si="61"/>
        <v>0</v>
      </c>
      <c r="AY55" s="200">
        <f t="shared" si="61"/>
        <v>0</v>
      </c>
      <c r="AZ55" s="200">
        <f t="shared" si="61"/>
        <v>0</v>
      </c>
      <c r="BA55" s="200">
        <f t="shared" si="61"/>
        <v>0</v>
      </c>
      <c r="BB55" s="200">
        <f t="shared" si="61"/>
        <v>0</v>
      </c>
      <c r="BC55" s="200">
        <f t="shared" si="61"/>
        <v>0</v>
      </c>
      <c r="BD55" s="200">
        <f t="shared" si="61"/>
        <v>0</v>
      </c>
      <c r="BE55" s="200">
        <f t="shared" si="61"/>
        <v>0</v>
      </c>
      <c r="BF55" s="200">
        <f t="shared" si="61"/>
        <v>0</v>
      </c>
      <c r="BG55" s="200">
        <f t="shared" si="62"/>
        <v>0</v>
      </c>
      <c r="BH55" s="200">
        <f t="shared" si="62"/>
        <v>0</v>
      </c>
      <c r="BI55" s="200">
        <f t="shared" si="62"/>
        <v>0</v>
      </c>
      <c r="BJ55" s="200">
        <f t="shared" si="62"/>
        <v>0</v>
      </c>
      <c r="BK55" s="200">
        <f t="shared" si="62"/>
        <v>0</v>
      </c>
      <c r="BL55" s="200">
        <f t="shared" si="62"/>
        <v>0</v>
      </c>
      <c r="BM55" s="200">
        <f t="shared" si="62"/>
        <v>0</v>
      </c>
      <c r="BN55" s="200">
        <f t="shared" si="62"/>
        <v>0</v>
      </c>
      <c r="BO55" s="200">
        <f t="shared" si="62"/>
        <v>0</v>
      </c>
      <c r="BP55" s="200">
        <f t="shared" si="62"/>
        <v>0</v>
      </c>
      <c r="BQ55" s="200">
        <f t="shared" si="62"/>
        <v>0</v>
      </c>
      <c r="BR55" s="200">
        <f t="shared" si="62"/>
        <v>0</v>
      </c>
      <c r="BS55" s="200">
        <f t="shared" si="62"/>
        <v>0</v>
      </c>
      <c r="BT55" s="200">
        <f t="shared" si="62"/>
        <v>0</v>
      </c>
      <c r="BV55" s="216" t="str">
        <f t="shared" si="19"/>
        <v>XX in €/Jahr</v>
      </c>
      <c r="BW55" s="200">
        <f t="shared" si="63"/>
        <v>0</v>
      </c>
      <c r="BX55" s="200">
        <f t="shared" si="63"/>
        <v>0</v>
      </c>
      <c r="BY55" s="200">
        <f t="shared" si="63"/>
        <v>0</v>
      </c>
      <c r="BZ55" s="200">
        <f t="shared" si="63"/>
        <v>0</v>
      </c>
      <c r="CA55" s="200">
        <f t="shared" si="63"/>
        <v>0</v>
      </c>
      <c r="CB55" s="200">
        <f t="shared" si="63"/>
        <v>0</v>
      </c>
      <c r="CC55" s="200">
        <f t="shared" si="63"/>
        <v>0</v>
      </c>
      <c r="CD55" s="200">
        <f t="shared" si="63"/>
        <v>0</v>
      </c>
      <c r="CE55" s="200">
        <f t="shared" si="63"/>
        <v>0</v>
      </c>
      <c r="CF55" s="200">
        <f t="shared" si="63"/>
        <v>0</v>
      </c>
      <c r="CG55" s="200">
        <f t="shared" si="64"/>
        <v>0</v>
      </c>
      <c r="CH55" s="200">
        <f t="shared" si="64"/>
        <v>0</v>
      </c>
      <c r="CI55" s="200">
        <f t="shared" si="64"/>
        <v>0</v>
      </c>
      <c r="CJ55" s="200">
        <f t="shared" si="64"/>
        <v>0</v>
      </c>
      <c r="CK55" s="200">
        <f t="shared" si="64"/>
        <v>0</v>
      </c>
      <c r="CL55" s="200">
        <f t="shared" si="64"/>
        <v>0</v>
      </c>
      <c r="CM55" s="200">
        <f t="shared" si="64"/>
        <v>0</v>
      </c>
      <c r="CN55" s="200">
        <f t="shared" si="64"/>
        <v>0</v>
      </c>
      <c r="CO55" s="200">
        <f t="shared" si="64"/>
        <v>0</v>
      </c>
      <c r="CP55" s="200">
        <f t="shared" si="64"/>
        <v>0</v>
      </c>
      <c r="CQ55" s="200">
        <f t="shared" si="65"/>
        <v>0</v>
      </c>
      <c r="CR55" s="200">
        <f t="shared" si="65"/>
        <v>0</v>
      </c>
      <c r="CS55" s="200">
        <f t="shared" si="65"/>
        <v>0</v>
      </c>
      <c r="CT55" s="200">
        <f t="shared" si="65"/>
        <v>0</v>
      </c>
      <c r="CU55" s="200">
        <f t="shared" si="65"/>
        <v>0</v>
      </c>
      <c r="CV55" s="200">
        <f t="shared" si="65"/>
        <v>0</v>
      </c>
      <c r="CW55" s="200">
        <f t="shared" si="65"/>
        <v>0</v>
      </c>
      <c r="CX55" s="200">
        <f t="shared" si="65"/>
        <v>0</v>
      </c>
      <c r="CY55" s="200">
        <f t="shared" si="65"/>
        <v>0</v>
      </c>
      <c r="CZ55" s="200">
        <f t="shared" si="65"/>
        <v>0</v>
      </c>
      <c r="DA55" s="200">
        <f t="shared" si="66"/>
        <v>0</v>
      </c>
      <c r="DB55" s="200">
        <f t="shared" si="66"/>
        <v>0</v>
      </c>
      <c r="DC55" s="200">
        <f t="shared" si="66"/>
        <v>0</v>
      </c>
      <c r="DD55" s="200">
        <f t="shared" si="66"/>
        <v>0</v>
      </c>
      <c r="DE55" s="200">
        <f t="shared" si="66"/>
        <v>0</v>
      </c>
      <c r="DF55" s="200">
        <f t="shared" si="66"/>
        <v>0</v>
      </c>
      <c r="DG55" s="200">
        <f t="shared" si="66"/>
        <v>0</v>
      </c>
      <c r="DH55" s="200">
        <f t="shared" si="66"/>
        <v>0</v>
      </c>
      <c r="DI55" s="200">
        <f t="shared" si="66"/>
        <v>0</v>
      </c>
      <c r="DJ55" s="200">
        <f t="shared" si="66"/>
        <v>0</v>
      </c>
      <c r="DK55" s="200">
        <f t="shared" si="67"/>
        <v>0</v>
      </c>
      <c r="DL55" s="200">
        <f t="shared" si="67"/>
        <v>0</v>
      </c>
      <c r="DM55" s="200">
        <f t="shared" si="67"/>
        <v>0</v>
      </c>
      <c r="DN55" s="200">
        <f t="shared" si="67"/>
        <v>0</v>
      </c>
      <c r="DO55" s="200">
        <f t="shared" si="67"/>
        <v>0</v>
      </c>
      <c r="DP55" s="200">
        <f t="shared" si="67"/>
        <v>0</v>
      </c>
      <c r="DQ55" s="200">
        <f t="shared" si="67"/>
        <v>0</v>
      </c>
      <c r="DR55" s="200">
        <f t="shared" si="67"/>
        <v>0</v>
      </c>
      <c r="DS55" s="200">
        <f t="shared" si="67"/>
        <v>0</v>
      </c>
      <c r="DT55" s="200">
        <f t="shared" si="67"/>
        <v>0</v>
      </c>
      <c r="DU55" s="200">
        <f t="shared" si="67"/>
        <v>0</v>
      </c>
      <c r="DV55" s="200">
        <f t="shared" si="67"/>
        <v>0</v>
      </c>
      <c r="DW55" s="200">
        <f t="shared" si="67"/>
        <v>0</v>
      </c>
      <c r="DX55" s="200">
        <f t="shared" si="67"/>
        <v>0</v>
      </c>
      <c r="DZ55" s="216" t="str">
        <f t="shared" si="22"/>
        <v>XX in €/Jahr</v>
      </c>
      <c r="EA55" s="200">
        <f t="shared" si="68"/>
        <v>0</v>
      </c>
      <c r="EB55" s="200">
        <f t="shared" si="68"/>
        <v>0</v>
      </c>
      <c r="EC55" s="200">
        <f t="shared" si="68"/>
        <v>0</v>
      </c>
      <c r="ED55" s="200">
        <f t="shared" si="68"/>
        <v>0</v>
      </c>
      <c r="EE55" s="200">
        <f t="shared" si="68"/>
        <v>0</v>
      </c>
      <c r="EF55" s="200">
        <f t="shared" si="68"/>
        <v>0</v>
      </c>
      <c r="EG55" s="200">
        <f t="shared" si="68"/>
        <v>0</v>
      </c>
      <c r="EH55" s="200">
        <f t="shared" si="68"/>
        <v>0</v>
      </c>
      <c r="EI55" s="200">
        <f t="shared" si="68"/>
        <v>0</v>
      </c>
      <c r="EJ55" s="200">
        <f t="shared" si="68"/>
        <v>0</v>
      </c>
      <c r="EK55" s="200">
        <f t="shared" si="69"/>
        <v>0</v>
      </c>
      <c r="EL55" s="200">
        <f t="shared" si="69"/>
        <v>0</v>
      </c>
      <c r="EM55" s="200">
        <f t="shared" si="69"/>
        <v>0</v>
      </c>
      <c r="EN55" s="200">
        <f t="shared" si="69"/>
        <v>0</v>
      </c>
      <c r="EO55" s="200">
        <f t="shared" si="69"/>
        <v>0</v>
      </c>
      <c r="EP55" s="200">
        <f t="shared" si="69"/>
        <v>0</v>
      </c>
      <c r="EQ55" s="200">
        <f t="shared" si="69"/>
        <v>0</v>
      </c>
      <c r="ER55" s="200">
        <f t="shared" si="69"/>
        <v>0</v>
      </c>
      <c r="ES55" s="200">
        <f t="shared" si="69"/>
        <v>0</v>
      </c>
      <c r="ET55" s="200">
        <f t="shared" si="69"/>
        <v>0</v>
      </c>
      <c r="EU55" s="200">
        <f t="shared" si="70"/>
        <v>0</v>
      </c>
      <c r="EV55" s="200">
        <f t="shared" si="70"/>
        <v>0</v>
      </c>
      <c r="EW55" s="200">
        <f t="shared" si="70"/>
        <v>0</v>
      </c>
      <c r="EX55" s="200">
        <f t="shared" si="70"/>
        <v>0</v>
      </c>
      <c r="EY55" s="200">
        <f t="shared" si="70"/>
        <v>0</v>
      </c>
      <c r="EZ55" s="200">
        <f t="shared" si="70"/>
        <v>0</v>
      </c>
      <c r="FA55" s="200">
        <f t="shared" si="70"/>
        <v>0</v>
      </c>
      <c r="FB55" s="200">
        <f t="shared" si="70"/>
        <v>0</v>
      </c>
      <c r="FC55" s="200">
        <f t="shared" si="70"/>
        <v>0</v>
      </c>
      <c r="FD55" s="200">
        <f t="shared" si="70"/>
        <v>0</v>
      </c>
      <c r="FE55" s="200">
        <f t="shared" si="71"/>
        <v>0</v>
      </c>
      <c r="FF55" s="200">
        <f t="shared" si="71"/>
        <v>0</v>
      </c>
      <c r="FG55" s="200">
        <f t="shared" si="71"/>
        <v>0</v>
      </c>
      <c r="FH55" s="200">
        <f t="shared" si="71"/>
        <v>0</v>
      </c>
      <c r="FI55" s="200">
        <f t="shared" si="71"/>
        <v>0</v>
      </c>
      <c r="FJ55" s="200">
        <f t="shared" si="71"/>
        <v>0</v>
      </c>
      <c r="FK55" s="200">
        <f t="shared" si="71"/>
        <v>0</v>
      </c>
      <c r="FL55" s="200">
        <f t="shared" si="71"/>
        <v>0</v>
      </c>
      <c r="FM55" s="200">
        <f t="shared" si="71"/>
        <v>0</v>
      </c>
      <c r="FN55" s="200">
        <f t="shared" si="71"/>
        <v>0</v>
      </c>
      <c r="FO55" s="200">
        <f t="shared" si="72"/>
        <v>0</v>
      </c>
      <c r="FP55" s="200">
        <f t="shared" si="72"/>
        <v>0</v>
      </c>
      <c r="FQ55" s="200">
        <f t="shared" si="72"/>
        <v>0</v>
      </c>
      <c r="FR55" s="200">
        <f t="shared" si="72"/>
        <v>0</v>
      </c>
      <c r="FS55" s="200">
        <f t="shared" si="72"/>
        <v>0</v>
      </c>
      <c r="FT55" s="200">
        <f t="shared" si="72"/>
        <v>0</v>
      </c>
      <c r="FU55" s="200">
        <f t="shared" si="72"/>
        <v>0</v>
      </c>
      <c r="FV55" s="200">
        <f t="shared" si="72"/>
        <v>0</v>
      </c>
      <c r="FW55" s="200">
        <f t="shared" si="72"/>
        <v>0</v>
      </c>
      <c r="FX55" s="200">
        <f t="shared" si="72"/>
        <v>0</v>
      </c>
      <c r="FY55" s="200">
        <f t="shared" si="72"/>
        <v>0</v>
      </c>
      <c r="FZ55" s="200">
        <f t="shared" si="72"/>
        <v>0</v>
      </c>
      <c r="GA55" s="200">
        <f t="shared" si="72"/>
        <v>0</v>
      </c>
      <c r="GB55" s="200">
        <f t="shared" si="72"/>
        <v>0</v>
      </c>
    </row>
    <row r="56" spans="1:184" ht="18" customHeight="1" x14ac:dyDescent="0.5">
      <c r="R56" s="217" t="s">
        <v>145</v>
      </c>
      <c r="S56" s="218">
        <f t="shared" ref="S56:AX56" si="76">SUM(S23:S38)</f>
        <v>4360</v>
      </c>
      <c r="T56" s="218">
        <f t="shared" si="76"/>
        <v>4490.8</v>
      </c>
      <c r="U56" s="218">
        <f t="shared" si="76"/>
        <v>4625.5239999999994</v>
      </c>
      <c r="V56" s="218">
        <f t="shared" si="76"/>
        <v>4764.2897199999998</v>
      </c>
      <c r="W56" s="218">
        <f t="shared" si="76"/>
        <v>4907.2184115999999</v>
      </c>
      <c r="X56" s="218">
        <f t="shared" si="76"/>
        <v>0</v>
      </c>
      <c r="Y56" s="218">
        <f t="shared" si="76"/>
        <v>0</v>
      </c>
      <c r="Z56" s="218">
        <f t="shared" si="76"/>
        <v>0</v>
      </c>
      <c r="AA56" s="218">
        <f t="shared" si="76"/>
        <v>0</v>
      </c>
      <c r="AB56" s="218">
        <f t="shared" si="76"/>
        <v>0</v>
      </c>
      <c r="AC56" s="218">
        <f t="shared" si="76"/>
        <v>0</v>
      </c>
      <c r="AD56" s="218">
        <f t="shared" si="76"/>
        <v>0</v>
      </c>
      <c r="AE56" s="218">
        <f t="shared" si="76"/>
        <v>0</v>
      </c>
      <c r="AF56" s="218">
        <f t="shared" si="76"/>
        <v>0</v>
      </c>
      <c r="AG56" s="218">
        <f t="shared" si="76"/>
        <v>0</v>
      </c>
      <c r="AH56" s="218">
        <f t="shared" si="76"/>
        <v>0</v>
      </c>
      <c r="AI56" s="218">
        <f t="shared" si="76"/>
        <v>0</v>
      </c>
      <c r="AJ56" s="218">
        <f t="shared" si="76"/>
        <v>0</v>
      </c>
      <c r="AK56" s="218">
        <f t="shared" si="76"/>
        <v>0</v>
      </c>
      <c r="AL56" s="218">
        <f t="shared" si="76"/>
        <v>0</v>
      </c>
      <c r="AM56" s="218">
        <f t="shared" si="76"/>
        <v>0</v>
      </c>
      <c r="AN56" s="218">
        <f t="shared" si="76"/>
        <v>0</v>
      </c>
      <c r="AO56" s="218">
        <f t="shared" si="76"/>
        <v>0</v>
      </c>
      <c r="AP56" s="218">
        <f t="shared" si="76"/>
        <v>0</v>
      </c>
      <c r="AQ56" s="218">
        <f t="shared" si="76"/>
        <v>0</v>
      </c>
      <c r="AR56" s="218">
        <f t="shared" si="76"/>
        <v>0</v>
      </c>
      <c r="AS56" s="218">
        <f t="shared" si="76"/>
        <v>0</v>
      </c>
      <c r="AT56" s="218">
        <f t="shared" si="76"/>
        <v>0</v>
      </c>
      <c r="AU56" s="218">
        <f t="shared" si="76"/>
        <v>0</v>
      </c>
      <c r="AV56" s="218">
        <f t="shared" si="76"/>
        <v>0</v>
      </c>
      <c r="AW56" s="218">
        <f t="shared" si="76"/>
        <v>0</v>
      </c>
      <c r="AX56" s="218">
        <f t="shared" si="76"/>
        <v>0</v>
      </c>
      <c r="AY56" s="218">
        <f t="shared" ref="AY56:BT56" si="77">SUM(AY23:AY38)</f>
        <v>0</v>
      </c>
      <c r="AZ56" s="218">
        <f t="shared" si="77"/>
        <v>0</v>
      </c>
      <c r="BA56" s="218">
        <f t="shared" si="77"/>
        <v>0</v>
      </c>
      <c r="BB56" s="218">
        <f t="shared" si="77"/>
        <v>0</v>
      </c>
      <c r="BC56" s="218">
        <f t="shared" si="77"/>
        <v>0</v>
      </c>
      <c r="BD56" s="218">
        <f t="shared" si="77"/>
        <v>0</v>
      </c>
      <c r="BE56" s="218">
        <f t="shared" si="77"/>
        <v>0</v>
      </c>
      <c r="BF56" s="218">
        <f t="shared" si="77"/>
        <v>0</v>
      </c>
      <c r="BG56" s="218">
        <f t="shared" si="77"/>
        <v>0</v>
      </c>
      <c r="BH56" s="218">
        <f t="shared" si="77"/>
        <v>0</v>
      </c>
      <c r="BI56" s="218">
        <f t="shared" si="77"/>
        <v>0</v>
      </c>
      <c r="BJ56" s="218">
        <f t="shared" si="77"/>
        <v>0</v>
      </c>
      <c r="BK56" s="218">
        <f t="shared" si="77"/>
        <v>0</v>
      </c>
      <c r="BL56" s="218">
        <f t="shared" si="77"/>
        <v>0</v>
      </c>
      <c r="BM56" s="218">
        <f t="shared" si="77"/>
        <v>0</v>
      </c>
      <c r="BN56" s="218">
        <f t="shared" si="77"/>
        <v>0</v>
      </c>
      <c r="BO56" s="218">
        <f t="shared" si="77"/>
        <v>0</v>
      </c>
      <c r="BP56" s="218">
        <f t="shared" si="77"/>
        <v>0</v>
      </c>
      <c r="BQ56" s="218">
        <f t="shared" si="77"/>
        <v>0</v>
      </c>
      <c r="BR56" s="218">
        <f t="shared" si="77"/>
        <v>0</v>
      </c>
      <c r="BS56" s="218">
        <f t="shared" si="77"/>
        <v>0</v>
      </c>
      <c r="BT56" s="219">
        <f t="shared" si="77"/>
        <v>0</v>
      </c>
      <c r="BV56" s="217" t="s">
        <v>145</v>
      </c>
      <c r="BW56" s="220">
        <f t="shared" ref="BW56:DB56" si="78">SUM(BW23:BW38)</f>
        <v>3096</v>
      </c>
      <c r="BX56" s="220">
        <f t="shared" si="78"/>
        <v>3219.84</v>
      </c>
      <c r="BY56" s="220">
        <f t="shared" si="78"/>
        <v>3348.6336000000006</v>
      </c>
      <c r="BZ56" s="220">
        <f t="shared" si="78"/>
        <v>3482.5789440000003</v>
      </c>
      <c r="CA56" s="220">
        <f t="shared" si="78"/>
        <v>3621.8821017600008</v>
      </c>
      <c r="CB56" s="220">
        <f t="shared" si="78"/>
        <v>0</v>
      </c>
      <c r="CC56" s="220">
        <f t="shared" si="78"/>
        <v>0</v>
      </c>
      <c r="CD56" s="220">
        <f t="shared" si="78"/>
        <v>0</v>
      </c>
      <c r="CE56" s="220">
        <f t="shared" si="78"/>
        <v>0</v>
      </c>
      <c r="CF56" s="220">
        <f t="shared" si="78"/>
        <v>0</v>
      </c>
      <c r="CG56" s="220">
        <f t="shared" si="78"/>
        <v>0</v>
      </c>
      <c r="CH56" s="220">
        <f t="shared" si="78"/>
        <v>0</v>
      </c>
      <c r="CI56" s="220">
        <f t="shared" si="78"/>
        <v>0</v>
      </c>
      <c r="CJ56" s="220">
        <f t="shared" si="78"/>
        <v>0</v>
      </c>
      <c r="CK56" s="220">
        <f t="shared" si="78"/>
        <v>0</v>
      </c>
      <c r="CL56" s="220">
        <f t="shared" si="78"/>
        <v>0</v>
      </c>
      <c r="CM56" s="220">
        <f t="shared" si="78"/>
        <v>0</v>
      </c>
      <c r="CN56" s="220">
        <f t="shared" si="78"/>
        <v>0</v>
      </c>
      <c r="CO56" s="220">
        <f t="shared" si="78"/>
        <v>0</v>
      </c>
      <c r="CP56" s="220">
        <f t="shared" si="78"/>
        <v>0</v>
      </c>
      <c r="CQ56" s="220">
        <f t="shared" si="78"/>
        <v>0</v>
      </c>
      <c r="CR56" s="220">
        <f t="shared" si="78"/>
        <v>0</v>
      </c>
      <c r="CS56" s="220">
        <f t="shared" si="78"/>
        <v>0</v>
      </c>
      <c r="CT56" s="220">
        <f t="shared" si="78"/>
        <v>0</v>
      </c>
      <c r="CU56" s="220">
        <f t="shared" si="78"/>
        <v>0</v>
      </c>
      <c r="CV56" s="220">
        <f t="shared" si="78"/>
        <v>0</v>
      </c>
      <c r="CW56" s="220">
        <f t="shared" si="78"/>
        <v>0</v>
      </c>
      <c r="CX56" s="220">
        <f t="shared" si="78"/>
        <v>0</v>
      </c>
      <c r="CY56" s="220">
        <f t="shared" si="78"/>
        <v>0</v>
      </c>
      <c r="CZ56" s="220">
        <f t="shared" si="78"/>
        <v>0</v>
      </c>
      <c r="DA56" s="220">
        <f t="shared" si="78"/>
        <v>0</v>
      </c>
      <c r="DB56" s="220">
        <f t="shared" si="78"/>
        <v>0</v>
      </c>
      <c r="DC56" s="220">
        <f t="shared" ref="DC56:DX56" si="79">SUM(DC23:DC38)</f>
        <v>0</v>
      </c>
      <c r="DD56" s="220">
        <f t="shared" si="79"/>
        <v>0</v>
      </c>
      <c r="DE56" s="220">
        <f t="shared" si="79"/>
        <v>0</v>
      </c>
      <c r="DF56" s="220">
        <f t="shared" si="79"/>
        <v>0</v>
      </c>
      <c r="DG56" s="220">
        <f t="shared" si="79"/>
        <v>0</v>
      </c>
      <c r="DH56" s="220">
        <f t="shared" si="79"/>
        <v>0</v>
      </c>
      <c r="DI56" s="220">
        <f t="shared" si="79"/>
        <v>0</v>
      </c>
      <c r="DJ56" s="220">
        <f t="shared" si="79"/>
        <v>0</v>
      </c>
      <c r="DK56" s="220">
        <f t="shared" si="79"/>
        <v>0</v>
      </c>
      <c r="DL56" s="220">
        <f t="shared" si="79"/>
        <v>0</v>
      </c>
      <c r="DM56" s="220">
        <f t="shared" si="79"/>
        <v>0</v>
      </c>
      <c r="DN56" s="220">
        <f t="shared" si="79"/>
        <v>0</v>
      </c>
      <c r="DO56" s="220">
        <f t="shared" si="79"/>
        <v>0</v>
      </c>
      <c r="DP56" s="220">
        <f t="shared" si="79"/>
        <v>0</v>
      </c>
      <c r="DQ56" s="220">
        <f t="shared" si="79"/>
        <v>0</v>
      </c>
      <c r="DR56" s="220">
        <f t="shared" si="79"/>
        <v>0</v>
      </c>
      <c r="DS56" s="220">
        <f t="shared" si="79"/>
        <v>0</v>
      </c>
      <c r="DT56" s="220">
        <f t="shared" si="79"/>
        <v>0</v>
      </c>
      <c r="DU56" s="220">
        <f t="shared" si="79"/>
        <v>0</v>
      </c>
      <c r="DV56" s="220">
        <f t="shared" si="79"/>
        <v>0</v>
      </c>
      <c r="DW56" s="220">
        <f t="shared" si="79"/>
        <v>0</v>
      </c>
      <c r="DX56" s="221">
        <f t="shared" si="79"/>
        <v>0</v>
      </c>
      <c r="DZ56" s="217" t="s">
        <v>145</v>
      </c>
      <c r="EA56" s="220">
        <f t="shared" ref="EA56:FF56" si="80">SUM(EA23:EA38)</f>
        <v>5500.0000000000036</v>
      </c>
      <c r="EB56" s="220">
        <f t="shared" si="80"/>
        <v>5610.0000000000036</v>
      </c>
      <c r="EC56" s="220">
        <f t="shared" si="80"/>
        <v>5722.2000000000035</v>
      </c>
      <c r="ED56" s="220">
        <f t="shared" si="80"/>
        <v>5836.6440000000039</v>
      </c>
      <c r="EE56" s="220">
        <f t="shared" si="80"/>
        <v>5953.3768800000034</v>
      </c>
      <c r="EF56" s="220">
        <f t="shared" si="80"/>
        <v>0</v>
      </c>
      <c r="EG56" s="220">
        <f t="shared" si="80"/>
        <v>0</v>
      </c>
      <c r="EH56" s="220">
        <f t="shared" si="80"/>
        <v>0</v>
      </c>
      <c r="EI56" s="220">
        <f t="shared" si="80"/>
        <v>0</v>
      </c>
      <c r="EJ56" s="220">
        <f t="shared" si="80"/>
        <v>0</v>
      </c>
      <c r="EK56" s="220">
        <f t="shared" si="80"/>
        <v>0</v>
      </c>
      <c r="EL56" s="220">
        <f t="shared" si="80"/>
        <v>0</v>
      </c>
      <c r="EM56" s="220">
        <f t="shared" si="80"/>
        <v>0</v>
      </c>
      <c r="EN56" s="220">
        <f t="shared" si="80"/>
        <v>0</v>
      </c>
      <c r="EO56" s="220">
        <f t="shared" si="80"/>
        <v>0</v>
      </c>
      <c r="EP56" s="220">
        <f t="shared" si="80"/>
        <v>0</v>
      </c>
      <c r="EQ56" s="220">
        <f t="shared" si="80"/>
        <v>0</v>
      </c>
      <c r="ER56" s="220">
        <f t="shared" si="80"/>
        <v>0</v>
      </c>
      <c r="ES56" s="220">
        <f t="shared" si="80"/>
        <v>0</v>
      </c>
      <c r="ET56" s="220">
        <f t="shared" si="80"/>
        <v>0</v>
      </c>
      <c r="EU56" s="220">
        <f t="shared" si="80"/>
        <v>0</v>
      </c>
      <c r="EV56" s="220">
        <f t="shared" si="80"/>
        <v>0</v>
      </c>
      <c r="EW56" s="220">
        <f t="shared" si="80"/>
        <v>0</v>
      </c>
      <c r="EX56" s="220">
        <f t="shared" si="80"/>
        <v>0</v>
      </c>
      <c r="EY56" s="220">
        <f t="shared" si="80"/>
        <v>0</v>
      </c>
      <c r="EZ56" s="220">
        <f t="shared" si="80"/>
        <v>0</v>
      </c>
      <c r="FA56" s="220">
        <f t="shared" si="80"/>
        <v>0</v>
      </c>
      <c r="FB56" s="220">
        <f t="shared" si="80"/>
        <v>0</v>
      </c>
      <c r="FC56" s="220">
        <f t="shared" si="80"/>
        <v>0</v>
      </c>
      <c r="FD56" s="220">
        <f t="shared" si="80"/>
        <v>0</v>
      </c>
      <c r="FE56" s="220">
        <f t="shared" si="80"/>
        <v>0</v>
      </c>
      <c r="FF56" s="220">
        <f t="shared" si="80"/>
        <v>0</v>
      </c>
      <c r="FG56" s="220">
        <f t="shared" ref="FG56:GB56" si="81">SUM(FG23:FG38)</f>
        <v>0</v>
      </c>
      <c r="FH56" s="220">
        <f t="shared" si="81"/>
        <v>0</v>
      </c>
      <c r="FI56" s="220">
        <f t="shared" si="81"/>
        <v>0</v>
      </c>
      <c r="FJ56" s="220">
        <f t="shared" si="81"/>
        <v>0</v>
      </c>
      <c r="FK56" s="220">
        <f t="shared" si="81"/>
        <v>0</v>
      </c>
      <c r="FL56" s="220">
        <f t="shared" si="81"/>
        <v>0</v>
      </c>
      <c r="FM56" s="220">
        <f t="shared" si="81"/>
        <v>0</v>
      </c>
      <c r="FN56" s="220">
        <f t="shared" si="81"/>
        <v>0</v>
      </c>
      <c r="FO56" s="220">
        <f t="shared" si="81"/>
        <v>0</v>
      </c>
      <c r="FP56" s="220">
        <f t="shared" si="81"/>
        <v>0</v>
      </c>
      <c r="FQ56" s="220">
        <f t="shared" si="81"/>
        <v>0</v>
      </c>
      <c r="FR56" s="220">
        <f t="shared" si="81"/>
        <v>0</v>
      </c>
      <c r="FS56" s="220">
        <f t="shared" si="81"/>
        <v>0</v>
      </c>
      <c r="FT56" s="220">
        <f t="shared" si="81"/>
        <v>0</v>
      </c>
      <c r="FU56" s="220">
        <f t="shared" si="81"/>
        <v>0</v>
      </c>
      <c r="FV56" s="220">
        <f t="shared" si="81"/>
        <v>0</v>
      </c>
      <c r="FW56" s="220">
        <f t="shared" si="81"/>
        <v>0</v>
      </c>
      <c r="FX56" s="220">
        <f t="shared" si="81"/>
        <v>0</v>
      </c>
      <c r="FY56" s="220">
        <f t="shared" si="81"/>
        <v>0</v>
      </c>
      <c r="FZ56" s="220">
        <f t="shared" si="81"/>
        <v>0</v>
      </c>
      <c r="GA56" s="220">
        <f t="shared" si="81"/>
        <v>0</v>
      </c>
      <c r="GB56" s="221">
        <f t="shared" si="81"/>
        <v>0</v>
      </c>
    </row>
    <row r="57" spans="1:184" ht="17.25" customHeight="1" x14ac:dyDescent="0.5">
      <c r="B57" s="222"/>
      <c r="C57" s="223"/>
      <c r="D57" s="223"/>
      <c r="E57" s="223"/>
      <c r="F57" s="223"/>
      <c r="G57" s="223"/>
      <c r="H57" s="223"/>
      <c r="I57" s="223"/>
      <c r="J57" s="223"/>
      <c r="K57" s="223"/>
      <c r="L57" s="223"/>
      <c r="M57" s="223"/>
      <c r="N57" s="224"/>
      <c r="R57" s="150" t="s">
        <v>146</v>
      </c>
      <c r="S57" s="225">
        <f>S56/(1+'Allgemeine Unternehmensdaten'!$F$25)^S20</f>
        <v>4360</v>
      </c>
      <c r="T57" s="225">
        <f>T56/(1+'Allgemeine Unternehmensdaten'!$F$25)^T20</f>
        <v>4318.0769230769229</v>
      </c>
      <c r="U57" s="225">
        <f>U56/(1+'Allgemeine Unternehmensdaten'!$F$25)^U20</f>
        <v>4276.5569526627205</v>
      </c>
      <c r="V57" s="225">
        <f>V56/(1+'Allgemeine Unternehmensdaten'!$F$25)^V20</f>
        <v>4235.4362127332724</v>
      </c>
      <c r="W57" s="225">
        <f>W56/(1+'Allgemeine Unternehmensdaten'!$F$25)^W20</f>
        <v>4194.7108645339131</v>
      </c>
      <c r="X57" s="225">
        <f>X56/(1+'Allgemeine Unternehmensdaten'!$F$25)^X20</f>
        <v>0</v>
      </c>
      <c r="Y57" s="225">
        <f>Y56/(1+'Allgemeine Unternehmensdaten'!$F$25)^Y20</f>
        <v>0</v>
      </c>
      <c r="Z57" s="225">
        <f>Z56/(1+'Allgemeine Unternehmensdaten'!$F$25)^Z20</f>
        <v>0</v>
      </c>
      <c r="AA57" s="225">
        <f>AA56/(1+'Allgemeine Unternehmensdaten'!$F$25)^AA20</f>
        <v>0</v>
      </c>
      <c r="AB57" s="225">
        <f>AB56/(1+'Allgemeine Unternehmensdaten'!$F$25)^AB20</f>
        <v>0</v>
      </c>
      <c r="AC57" s="225">
        <f>AC56/(1+'Allgemeine Unternehmensdaten'!$F$25)^AC20</f>
        <v>0</v>
      </c>
      <c r="AD57" s="225">
        <f>AD56/(1+'Allgemeine Unternehmensdaten'!$F$25)^AD20</f>
        <v>0</v>
      </c>
      <c r="AE57" s="225">
        <f>AE56/(1+'Allgemeine Unternehmensdaten'!$F$25)^AE20</f>
        <v>0</v>
      </c>
      <c r="AF57" s="225">
        <f>AF56/(1+'Allgemeine Unternehmensdaten'!$F$25)^AF20</f>
        <v>0</v>
      </c>
      <c r="AG57" s="225">
        <f>AG56/(1+'Allgemeine Unternehmensdaten'!$F$25)^AG20</f>
        <v>0</v>
      </c>
      <c r="AH57" s="225">
        <f>AH56/(1+'Allgemeine Unternehmensdaten'!$F$25)^AH20</f>
        <v>0</v>
      </c>
      <c r="AI57" s="225">
        <f>AI56/(1+'Allgemeine Unternehmensdaten'!$F$25)^AI20</f>
        <v>0</v>
      </c>
      <c r="AJ57" s="225">
        <f>AJ56/(1+'Allgemeine Unternehmensdaten'!$F$25)^AJ20</f>
        <v>0</v>
      </c>
      <c r="AK57" s="225">
        <f>AK56/(1+'Allgemeine Unternehmensdaten'!$F$25)^AK20</f>
        <v>0</v>
      </c>
      <c r="AL57" s="225">
        <f>AL56/(1+'Allgemeine Unternehmensdaten'!$F$25)^AL20</f>
        <v>0</v>
      </c>
      <c r="AM57" s="225">
        <f>AM56/(1+'Allgemeine Unternehmensdaten'!$F$25)^AM20</f>
        <v>0</v>
      </c>
      <c r="AN57" s="225">
        <f>AN56/(1+'Allgemeine Unternehmensdaten'!$F$25)^AN20</f>
        <v>0</v>
      </c>
      <c r="AO57" s="225">
        <f>AO56/(1+'Allgemeine Unternehmensdaten'!$F$25)^AO20</f>
        <v>0</v>
      </c>
      <c r="AP57" s="225">
        <f>AP56/(1+'Allgemeine Unternehmensdaten'!$F$25)^AP20</f>
        <v>0</v>
      </c>
      <c r="AQ57" s="225">
        <f>AQ56/(1+'Allgemeine Unternehmensdaten'!$F$25)^AQ20</f>
        <v>0</v>
      </c>
      <c r="AR57" s="225">
        <f>AR56/(1+'Allgemeine Unternehmensdaten'!$F$25)^AR20</f>
        <v>0</v>
      </c>
      <c r="AS57" s="225">
        <f>AS56/(1+'Allgemeine Unternehmensdaten'!$F$25)^AS20</f>
        <v>0</v>
      </c>
      <c r="AT57" s="225">
        <f>AT56/(1+'Allgemeine Unternehmensdaten'!$F$25)^AT20</f>
        <v>0</v>
      </c>
      <c r="AU57" s="225">
        <f>AU56/(1+'Allgemeine Unternehmensdaten'!$F$25)^AU20</f>
        <v>0</v>
      </c>
      <c r="AV57" s="225">
        <f>AV56/(1+'Allgemeine Unternehmensdaten'!$F$25)^AV20</f>
        <v>0</v>
      </c>
      <c r="AW57" s="225">
        <f>AW56/(1+'Allgemeine Unternehmensdaten'!$F$25)^AW20</f>
        <v>0</v>
      </c>
      <c r="AX57" s="225">
        <f>AX56/(1+'Allgemeine Unternehmensdaten'!$F$25)^AX20</f>
        <v>0</v>
      </c>
      <c r="AY57" s="225">
        <f>AY56/(1+'Allgemeine Unternehmensdaten'!$F$25)^AY20</f>
        <v>0</v>
      </c>
      <c r="AZ57" s="225">
        <f>AZ56/(1+'Allgemeine Unternehmensdaten'!$F$25)^AZ20</f>
        <v>0</v>
      </c>
      <c r="BA57" s="225">
        <f>BA56/(1+'Allgemeine Unternehmensdaten'!$F$25)^BA20</f>
        <v>0</v>
      </c>
      <c r="BB57" s="225">
        <f>BB56/(1+'Allgemeine Unternehmensdaten'!$F$25)^BB20</f>
        <v>0</v>
      </c>
      <c r="BC57" s="225">
        <f>BC56/(1+'Allgemeine Unternehmensdaten'!$F$25)^BC20</f>
        <v>0</v>
      </c>
      <c r="BD57" s="225">
        <f>BD56/(1+'Allgemeine Unternehmensdaten'!$F$25)^BD20</f>
        <v>0</v>
      </c>
      <c r="BE57" s="225">
        <f>BE56/(1+'Allgemeine Unternehmensdaten'!$F$25)^BE20</f>
        <v>0</v>
      </c>
      <c r="BF57" s="225">
        <f>BF56/(1+'Allgemeine Unternehmensdaten'!$F$25)^BF20</f>
        <v>0</v>
      </c>
      <c r="BG57" s="225">
        <f>BG56/(1+'Allgemeine Unternehmensdaten'!$F$25)^BG20</f>
        <v>0</v>
      </c>
      <c r="BH57" s="225">
        <f>BH56/(1+'Allgemeine Unternehmensdaten'!$F$25)^BH20</f>
        <v>0</v>
      </c>
      <c r="BI57" s="225">
        <f>BI56/(1+'Allgemeine Unternehmensdaten'!$F$25)^BI20</f>
        <v>0</v>
      </c>
      <c r="BJ57" s="225">
        <f>BJ56/(1+'Allgemeine Unternehmensdaten'!$F$25)^BJ20</f>
        <v>0</v>
      </c>
      <c r="BK57" s="225">
        <f>BK56/(1+'Allgemeine Unternehmensdaten'!$F$25)^BK20</f>
        <v>0</v>
      </c>
      <c r="BL57" s="225">
        <f>BL56/(1+'Allgemeine Unternehmensdaten'!$F$25)^BL20</f>
        <v>0</v>
      </c>
      <c r="BM57" s="225">
        <f>BM56/(1+'Allgemeine Unternehmensdaten'!$F$25)^BM20</f>
        <v>0</v>
      </c>
      <c r="BN57" s="225">
        <f>BN56/(1+'Allgemeine Unternehmensdaten'!$F$25)^BN20</f>
        <v>0</v>
      </c>
      <c r="BO57" s="225">
        <f>BO56/(1+'Allgemeine Unternehmensdaten'!$F$25)^BO20</f>
        <v>0</v>
      </c>
      <c r="BP57" s="225">
        <f>BP56/(1+'Allgemeine Unternehmensdaten'!$F$25)^BP20</f>
        <v>0</v>
      </c>
      <c r="BQ57" s="225">
        <f>BQ56/(1+'Allgemeine Unternehmensdaten'!$F$25)^BQ20</f>
        <v>0</v>
      </c>
      <c r="BR57" s="225">
        <f>BR56/(1+'Allgemeine Unternehmensdaten'!$F$25)^BR20</f>
        <v>0</v>
      </c>
      <c r="BS57" s="225">
        <f>BS56/(1+'Allgemeine Unternehmensdaten'!$F$25)^BS20</f>
        <v>0</v>
      </c>
      <c r="BT57" s="226">
        <f>BT56/(1+'Allgemeine Unternehmensdaten'!$F$25)^BT20</f>
        <v>0</v>
      </c>
      <c r="BV57" s="150" t="s">
        <v>146</v>
      </c>
      <c r="BW57" s="151">
        <f>BW56/(1+'Allgemeine Unternehmensdaten'!$G$25)^BW20</f>
        <v>3096</v>
      </c>
      <c r="BX57" s="151">
        <f>BX56/(1+'Allgemeine Unternehmensdaten'!$G$25)^BX20</f>
        <v>3037.5849056603774</v>
      </c>
      <c r="BY57" s="151">
        <f>BY56/(1+'Allgemeine Unternehmensdaten'!$G$25)^BY20</f>
        <v>2980.2719829120683</v>
      </c>
      <c r="BZ57" s="151">
        <f>BZ56/(1+'Allgemeine Unternehmensdaten'!$G$25)^BZ20</f>
        <v>2924.0404360646703</v>
      </c>
      <c r="CA57" s="151">
        <f>CA56/(1+'Allgemeine Unternehmensdaten'!$G$25)^CA20</f>
        <v>2868.8698617992995</v>
      </c>
      <c r="CB57" s="151">
        <f>CB56/(1+'Allgemeine Unternehmensdaten'!$G$25)^CB20</f>
        <v>0</v>
      </c>
      <c r="CC57" s="151">
        <f>CC56/(1+'Allgemeine Unternehmensdaten'!$G$25)^CC20</f>
        <v>0</v>
      </c>
      <c r="CD57" s="151">
        <f>CD56/(1+'Allgemeine Unternehmensdaten'!$G$25)^CD20</f>
        <v>0</v>
      </c>
      <c r="CE57" s="151">
        <f>CE56/(1+'Allgemeine Unternehmensdaten'!$G$25)^CE20</f>
        <v>0</v>
      </c>
      <c r="CF57" s="151">
        <f>CF56/(1+'Allgemeine Unternehmensdaten'!$G$25)^CF20</f>
        <v>0</v>
      </c>
      <c r="CG57" s="151">
        <f>CG56/(1+'Allgemeine Unternehmensdaten'!$G$25)^CG20</f>
        <v>0</v>
      </c>
      <c r="CH57" s="151">
        <f>CH56/(1+'Allgemeine Unternehmensdaten'!$G$25)^CH20</f>
        <v>0</v>
      </c>
      <c r="CI57" s="151">
        <f>CI56/(1+'Allgemeine Unternehmensdaten'!$G$25)^CI20</f>
        <v>0</v>
      </c>
      <c r="CJ57" s="151">
        <f>CJ56/(1+'Allgemeine Unternehmensdaten'!$G$25)^CJ20</f>
        <v>0</v>
      </c>
      <c r="CK57" s="151">
        <f>CK56/(1+'Allgemeine Unternehmensdaten'!$G$25)^CK20</f>
        <v>0</v>
      </c>
      <c r="CL57" s="151">
        <f>CL56/(1+'Allgemeine Unternehmensdaten'!$G$25)^CL20</f>
        <v>0</v>
      </c>
      <c r="CM57" s="151">
        <f>CM56/(1+'Allgemeine Unternehmensdaten'!$G$25)^CM20</f>
        <v>0</v>
      </c>
      <c r="CN57" s="151">
        <f>CN56/(1+'Allgemeine Unternehmensdaten'!$G$25)^CN20</f>
        <v>0</v>
      </c>
      <c r="CO57" s="151">
        <f>CO56/(1+'Allgemeine Unternehmensdaten'!$G$25)^CO20</f>
        <v>0</v>
      </c>
      <c r="CP57" s="151">
        <f>CP56/(1+'Allgemeine Unternehmensdaten'!$G$25)^CP20</f>
        <v>0</v>
      </c>
      <c r="CQ57" s="151">
        <f>CQ56/(1+'Allgemeine Unternehmensdaten'!$G$25)^CQ20</f>
        <v>0</v>
      </c>
      <c r="CR57" s="151">
        <f>CR56/(1+'Allgemeine Unternehmensdaten'!$G$25)^CR20</f>
        <v>0</v>
      </c>
      <c r="CS57" s="151">
        <f>CS56/(1+'Allgemeine Unternehmensdaten'!$G$25)^CS20</f>
        <v>0</v>
      </c>
      <c r="CT57" s="151">
        <f>CT56/(1+'Allgemeine Unternehmensdaten'!$G$25)^CT20</f>
        <v>0</v>
      </c>
      <c r="CU57" s="151">
        <f>CU56/(1+'Allgemeine Unternehmensdaten'!$G$25)^CU20</f>
        <v>0</v>
      </c>
      <c r="CV57" s="151">
        <f>CV56/(1+'Allgemeine Unternehmensdaten'!$G$25)^CV20</f>
        <v>0</v>
      </c>
      <c r="CW57" s="151">
        <f>CW56/(1+'Allgemeine Unternehmensdaten'!$G$25)^CW20</f>
        <v>0</v>
      </c>
      <c r="CX57" s="151">
        <f>CX56/(1+'Allgemeine Unternehmensdaten'!$G$25)^CX20</f>
        <v>0</v>
      </c>
      <c r="CY57" s="151">
        <f>CY56/(1+'Allgemeine Unternehmensdaten'!$G$25)^CY20</f>
        <v>0</v>
      </c>
      <c r="CZ57" s="151">
        <f>CZ56/(1+'Allgemeine Unternehmensdaten'!$G$25)^CZ20</f>
        <v>0</v>
      </c>
      <c r="DA57" s="151">
        <f>DA56/(1+'Allgemeine Unternehmensdaten'!$G$25)^DA20</f>
        <v>0</v>
      </c>
      <c r="DB57" s="151">
        <f>DB56/(1+'Allgemeine Unternehmensdaten'!$G$25)^DB20</f>
        <v>0</v>
      </c>
      <c r="DC57" s="151">
        <f>DC56/(1+'Allgemeine Unternehmensdaten'!$G$25)^DC20</f>
        <v>0</v>
      </c>
      <c r="DD57" s="151">
        <f>DD56/(1+'Allgemeine Unternehmensdaten'!$G$25)^DD20</f>
        <v>0</v>
      </c>
      <c r="DE57" s="151">
        <f>DE56/(1+'Allgemeine Unternehmensdaten'!$G$25)^DE20</f>
        <v>0</v>
      </c>
      <c r="DF57" s="151">
        <f>DF56/(1+'Allgemeine Unternehmensdaten'!$G$25)^DF20</f>
        <v>0</v>
      </c>
      <c r="DG57" s="151">
        <f>DG56/(1+'Allgemeine Unternehmensdaten'!$G$25)^DG20</f>
        <v>0</v>
      </c>
      <c r="DH57" s="151">
        <f>DH56/(1+'Allgemeine Unternehmensdaten'!$G$25)^DH20</f>
        <v>0</v>
      </c>
      <c r="DI57" s="151">
        <f>DI56/(1+'Allgemeine Unternehmensdaten'!$G$25)^DI20</f>
        <v>0</v>
      </c>
      <c r="DJ57" s="151">
        <f>DJ56/(1+'Allgemeine Unternehmensdaten'!$G$25)^DJ20</f>
        <v>0</v>
      </c>
      <c r="DK57" s="151">
        <f>DK56/(1+'Allgemeine Unternehmensdaten'!$G$25)^DK20</f>
        <v>0</v>
      </c>
      <c r="DL57" s="151">
        <f>DL56/(1+'Allgemeine Unternehmensdaten'!$G$25)^DL20</f>
        <v>0</v>
      </c>
      <c r="DM57" s="151">
        <f>DM56/(1+'Allgemeine Unternehmensdaten'!$G$25)^DM20</f>
        <v>0</v>
      </c>
      <c r="DN57" s="151">
        <f>DN56/(1+'Allgemeine Unternehmensdaten'!$G$25)^DN20</f>
        <v>0</v>
      </c>
      <c r="DO57" s="151">
        <f>DO56/(1+'Allgemeine Unternehmensdaten'!$G$25)^DO20</f>
        <v>0</v>
      </c>
      <c r="DP57" s="151">
        <f>DP56/(1+'Allgemeine Unternehmensdaten'!$G$25)^DP20</f>
        <v>0</v>
      </c>
      <c r="DQ57" s="151">
        <f>DQ56/(1+'Allgemeine Unternehmensdaten'!$G$25)^DQ20</f>
        <v>0</v>
      </c>
      <c r="DR57" s="151">
        <f>DR56/(1+'Allgemeine Unternehmensdaten'!$G$25)^DR20</f>
        <v>0</v>
      </c>
      <c r="DS57" s="151">
        <f>DS56/(1+'Allgemeine Unternehmensdaten'!$G$25)^DS20</f>
        <v>0</v>
      </c>
      <c r="DT57" s="151">
        <f>DT56/(1+'Allgemeine Unternehmensdaten'!$G$25)^DT20</f>
        <v>0</v>
      </c>
      <c r="DU57" s="151">
        <f>DU56/(1+'Allgemeine Unternehmensdaten'!$G$25)^DU20</f>
        <v>0</v>
      </c>
      <c r="DV57" s="151">
        <f>DV56/(1+'Allgemeine Unternehmensdaten'!$G$25)^DV20</f>
        <v>0</v>
      </c>
      <c r="DW57" s="151">
        <f>DW56/(1+'Allgemeine Unternehmensdaten'!$G$25)^DW20</f>
        <v>0</v>
      </c>
      <c r="DX57" s="227">
        <f>DX56/(1+'Allgemeine Unternehmensdaten'!$G$25)^DX20</f>
        <v>0</v>
      </c>
      <c r="DZ57" s="150" t="s">
        <v>146</v>
      </c>
      <c r="EA57" s="151">
        <f>EA56/(1+'Allgemeine Unternehmensdaten'!$E$25)^EA20</f>
        <v>5500.0000000000036</v>
      </c>
      <c r="EB57" s="151">
        <f>EB56/(1+'Allgemeine Unternehmensdaten'!$E$25)^EB20</f>
        <v>5446.6019417475763</v>
      </c>
      <c r="EC57" s="151">
        <f>EC56/(1+'Allgemeine Unternehmensdaten'!$E$25)^EC20</f>
        <v>5393.7223112451729</v>
      </c>
      <c r="ED57" s="151">
        <f>ED56/(1+'Allgemeine Unternehmensdaten'!$E$25)^ED20</f>
        <v>5341.3560752136664</v>
      </c>
      <c r="EE57" s="151">
        <f>EE56/(1+'Allgemeine Unternehmensdaten'!$E$25)^EE20</f>
        <v>5289.498249240718</v>
      </c>
      <c r="EF57" s="151">
        <f>EF56/(1+'Allgemeine Unternehmensdaten'!$E$25)^EF20</f>
        <v>0</v>
      </c>
      <c r="EG57" s="151">
        <f>EG56/(1+'Allgemeine Unternehmensdaten'!$E$25)^EG20</f>
        <v>0</v>
      </c>
      <c r="EH57" s="151">
        <f>EH56/(1+'Allgemeine Unternehmensdaten'!$E$25)^EH20</f>
        <v>0</v>
      </c>
      <c r="EI57" s="151">
        <f>EI56/(1+'Allgemeine Unternehmensdaten'!$E$25)^EI20</f>
        <v>0</v>
      </c>
      <c r="EJ57" s="151">
        <f>EJ56/(1+'Allgemeine Unternehmensdaten'!$E$25)^EJ20</f>
        <v>0</v>
      </c>
      <c r="EK57" s="151">
        <f>EK56/(1+'Allgemeine Unternehmensdaten'!$E$25)^EK20</f>
        <v>0</v>
      </c>
      <c r="EL57" s="151">
        <f>EL56/(1+'Allgemeine Unternehmensdaten'!$E$25)^EL20</f>
        <v>0</v>
      </c>
      <c r="EM57" s="151">
        <f>EM56/(1+'Allgemeine Unternehmensdaten'!$E$25)^EM20</f>
        <v>0</v>
      </c>
      <c r="EN57" s="151">
        <f>EN56/(1+'Allgemeine Unternehmensdaten'!$E$25)^EN20</f>
        <v>0</v>
      </c>
      <c r="EO57" s="151">
        <f>EO56/(1+'Allgemeine Unternehmensdaten'!$E$25)^EO20</f>
        <v>0</v>
      </c>
      <c r="EP57" s="151">
        <f>EP56/(1+'Allgemeine Unternehmensdaten'!$E$25)^EP20</f>
        <v>0</v>
      </c>
      <c r="EQ57" s="151">
        <f>EQ56/(1+'Allgemeine Unternehmensdaten'!$E$25)^EQ20</f>
        <v>0</v>
      </c>
      <c r="ER57" s="151">
        <f>ER56/(1+'Allgemeine Unternehmensdaten'!$E$25)^ER20</f>
        <v>0</v>
      </c>
      <c r="ES57" s="151">
        <f>ES56/(1+'Allgemeine Unternehmensdaten'!$E$25)^ES20</f>
        <v>0</v>
      </c>
      <c r="ET57" s="151">
        <f>ET56/(1+'Allgemeine Unternehmensdaten'!$E$25)^ET20</f>
        <v>0</v>
      </c>
      <c r="EU57" s="151">
        <f>EU56/(1+'Allgemeine Unternehmensdaten'!$E$25)^EU20</f>
        <v>0</v>
      </c>
      <c r="EV57" s="151">
        <f>EV56/(1+'Allgemeine Unternehmensdaten'!$E$25)^EV20</f>
        <v>0</v>
      </c>
      <c r="EW57" s="151">
        <f>EW56/(1+'Allgemeine Unternehmensdaten'!$E$25)^EW20</f>
        <v>0</v>
      </c>
      <c r="EX57" s="151">
        <f>EX56/(1+'Allgemeine Unternehmensdaten'!$E$25)^EX20</f>
        <v>0</v>
      </c>
      <c r="EY57" s="151">
        <f>EY56/(1+'Allgemeine Unternehmensdaten'!$E$25)^EY20</f>
        <v>0</v>
      </c>
      <c r="EZ57" s="151">
        <f>EZ56/(1+'Allgemeine Unternehmensdaten'!$E$25)^EZ20</f>
        <v>0</v>
      </c>
      <c r="FA57" s="151">
        <f>FA56/(1+'Allgemeine Unternehmensdaten'!$E$25)^FA20</f>
        <v>0</v>
      </c>
      <c r="FB57" s="151">
        <f>FB56/(1+'Allgemeine Unternehmensdaten'!$E$25)^FB20</f>
        <v>0</v>
      </c>
      <c r="FC57" s="151">
        <f>FC56/(1+'Allgemeine Unternehmensdaten'!$E$25)^FC20</f>
        <v>0</v>
      </c>
      <c r="FD57" s="151">
        <f>FD56/(1+'Allgemeine Unternehmensdaten'!$E$25)^FD20</f>
        <v>0</v>
      </c>
      <c r="FE57" s="151">
        <f>FE56/(1+'Allgemeine Unternehmensdaten'!$E$25)^FE20</f>
        <v>0</v>
      </c>
      <c r="FF57" s="151">
        <f>FF56/(1+'Allgemeine Unternehmensdaten'!$E$25)^FF20</f>
        <v>0</v>
      </c>
      <c r="FG57" s="151">
        <f>FG56/(1+'Allgemeine Unternehmensdaten'!$E$25)^FG20</f>
        <v>0</v>
      </c>
      <c r="FH57" s="151">
        <f>FH56/(1+'Allgemeine Unternehmensdaten'!$E$25)^FH20</f>
        <v>0</v>
      </c>
      <c r="FI57" s="151">
        <f>FI56/(1+'Allgemeine Unternehmensdaten'!$E$25)^FI20</f>
        <v>0</v>
      </c>
      <c r="FJ57" s="151">
        <f>FJ56/(1+'Allgemeine Unternehmensdaten'!$E$25)^FJ20</f>
        <v>0</v>
      </c>
      <c r="FK57" s="151">
        <f>FK56/(1+'Allgemeine Unternehmensdaten'!$E$25)^FK20</f>
        <v>0</v>
      </c>
      <c r="FL57" s="151">
        <f>FL56/(1+'Allgemeine Unternehmensdaten'!$E$25)^FL20</f>
        <v>0</v>
      </c>
      <c r="FM57" s="151">
        <f>FM56/(1+'Allgemeine Unternehmensdaten'!$E$25)^FM20</f>
        <v>0</v>
      </c>
      <c r="FN57" s="151">
        <f>FN56/(1+'Allgemeine Unternehmensdaten'!$E$25)^FN20</f>
        <v>0</v>
      </c>
      <c r="FO57" s="151">
        <f>FO56/(1+'Allgemeine Unternehmensdaten'!$E$25)^FO20</f>
        <v>0</v>
      </c>
      <c r="FP57" s="151">
        <f>FP56/(1+'Allgemeine Unternehmensdaten'!$E$25)^FP20</f>
        <v>0</v>
      </c>
      <c r="FQ57" s="151">
        <f>FQ56/(1+'Allgemeine Unternehmensdaten'!$E$25)^FQ20</f>
        <v>0</v>
      </c>
      <c r="FR57" s="151">
        <f>FR56/(1+'Allgemeine Unternehmensdaten'!$E$25)^FR20</f>
        <v>0</v>
      </c>
      <c r="FS57" s="151">
        <f>FS56/(1+'Allgemeine Unternehmensdaten'!$E$25)^FS20</f>
        <v>0</v>
      </c>
      <c r="FT57" s="151">
        <f>FT56/(1+'Allgemeine Unternehmensdaten'!$E$25)^FT20</f>
        <v>0</v>
      </c>
      <c r="FU57" s="151">
        <f>FU56/(1+'Allgemeine Unternehmensdaten'!$E$25)^FU20</f>
        <v>0</v>
      </c>
      <c r="FV57" s="151">
        <f>FV56/(1+'Allgemeine Unternehmensdaten'!$E$25)^FV20</f>
        <v>0</v>
      </c>
      <c r="FW57" s="151">
        <f>FW56/(1+'Allgemeine Unternehmensdaten'!$E$25)^FW20</f>
        <v>0</v>
      </c>
      <c r="FX57" s="151">
        <f>FX56/(1+'Allgemeine Unternehmensdaten'!$E$25)^FX20</f>
        <v>0</v>
      </c>
      <c r="FY57" s="151">
        <f>FY56/(1+'Allgemeine Unternehmensdaten'!$E$25)^FY20</f>
        <v>0</v>
      </c>
      <c r="FZ57" s="151">
        <f>FZ56/(1+'Allgemeine Unternehmensdaten'!$E$25)^FZ20</f>
        <v>0</v>
      </c>
      <c r="GA57" s="151">
        <f>GA56/(1+'Allgemeine Unternehmensdaten'!$E$25)^GA20</f>
        <v>0</v>
      </c>
      <c r="GB57" s="227">
        <f>GB56/(1+'Allgemeine Unternehmensdaten'!$E$25)^GB20</f>
        <v>0</v>
      </c>
    </row>
    <row r="58" spans="1:184" ht="22.5" customHeight="1" x14ac:dyDescent="0.5">
      <c r="B58" s="18"/>
      <c r="C58" s="19"/>
      <c r="D58" s="19"/>
      <c r="E58" s="19"/>
      <c r="F58" s="19"/>
      <c r="G58" s="19"/>
      <c r="H58" s="19"/>
      <c r="I58" s="19"/>
      <c r="J58" s="19"/>
      <c r="K58" s="19"/>
      <c r="L58" s="19"/>
      <c r="M58" s="19"/>
      <c r="N58" s="20"/>
      <c r="R58" s="228" t="s">
        <v>147</v>
      </c>
      <c r="S58" s="229">
        <f t="shared" ref="S58:AX58" si="82">SUM(S39:S55)</f>
        <v>5000</v>
      </c>
      <c r="T58" s="229">
        <f t="shared" si="82"/>
        <v>0</v>
      </c>
      <c r="U58" s="229">
        <f t="shared" si="82"/>
        <v>0</v>
      </c>
      <c r="V58" s="229">
        <f t="shared" si="82"/>
        <v>0</v>
      </c>
      <c r="W58" s="229">
        <f t="shared" si="82"/>
        <v>0</v>
      </c>
      <c r="X58" s="229">
        <f t="shared" si="82"/>
        <v>0</v>
      </c>
      <c r="Y58" s="229">
        <f t="shared" si="82"/>
        <v>0</v>
      </c>
      <c r="Z58" s="229">
        <f t="shared" si="82"/>
        <v>0</v>
      </c>
      <c r="AA58" s="229">
        <f t="shared" si="82"/>
        <v>0</v>
      </c>
      <c r="AB58" s="229">
        <f t="shared" si="82"/>
        <v>0</v>
      </c>
      <c r="AC58" s="229">
        <f t="shared" si="82"/>
        <v>0</v>
      </c>
      <c r="AD58" s="229">
        <f t="shared" si="82"/>
        <v>0</v>
      </c>
      <c r="AE58" s="229">
        <f t="shared" si="82"/>
        <v>0</v>
      </c>
      <c r="AF58" s="229">
        <f t="shared" si="82"/>
        <v>0</v>
      </c>
      <c r="AG58" s="229">
        <f t="shared" si="82"/>
        <v>0</v>
      </c>
      <c r="AH58" s="229">
        <f t="shared" si="82"/>
        <v>0</v>
      </c>
      <c r="AI58" s="229">
        <f t="shared" si="82"/>
        <v>0</v>
      </c>
      <c r="AJ58" s="229">
        <f t="shared" si="82"/>
        <v>0</v>
      </c>
      <c r="AK58" s="229">
        <f t="shared" si="82"/>
        <v>0</v>
      </c>
      <c r="AL58" s="229">
        <f t="shared" si="82"/>
        <v>0</v>
      </c>
      <c r="AM58" s="229">
        <f t="shared" si="82"/>
        <v>0</v>
      </c>
      <c r="AN58" s="229">
        <f t="shared" si="82"/>
        <v>0</v>
      </c>
      <c r="AO58" s="229">
        <f t="shared" si="82"/>
        <v>0</v>
      </c>
      <c r="AP58" s="229">
        <f t="shared" si="82"/>
        <v>0</v>
      </c>
      <c r="AQ58" s="229">
        <f t="shared" si="82"/>
        <v>0</v>
      </c>
      <c r="AR58" s="229">
        <f t="shared" si="82"/>
        <v>0</v>
      </c>
      <c r="AS58" s="229">
        <f t="shared" si="82"/>
        <v>0</v>
      </c>
      <c r="AT58" s="229">
        <f t="shared" si="82"/>
        <v>0</v>
      </c>
      <c r="AU58" s="229">
        <f t="shared" si="82"/>
        <v>0</v>
      </c>
      <c r="AV58" s="229">
        <f t="shared" si="82"/>
        <v>0</v>
      </c>
      <c r="AW58" s="229">
        <f t="shared" si="82"/>
        <v>0</v>
      </c>
      <c r="AX58" s="229">
        <f t="shared" si="82"/>
        <v>0</v>
      </c>
      <c r="AY58" s="229">
        <f t="shared" ref="AY58:BT58" si="83">SUM(AY39:AY55)</f>
        <v>0</v>
      </c>
      <c r="AZ58" s="229">
        <f t="shared" si="83"/>
        <v>0</v>
      </c>
      <c r="BA58" s="229">
        <f t="shared" si="83"/>
        <v>0</v>
      </c>
      <c r="BB58" s="229">
        <f t="shared" si="83"/>
        <v>0</v>
      </c>
      <c r="BC58" s="229">
        <f t="shared" si="83"/>
        <v>0</v>
      </c>
      <c r="BD58" s="229">
        <f t="shared" si="83"/>
        <v>0</v>
      </c>
      <c r="BE58" s="229">
        <f t="shared" si="83"/>
        <v>0</v>
      </c>
      <c r="BF58" s="229">
        <f t="shared" si="83"/>
        <v>0</v>
      </c>
      <c r="BG58" s="229">
        <f t="shared" si="83"/>
        <v>0</v>
      </c>
      <c r="BH58" s="229">
        <f t="shared" si="83"/>
        <v>0</v>
      </c>
      <c r="BI58" s="229">
        <f t="shared" si="83"/>
        <v>0</v>
      </c>
      <c r="BJ58" s="229">
        <f t="shared" si="83"/>
        <v>0</v>
      </c>
      <c r="BK58" s="229">
        <f t="shared" si="83"/>
        <v>0</v>
      </c>
      <c r="BL58" s="229">
        <f t="shared" si="83"/>
        <v>0</v>
      </c>
      <c r="BM58" s="229">
        <f t="shared" si="83"/>
        <v>0</v>
      </c>
      <c r="BN58" s="229">
        <f t="shared" si="83"/>
        <v>0</v>
      </c>
      <c r="BO58" s="229">
        <f t="shared" si="83"/>
        <v>0</v>
      </c>
      <c r="BP58" s="229">
        <f t="shared" si="83"/>
        <v>0</v>
      </c>
      <c r="BQ58" s="229">
        <f t="shared" si="83"/>
        <v>0</v>
      </c>
      <c r="BR58" s="229">
        <f t="shared" si="83"/>
        <v>0</v>
      </c>
      <c r="BS58" s="229">
        <f t="shared" si="83"/>
        <v>0</v>
      </c>
      <c r="BT58" s="230">
        <f t="shared" si="83"/>
        <v>0</v>
      </c>
      <c r="BV58" s="228" t="s">
        <v>147</v>
      </c>
      <c r="BW58" s="200">
        <f t="shared" ref="BW58:DB58" si="84">SUM(BW39:BW55)</f>
        <v>6500</v>
      </c>
      <c r="BX58" s="200">
        <f t="shared" si="84"/>
        <v>0</v>
      </c>
      <c r="BY58" s="200">
        <f t="shared" si="84"/>
        <v>0</v>
      </c>
      <c r="BZ58" s="200">
        <f t="shared" si="84"/>
        <v>0</v>
      </c>
      <c r="CA58" s="200">
        <f t="shared" si="84"/>
        <v>0</v>
      </c>
      <c r="CB58" s="200">
        <f t="shared" si="84"/>
        <v>0</v>
      </c>
      <c r="CC58" s="200">
        <f t="shared" si="84"/>
        <v>0</v>
      </c>
      <c r="CD58" s="200">
        <f t="shared" si="84"/>
        <v>0</v>
      </c>
      <c r="CE58" s="200">
        <f t="shared" si="84"/>
        <v>0</v>
      </c>
      <c r="CF58" s="200">
        <f t="shared" si="84"/>
        <v>0</v>
      </c>
      <c r="CG58" s="200">
        <f t="shared" si="84"/>
        <v>0</v>
      </c>
      <c r="CH58" s="200">
        <f t="shared" si="84"/>
        <v>0</v>
      </c>
      <c r="CI58" s="200">
        <f t="shared" si="84"/>
        <v>0</v>
      </c>
      <c r="CJ58" s="200">
        <f t="shared" si="84"/>
        <v>0</v>
      </c>
      <c r="CK58" s="200">
        <f t="shared" si="84"/>
        <v>0</v>
      </c>
      <c r="CL58" s="200">
        <f t="shared" si="84"/>
        <v>0</v>
      </c>
      <c r="CM58" s="200">
        <f t="shared" si="84"/>
        <v>0</v>
      </c>
      <c r="CN58" s="200">
        <f t="shared" si="84"/>
        <v>0</v>
      </c>
      <c r="CO58" s="200">
        <f t="shared" si="84"/>
        <v>0</v>
      </c>
      <c r="CP58" s="200">
        <f t="shared" si="84"/>
        <v>0</v>
      </c>
      <c r="CQ58" s="200">
        <f t="shared" si="84"/>
        <v>0</v>
      </c>
      <c r="CR58" s="200">
        <f t="shared" si="84"/>
        <v>0</v>
      </c>
      <c r="CS58" s="200">
        <f t="shared" si="84"/>
        <v>0</v>
      </c>
      <c r="CT58" s="200">
        <f t="shared" si="84"/>
        <v>0</v>
      </c>
      <c r="CU58" s="200">
        <f t="shared" si="84"/>
        <v>0</v>
      </c>
      <c r="CV58" s="200">
        <f t="shared" si="84"/>
        <v>0</v>
      </c>
      <c r="CW58" s="200">
        <f t="shared" si="84"/>
        <v>0</v>
      </c>
      <c r="CX58" s="200">
        <f t="shared" si="84"/>
        <v>0</v>
      </c>
      <c r="CY58" s="200">
        <f t="shared" si="84"/>
        <v>0</v>
      </c>
      <c r="CZ58" s="200">
        <f t="shared" si="84"/>
        <v>0</v>
      </c>
      <c r="DA58" s="200">
        <f t="shared" si="84"/>
        <v>0</v>
      </c>
      <c r="DB58" s="200">
        <f t="shared" si="84"/>
        <v>0</v>
      </c>
      <c r="DC58" s="200">
        <f t="shared" ref="DC58:DX58" si="85">SUM(DC39:DC55)</f>
        <v>0</v>
      </c>
      <c r="DD58" s="200">
        <f t="shared" si="85"/>
        <v>0</v>
      </c>
      <c r="DE58" s="200">
        <f t="shared" si="85"/>
        <v>0</v>
      </c>
      <c r="DF58" s="200">
        <f t="shared" si="85"/>
        <v>0</v>
      </c>
      <c r="DG58" s="200">
        <f t="shared" si="85"/>
        <v>0</v>
      </c>
      <c r="DH58" s="200">
        <f t="shared" si="85"/>
        <v>0</v>
      </c>
      <c r="DI58" s="200">
        <f t="shared" si="85"/>
        <v>0</v>
      </c>
      <c r="DJ58" s="200">
        <f t="shared" si="85"/>
        <v>0</v>
      </c>
      <c r="DK58" s="200">
        <f t="shared" si="85"/>
        <v>0</v>
      </c>
      <c r="DL58" s="200">
        <f t="shared" si="85"/>
        <v>0</v>
      </c>
      <c r="DM58" s="200">
        <f t="shared" si="85"/>
        <v>0</v>
      </c>
      <c r="DN58" s="200">
        <f t="shared" si="85"/>
        <v>0</v>
      </c>
      <c r="DO58" s="200">
        <f t="shared" si="85"/>
        <v>0</v>
      </c>
      <c r="DP58" s="200">
        <f t="shared" si="85"/>
        <v>0</v>
      </c>
      <c r="DQ58" s="200">
        <f t="shared" si="85"/>
        <v>0</v>
      </c>
      <c r="DR58" s="200">
        <f t="shared" si="85"/>
        <v>0</v>
      </c>
      <c r="DS58" s="200">
        <f t="shared" si="85"/>
        <v>0</v>
      </c>
      <c r="DT58" s="200">
        <f t="shared" si="85"/>
        <v>0</v>
      </c>
      <c r="DU58" s="200">
        <f t="shared" si="85"/>
        <v>0</v>
      </c>
      <c r="DV58" s="200">
        <f t="shared" si="85"/>
        <v>0</v>
      </c>
      <c r="DW58" s="200">
        <f t="shared" si="85"/>
        <v>0</v>
      </c>
      <c r="DX58" s="231">
        <f t="shared" si="85"/>
        <v>0</v>
      </c>
      <c r="DZ58" s="228" t="s">
        <v>147</v>
      </c>
      <c r="EA58" s="200">
        <f t="shared" ref="EA58:FF58" si="86">SUM(EA39:EA55)</f>
        <v>3750</v>
      </c>
      <c r="EB58" s="200">
        <f t="shared" si="86"/>
        <v>0</v>
      </c>
      <c r="EC58" s="200">
        <f t="shared" si="86"/>
        <v>0</v>
      </c>
      <c r="ED58" s="200">
        <f t="shared" si="86"/>
        <v>0</v>
      </c>
      <c r="EE58" s="200">
        <f t="shared" si="86"/>
        <v>0</v>
      </c>
      <c r="EF58" s="200">
        <f t="shared" si="86"/>
        <v>0</v>
      </c>
      <c r="EG58" s="200">
        <f t="shared" si="86"/>
        <v>0</v>
      </c>
      <c r="EH58" s="200">
        <f t="shared" si="86"/>
        <v>0</v>
      </c>
      <c r="EI58" s="200">
        <f t="shared" si="86"/>
        <v>0</v>
      </c>
      <c r="EJ58" s="200">
        <f t="shared" si="86"/>
        <v>0</v>
      </c>
      <c r="EK58" s="200">
        <f t="shared" si="86"/>
        <v>0</v>
      </c>
      <c r="EL58" s="200">
        <f t="shared" si="86"/>
        <v>0</v>
      </c>
      <c r="EM58" s="200">
        <f t="shared" si="86"/>
        <v>0</v>
      </c>
      <c r="EN58" s="200">
        <f t="shared" si="86"/>
        <v>0</v>
      </c>
      <c r="EO58" s="200">
        <f t="shared" si="86"/>
        <v>0</v>
      </c>
      <c r="EP58" s="200">
        <f t="shared" si="86"/>
        <v>0</v>
      </c>
      <c r="EQ58" s="200">
        <f t="shared" si="86"/>
        <v>0</v>
      </c>
      <c r="ER58" s="200">
        <f t="shared" si="86"/>
        <v>0</v>
      </c>
      <c r="ES58" s="200">
        <f t="shared" si="86"/>
        <v>0</v>
      </c>
      <c r="ET58" s="200">
        <f t="shared" si="86"/>
        <v>0</v>
      </c>
      <c r="EU58" s="200">
        <f t="shared" si="86"/>
        <v>0</v>
      </c>
      <c r="EV58" s="200">
        <f t="shared" si="86"/>
        <v>0</v>
      </c>
      <c r="EW58" s="200">
        <f t="shared" si="86"/>
        <v>0</v>
      </c>
      <c r="EX58" s="200">
        <f t="shared" si="86"/>
        <v>0</v>
      </c>
      <c r="EY58" s="200">
        <f t="shared" si="86"/>
        <v>0</v>
      </c>
      <c r="EZ58" s="200">
        <f t="shared" si="86"/>
        <v>0</v>
      </c>
      <c r="FA58" s="200">
        <f t="shared" si="86"/>
        <v>0</v>
      </c>
      <c r="FB58" s="200">
        <f t="shared" si="86"/>
        <v>0</v>
      </c>
      <c r="FC58" s="200">
        <f t="shared" si="86"/>
        <v>0</v>
      </c>
      <c r="FD58" s="200">
        <f t="shared" si="86"/>
        <v>0</v>
      </c>
      <c r="FE58" s="200">
        <f t="shared" si="86"/>
        <v>0</v>
      </c>
      <c r="FF58" s="200">
        <f t="shared" si="86"/>
        <v>0</v>
      </c>
      <c r="FG58" s="200">
        <f t="shared" ref="FG58:GB58" si="87">SUM(FG39:FG55)</f>
        <v>0</v>
      </c>
      <c r="FH58" s="200">
        <f t="shared" si="87"/>
        <v>0</v>
      </c>
      <c r="FI58" s="200">
        <f t="shared" si="87"/>
        <v>0</v>
      </c>
      <c r="FJ58" s="200">
        <f t="shared" si="87"/>
        <v>0</v>
      </c>
      <c r="FK58" s="200">
        <f t="shared" si="87"/>
        <v>0</v>
      </c>
      <c r="FL58" s="200">
        <f t="shared" si="87"/>
        <v>0</v>
      </c>
      <c r="FM58" s="200">
        <f t="shared" si="87"/>
        <v>0</v>
      </c>
      <c r="FN58" s="200">
        <f t="shared" si="87"/>
        <v>0</v>
      </c>
      <c r="FO58" s="200">
        <f t="shared" si="87"/>
        <v>0</v>
      </c>
      <c r="FP58" s="200">
        <f t="shared" si="87"/>
        <v>0</v>
      </c>
      <c r="FQ58" s="200">
        <f t="shared" si="87"/>
        <v>0</v>
      </c>
      <c r="FR58" s="200">
        <f t="shared" si="87"/>
        <v>0</v>
      </c>
      <c r="FS58" s="200">
        <f t="shared" si="87"/>
        <v>0</v>
      </c>
      <c r="FT58" s="200">
        <f t="shared" si="87"/>
        <v>0</v>
      </c>
      <c r="FU58" s="200">
        <f t="shared" si="87"/>
        <v>0</v>
      </c>
      <c r="FV58" s="200">
        <f t="shared" si="87"/>
        <v>0</v>
      </c>
      <c r="FW58" s="200">
        <f t="shared" si="87"/>
        <v>0</v>
      </c>
      <c r="FX58" s="200">
        <f t="shared" si="87"/>
        <v>0</v>
      </c>
      <c r="FY58" s="200">
        <f t="shared" si="87"/>
        <v>0</v>
      </c>
      <c r="FZ58" s="200">
        <f t="shared" si="87"/>
        <v>0</v>
      </c>
      <c r="GA58" s="200">
        <f t="shared" si="87"/>
        <v>0</v>
      </c>
      <c r="GB58" s="231">
        <f t="shared" si="87"/>
        <v>0</v>
      </c>
    </row>
    <row r="59" spans="1:184" ht="17.25" customHeight="1" x14ac:dyDescent="0.5">
      <c r="B59" s="18"/>
      <c r="C59" s="19"/>
      <c r="D59" s="19"/>
      <c r="E59" s="19"/>
      <c r="F59" s="19"/>
      <c r="G59" s="19"/>
      <c r="H59" s="19"/>
      <c r="I59" s="19"/>
      <c r="J59" s="19"/>
      <c r="K59" s="19"/>
      <c r="L59" s="19"/>
      <c r="M59" s="19"/>
      <c r="N59" s="20"/>
      <c r="R59" s="232" t="s">
        <v>148</v>
      </c>
      <c r="S59" s="229">
        <f>S58/(1+'Allgemeine Unternehmensdaten'!$F$25)^S20</f>
        <v>5000</v>
      </c>
      <c r="T59" s="229">
        <f>T58/(1+'Allgemeine Unternehmensdaten'!$F$25)^T20</f>
        <v>0</v>
      </c>
      <c r="U59" s="229">
        <f>U58/(1+'Allgemeine Unternehmensdaten'!$F$25)^U20</f>
        <v>0</v>
      </c>
      <c r="V59" s="229">
        <f>V58/(1+'Allgemeine Unternehmensdaten'!$F$25)^V20</f>
        <v>0</v>
      </c>
      <c r="W59" s="229">
        <f>W58/(1+'Allgemeine Unternehmensdaten'!$F$25)^W20</f>
        <v>0</v>
      </c>
      <c r="X59" s="229">
        <f>X58/(1+'Allgemeine Unternehmensdaten'!$F$25)^X20</f>
        <v>0</v>
      </c>
      <c r="Y59" s="229">
        <f>Y58/(1+'Allgemeine Unternehmensdaten'!$F$25)^Y20</f>
        <v>0</v>
      </c>
      <c r="Z59" s="229">
        <f>Z58/(1+'Allgemeine Unternehmensdaten'!$F$25)^Z20</f>
        <v>0</v>
      </c>
      <c r="AA59" s="229">
        <f>AA58/(1+'Allgemeine Unternehmensdaten'!$F$25)^AA20</f>
        <v>0</v>
      </c>
      <c r="AB59" s="229">
        <f>AB58/(1+'Allgemeine Unternehmensdaten'!$F$25)^AB20</f>
        <v>0</v>
      </c>
      <c r="AC59" s="229">
        <f>AC58/(1+'Allgemeine Unternehmensdaten'!$F$25)^AC20</f>
        <v>0</v>
      </c>
      <c r="AD59" s="229">
        <f>AD58/(1+'Allgemeine Unternehmensdaten'!$F$25)^AD20</f>
        <v>0</v>
      </c>
      <c r="AE59" s="229">
        <f>AE58/(1+'Allgemeine Unternehmensdaten'!$F$25)^AE20</f>
        <v>0</v>
      </c>
      <c r="AF59" s="229">
        <f>AF58/(1+'Allgemeine Unternehmensdaten'!$F$25)^AF20</f>
        <v>0</v>
      </c>
      <c r="AG59" s="229">
        <f>AG58/(1+'Allgemeine Unternehmensdaten'!$F$25)^AG20</f>
        <v>0</v>
      </c>
      <c r="AH59" s="229">
        <f>AH58/(1+'Allgemeine Unternehmensdaten'!$F$25)^AH20</f>
        <v>0</v>
      </c>
      <c r="AI59" s="229">
        <f>AI58/(1+'Allgemeine Unternehmensdaten'!$F$25)^AI20</f>
        <v>0</v>
      </c>
      <c r="AJ59" s="229">
        <f>AJ58/(1+'Allgemeine Unternehmensdaten'!$F$25)^AJ20</f>
        <v>0</v>
      </c>
      <c r="AK59" s="229">
        <f>AK58/(1+'Allgemeine Unternehmensdaten'!$F$25)^AK20</f>
        <v>0</v>
      </c>
      <c r="AL59" s="229">
        <f>AL58/(1+'Allgemeine Unternehmensdaten'!$F$25)^AL20</f>
        <v>0</v>
      </c>
      <c r="AM59" s="229">
        <f>AM58/(1+'Allgemeine Unternehmensdaten'!$F$25)^AM20</f>
        <v>0</v>
      </c>
      <c r="AN59" s="229">
        <f>AN58/(1+'Allgemeine Unternehmensdaten'!$F$25)^AN20</f>
        <v>0</v>
      </c>
      <c r="AO59" s="229">
        <f>AO58/(1+'Allgemeine Unternehmensdaten'!$F$25)^AO20</f>
        <v>0</v>
      </c>
      <c r="AP59" s="229">
        <f>AP58/(1+'Allgemeine Unternehmensdaten'!$F$25)^AP20</f>
        <v>0</v>
      </c>
      <c r="AQ59" s="229">
        <f>AQ58/(1+'Allgemeine Unternehmensdaten'!$F$25)^AQ20</f>
        <v>0</v>
      </c>
      <c r="AR59" s="229">
        <f>AR58/(1+'Allgemeine Unternehmensdaten'!$F$25)^AR20</f>
        <v>0</v>
      </c>
      <c r="AS59" s="229">
        <f>AS58/(1+'Allgemeine Unternehmensdaten'!$F$25)^AS20</f>
        <v>0</v>
      </c>
      <c r="AT59" s="229">
        <f>AT58/(1+'Allgemeine Unternehmensdaten'!$F$25)^AT20</f>
        <v>0</v>
      </c>
      <c r="AU59" s="229">
        <f>AU58/(1+'Allgemeine Unternehmensdaten'!$F$25)^AU20</f>
        <v>0</v>
      </c>
      <c r="AV59" s="229">
        <f>AV58/(1+'Allgemeine Unternehmensdaten'!$F$25)^AV20</f>
        <v>0</v>
      </c>
      <c r="AW59" s="229">
        <f>AW58/(1+'Allgemeine Unternehmensdaten'!$F$25)^AW20</f>
        <v>0</v>
      </c>
      <c r="AX59" s="229">
        <f>AX58/(1+'Allgemeine Unternehmensdaten'!$F$25)^AX20</f>
        <v>0</v>
      </c>
      <c r="AY59" s="229">
        <f>AY58/(1+'Allgemeine Unternehmensdaten'!$F$25)^AY20</f>
        <v>0</v>
      </c>
      <c r="AZ59" s="229">
        <f>AZ58/(1+'Allgemeine Unternehmensdaten'!$F$25)^AZ20</f>
        <v>0</v>
      </c>
      <c r="BA59" s="229">
        <f>BA58/(1+'Allgemeine Unternehmensdaten'!$F$25)^BA20</f>
        <v>0</v>
      </c>
      <c r="BB59" s="229">
        <f>BB58/(1+'Allgemeine Unternehmensdaten'!$F$25)^BB20</f>
        <v>0</v>
      </c>
      <c r="BC59" s="229">
        <f>BC58/(1+'Allgemeine Unternehmensdaten'!$F$25)^BC20</f>
        <v>0</v>
      </c>
      <c r="BD59" s="229">
        <f>BD58/(1+'Allgemeine Unternehmensdaten'!$F$25)^BD20</f>
        <v>0</v>
      </c>
      <c r="BE59" s="229">
        <f>BE58/(1+'Allgemeine Unternehmensdaten'!$F$25)^BE20</f>
        <v>0</v>
      </c>
      <c r="BF59" s="229">
        <f>BF58/(1+'Allgemeine Unternehmensdaten'!$F$25)^BF20</f>
        <v>0</v>
      </c>
      <c r="BG59" s="229">
        <f>BG58/(1+'Allgemeine Unternehmensdaten'!$F$25)^BG20</f>
        <v>0</v>
      </c>
      <c r="BH59" s="229">
        <f>BH58/(1+'Allgemeine Unternehmensdaten'!$F$25)^BH20</f>
        <v>0</v>
      </c>
      <c r="BI59" s="229">
        <f>BI58/(1+'Allgemeine Unternehmensdaten'!$F$25)^BI20</f>
        <v>0</v>
      </c>
      <c r="BJ59" s="229">
        <f>BJ58/(1+'Allgemeine Unternehmensdaten'!$F$25)^BJ20</f>
        <v>0</v>
      </c>
      <c r="BK59" s="229">
        <f>BK58/(1+'Allgemeine Unternehmensdaten'!$F$25)^BK20</f>
        <v>0</v>
      </c>
      <c r="BL59" s="229">
        <f>BL58/(1+'Allgemeine Unternehmensdaten'!$F$25)^BL20</f>
        <v>0</v>
      </c>
      <c r="BM59" s="229">
        <f>BM58/(1+'Allgemeine Unternehmensdaten'!$F$25)^BM20</f>
        <v>0</v>
      </c>
      <c r="BN59" s="229">
        <f>BN58/(1+'Allgemeine Unternehmensdaten'!$F$25)^BN20</f>
        <v>0</v>
      </c>
      <c r="BO59" s="229">
        <f>BO58/(1+'Allgemeine Unternehmensdaten'!$F$25)^BO20</f>
        <v>0</v>
      </c>
      <c r="BP59" s="229">
        <f>BP58/(1+'Allgemeine Unternehmensdaten'!$F$25)^BP20</f>
        <v>0</v>
      </c>
      <c r="BQ59" s="229">
        <f>BQ58/(1+'Allgemeine Unternehmensdaten'!$F$25)^BQ20</f>
        <v>0</v>
      </c>
      <c r="BR59" s="229">
        <f>BR58/(1+'Allgemeine Unternehmensdaten'!$F$25)^BR20</f>
        <v>0</v>
      </c>
      <c r="BS59" s="229">
        <f>BS58/(1+'Allgemeine Unternehmensdaten'!$F$25)^BS20</f>
        <v>0</v>
      </c>
      <c r="BT59" s="230">
        <f>BT58/(1+'Allgemeine Unternehmensdaten'!$F$25)^BT20</f>
        <v>0</v>
      </c>
      <c r="BV59" s="232" t="s">
        <v>148</v>
      </c>
      <c r="BW59" s="200">
        <f>BW58/(1+'Allgemeine Unternehmensdaten'!$G$25)^BW20</f>
        <v>6500</v>
      </c>
      <c r="BX59" s="200">
        <f>BX58/(1+'Allgemeine Unternehmensdaten'!$G$25)^BX20</f>
        <v>0</v>
      </c>
      <c r="BY59" s="200">
        <f>BY58/(1+'Allgemeine Unternehmensdaten'!$G$25)^BY20</f>
        <v>0</v>
      </c>
      <c r="BZ59" s="200">
        <f>BZ58/(1+'Allgemeine Unternehmensdaten'!$G$25)^BZ20</f>
        <v>0</v>
      </c>
      <c r="CA59" s="200">
        <f>CA58/(1+'Allgemeine Unternehmensdaten'!$G$25)^CA20</f>
        <v>0</v>
      </c>
      <c r="CB59" s="200">
        <f>CB58/(1+'Allgemeine Unternehmensdaten'!$G$25)^CB20</f>
        <v>0</v>
      </c>
      <c r="CC59" s="200">
        <f>CC58/(1+'Allgemeine Unternehmensdaten'!$G$25)^CC20</f>
        <v>0</v>
      </c>
      <c r="CD59" s="200">
        <f>CD58/(1+'Allgemeine Unternehmensdaten'!$G$25)^CD20</f>
        <v>0</v>
      </c>
      <c r="CE59" s="200">
        <f>CE58/(1+'Allgemeine Unternehmensdaten'!$G$25)^CE20</f>
        <v>0</v>
      </c>
      <c r="CF59" s="200">
        <f>CF58/(1+'Allgemeine Unternehmensdaten'!$G$25)^CF20</f>
        <v>0</v>
      </c>
      <c r="CG59" s="200">
        <f>CG58/(1+'Allgemeine Unternehmensdaten'!$G$25)^CG20</f>
        <v>0</v>
      </c>
      <c r="CH59" s="200">
        <f>CH58/(1+'Allgemeine Unternehmensdaten'!$G$25)^CH20</f>
        <v>0</v>
      </c>
      <c r="CI59" s="200">
        <f>CI58/(1+'Allgemeine Unternehmensdaten'!$G$25)^CI20</f>
        <v>0</v>
      </c>
      <c r="CJ59" s="200">
        <f>CJ58/(1+'Allgemeine Unternehmensdaten'!$G$25)^CJ20</f>
        <v>0</v>
      </c>
      <c r="CK59" s="200">
        <f>CK58/(1+'Allgemeine Unternehmensdaten'!$G$25)^CK20</f>
        <v>0</v>
      </c>
      <c r="CL59" s="200">
        <f>CL58/(1+'Allgemeine Unternehmensdaten'!$G$25)^CL20</f>
        <v>0</v>
      </c>
      <c r="CM59" s="200">
        <f>CM58/(1+'Allgemeine Unternehmensdaten'!$G$25)^CM20</f>
        <v>0</v>
      </c>
      <c r="CN59" s="200">
        <f>CN58/(1+'Allgemeine Unternehmensdaten'!$G$25)^CN20</f>
        <v>0</v>
      </c>
      <c r="CO59" s="200">
        <f>CO58/(1+'Allgemeine Unternehmensdaten'!$G$25)^CO20</f>
        <v>0</v>
      </c>
      <c r="CP59" s="200">
        <f>CP58/(1+'Allgemeine Unternehmensdaten'!$G$25)^CP20</f>
        <v>0</v>
      </c>
      <c r="CQ59" s="200">
        <f>CQ58/(1+'Allgemeine Unternehmensdaten'!$G$25)^CQ20</f>
        <v>0</v>
      </c>
      <c r="CR59" s="200">
        <f>CR58/(1+'Allgemeine Unternehmensdaten'!$G$25)^CR20</f>
        <v>0</v>
      </c>
      <c r="CS59" s="200">
        <f>CS58/(1+'Allgemeine Unternehmensdaten'!$G$25)^CS20</f>
        <v>0</v>
      </c>
      <c r="CT59" s="200">
        <f>CT58/(1+'Allgemeine Unternehmensdaten'!$G$25)^CT20</f>
        <v>0</v>
      </c>
      <c r="CU59" s="200">
        <f>CU58/(1+'Allgemeine Unternehmensdaten'!$G$25)^CU20</f>
        <v>0</v>
      </c>
      <c r="CV59" s="200">
        <f>CV58/(1+'Allgemeine Unternehmensdaten'!$G$25)^CV20</f>
        <v>0</v>
      </c>
      <c r="CW59" s="200">
        <f>CW58/(1+'Allgemeine Unternehmensdaten'!$G$25)^CW20</f>
        <v>0</v>
      </c>
      <c r="CX59" s="200">
        <f>CX58/(1+'Allgemeine Unternehmensdaten'!$G$25)^CX20</f>
        <v>0</v>
      </c>
      <c r="CY59" s="200">
        <f>CY58/(1+'Allgemeine Unternehmensdaten'!$G$25)^CY20</f>
        <v>0</v>
      </c>
      <c r="CZ59" s="200">
        <f>CZ58/(1+'Allgemeine Unternehmensdaten'!$G$25)^CZ20</f>
        <v>0</v>
      </c>
      <c r="DA59" s="200">
        <f>DA58/(1+'Allgemeine Unternehmensdaten'!$G$25)^DA20</f>
        <v>0</v>
      </c>
      <c r="DB59" s="200">
        <f>DB58/(1+'Allgemeine Unternehmensdaten'!$G$25)^DB20</f>
        <v>0</v>
      </c>
      <c r="DC59" s="200">
        <f>DC58/(1+'Allgemeine Unternehmensdaten'!$G$25)^DC20</f>
        <v>0</v>
      </c>
      <c r="DD59" s="200">
        <f>DD58/(1+'Allgemeine Unternehmensdaten'!$G$25)^DD20</f>
        <v>0</v>
      </c>
      <c r="DE59" s="200">
        <f>DE58/(1+'Allgemeine Unternehmensdaten'!$G$25)^DE20</f>
        <v>0</v>
      </c>
      <c r="DF59" s="200">
        <f>DF58/(1+'Allgemeine Unternehmensdaten'!$G$25)^DF20</f>
        <v>0</v>
      </c>
      <c r="DG59" s="200">
        <f>DG58/(1+'Allgemeine Unternehmensdaten'!$G$25)^DG20</f>
        <v>0</v>
      </c>
      <c r="DH59" s="200">
        <f>DH58/(1+'Allgemeine Unternehmensdaten'!$G$25)^DH20</f>
        <v>0</v>
      </c>
      <c r="DI59" s="200">
        <f>DI58/(1+'Allgemeine Unternehmensdaten'!$G$25)^DI20</f>
        <v>0</v>
      </c>
      <c r="DJ59" s="200">
        <f>DJ58/(1+'Allgemeine Unternehmensdaten'!$G$25)^DJ20</f>
        <v>0</v>
      </c>
      <c r="DK59" s="200">
        <f>DK58/(1+'Allgemeine Unternehmensdaten'!$G$25)^DK20</f>
        <v>0</v>
      </c>
      <c r="DL59" s="200">
        <f>DL58/(1+'Allgemeine Unternehmensdaten'!$G$25)^DL20</f>
        <v>0</v>
      </c>
      <c r="DM59" s="200">
        <f>DM58/(1+'Allgemeine Unternehmensdaten'!$G$25)^DM20</f>
        <v>0</v>
      </c>
      <c r="DN59" s="200">
        <f>DN58/(1+'Allgemeine Unternehmensdaten'!$G$25)^DN20</f>
        <v>0</v>
      </c>
      <c r="DO59" s="200">
        <f>DO58/(1+'Allgemeine Unternehmensdaten'!$G$25)^DO20</f>
        <v>0</v>
      </c>
      <c r="DP59" s="200">
        <f>DP58/(1+'Allgemeine Unternehmensdaten'!$G$25)^DP20</f>
        <v>0</v>
      </c>
      <c r="DQ59" s="200">
        <f>DQ58/(1+'Allgemeine Unternehmensdaten'!$G$25)^DQ20</f>
        <v>0</v>
      </c>
      <c r="DR59" s="200">
        <f>DR58/(1+'Allgemeine Unternehmensdaten'!$G$25)^DR20</f>
        <v>0</v>
      </c>
      <c r="DS59" s="200">
        <f>DS58/(1+'Allgemeine Unternehmensdaten'!$G$25)^DS20</f>
        <v>0</v>
      </c>
      <c r="DT59" s="200">
        <f>DT58/(1+'Allgemeine Unternehmensdaten'!$G$25)^DT20</f>
        <v>0</v>
      </c>
      <c r="DU59" s="200">
        <f>DU58/(1+'Allgemeine Unternehmensdaten'!$G$25)^DU20</f>
        <v>0</v>
      </c>
      <c r="DV59" s="200">
        <f>DV58/(1+'Allgemeine Unternehmensdaten'!$G$25)^DV20</f>
        <v>0</v>
      </c>
      <c r="DW59" s="200">
        <f>DW58/(1+'Allgemeine Unternehmensdaten'!$G$25)^DW20</f>
        <v>0</v>
      </c>
      <c r="DX59" s="231">
        <f>DX58/(1+'Allgemeine Unternehmensdaten'!$G$25)^DX20</f>
        <v>0</v>
      </c>
      <c r="DZ59" s="232" t="s">
        <v>148</v>
      </c>
      <c r="EA59" s="200">
        <f>EA58/(1+'Allgemeine Unternehmensdaten'!$E$25)^EA20</f>
        <v>3750</v>
      </c>
      <c r="EB59" s="200">
        <f>EB58/(1+'Allgemeine Unternehmensdaten'!$E$25)^EB20</f>
        <v>0</v>
      </c>
      <c r="EC59" s="200">
        <f>EC58/(1+'Allgemeine Unternehmensdaten'!$E$25)^EC20</f>
        <v>0</v>
      </c>
      <c r="ED59" s="200">
        <f>ED58/(1+'Allgemeine Unternehmensdaten'!$E$25)^ED20</f>
        <v>0</v>
      </c>
      <c r="EE59" s="200">
        <f>EE58/(1+'Allgemeine Unternehmensdaten'!$E$25)^EE20</f>
        <v>0</v>
      </c>
      <c r="EF59" s="200">
        <f>EF58/(1+'Allgemeine Unternehmensdaten'!$E$25)^EF20</f>
        <v>0</v>
      </c>
      <c r="EG59" s="200">
        <f>EG58/(1+'Allgemeine Unternehmensdaten'!$E$25)^EG20</f>
        <v>0</v>
      </c>
      <c r="EH59" s="200">
        <f>EH58/(1+'Allgemeine Unternehmensdaten'!$E$25)^EH20</f>
        <v>0</v>
      </c>
      <c r="EI59" s="200">
        <f>EI58/(1+'Allgemeine Unternehmensdaten'!$E$25)^EI20</f>
        <v>0</v>
      </c>
      <c r="EJ59" s="200">
        <f>EJ58/(1+'Allgemeine Unternehmensdaten'!$E$25)^EJ20</f>
        <v>0</v>
      </c>
      <c r="EK59" s="200">
        <f>EK58/(1+'Allgemeine Unternehmensdaten'!$E$25)^EK20</f>
        <v>0</v>
      </c>
      <c r="EL59" s="200">
        <f>EL58/(1+'Allgemeine Unternehmensdaten'!$E$25)^EL20</f>
        <v>0</v>
      </c>
      <c r="EM59" s="200">
        <f>EM58/(1+'Allgemeine Unternehmensdaten'!$E$25)^EM20</f>
        <v>0</v>
      </c>
      <c r="EN59" s="200">
        <f>EN58/(1+'Allgemeine Unternehmensdaten'!$E$25)^EN20</f>
        <v>0</v>
      </c>
      <c r="EO59" s="200">
        <f>EO58/(1+'Allgemeine Unternehmensdaten'!$E$25)^EO20</f>
        <v>0</v>
      </c>
      <c r="EP59" s="200">
        <f>EP58/(1+'Allgemeine Unternehmensdaten'!$E$25)^EP20</f>
        <v>0</v>
      </c>
      <c r="EQ59" s="200">
        <f>EQ58/(1+'Allgemeine Unternehmensdaten'!$E$25)^EQ20</f>
        <v>0</v>
      </c>
      <c r="ER59" s="200">
        <f>ER58/(1+'Allgemeine Unternehmensdaten'!$E$25)^ER20</f>
        <v>0</v>
      </c>
      <c r="ES59" s="200">
        <f>ES58/(1+'Allgemeine Unternehmensdaten'!$E$25)^ES20</f>
        <v>0</v>
      </c>
      <c r="ET59" s="200">
        <f>ET58/(1+'Allgemeine Unternehmensdaten'!$E$25)^ET20</f>
        <v>0</v>
      </c>
      <c r="EU59" s="200">
        <f>EU58/(1+'Allgemeine Unternehmensdaten'!$E$25)^EU20</f>
        <v>0</v>
      </c>
      <c r="EV59" s="200">
        <f>EV58/(1+'Allgemeine Unternehmensdaten'!$E$25)^EV20</f>
        <v>0</v>
      </c>
      <c r="EW59" s="200">
        <f>EW58/(1+'Allgemeine Unternehmensdaten'!$E$25)^EW20</f>
        <v>0</v>
      </c>
      <c r="EX59" s="200">
        <f>EX58/(1+'Allgemeine Unternehmensdaten'!$E$25)^EX20</f>
        <v>0</v>
      </c>
      <c r="EY59" s="200">
        <f>EY58/(1+'Allgemeine Unternehmensdaten'!$E$25)^EY20</f>
        <v>0</v>
      </c>
      <c r="EZ59" s="200">
        <f>EZ58/(1+'Allgemeine Unternehmensdaten'!$E$25)^EZ20</f>
        <v>0</v>
      </c>
      <c r="FA59" s="200">
        <f>FA58/(1+'Allgemeine Unternehmensdaten'!$E$25)^FA20</f>
        <v>0</v>
      </c>
      <c r="FB59" s="200">
        <f>FB58/(1+'Allgemeine Unternehmensdaten'!$E$25)^FB20</f>
        <v>0</v>
      </c>
      <c r="FC59" s="200">
        <f>FC58/(1+'Allgemeine Unternehmensdaten'!$E$25)^FC20</f>
        <v>0</v>
      </c>
      <c r="FD59" s="200">
        <f>FD58/(1+'Allgemeine Unternehmensdaten'!$E$25)^FD20</f>
        <v>0</v>
      </c>
      <c r="FE59" s="200">
        <f>FE58/(1+'Allgemeine Unternehmensdaten'!$E$25)^FE20</f>
        <v>0</v>
      </c>
      <c r="FF59" s="200">
        <f>FF58/(1+'Allgemeine Unternehmensdaten'!$E$25)^FF20</f>
        <v>0</v>
      </c>
      <c r="FG59" s="200">
        <f>FG58/(1+'Allgemeine Unternehmensdaten'!$E$25)^FG20</f>
        <v>0</v>
      </c>
      <c r="FH59" s="200">
        <f>FH58/(1+'Allgemeine Unternehmensdaten'!$E$25)^FH20</f>
        <v>0</v>
      </c>
      <c r="FI59" s="200">
        <f>FI58/(1+'Allgemeine Unternehmensdaten'!$E$25)^FI20</f>
        <v>0</v>
      </c>
      <c r="FJ59" s="200">
        <f>FJ58/(1+'Allgemeine Unternehmensdaten'!$E$25)^FJ20</f>
        <v>0</v>
      </c>
      <c r="FK59" s="200">
        <f>FK58/(1+'Allgemeine Unternehmensdaten'!$E$25)^FK20</f>
        <v>0</v>
      </c>
      <c r="FL59" s="200">
        <f>FL58/(1+'Allgemeine Unternehmensdaten'!$E$25)^FL20</f>
        <v>0</v>
      </c>
      <c r="FM59" s="200">
        <f>FM58/(1+'Allgemeine Unternehmensdaten'!$E$25)^FM20</f>
        <v>0</v>
      </c>
      <c r="FN59" s="200">
        <f>FN58/(1+'Allgemeine Unternehmensdaten'!$E$25)^FN20</f>
        <v>0</v>
      </c>
      <c r="FO59" s="200">
        <f>FO58/(1+'Allgemeine Unternehmensdaten'!$E$25)^FO20</f>
        <v>0</v>
      </c>
      <c r="FP59" s="200">
        <f>FP58/(1+'Allgemeine Unternehmensdaten'!$E$25)^FP20</f>
        <v>0</v>
      </c>
      <c r="FQ59" s="200">
        <f>FQ58/(1+'Allgemeine Unternehmensdaten'!$E$25)^FQ20</f>
        <v>0</v>
      </c>
      <c r="FR59" s="200">
        <f>FR58/(1+'Allgemeine Unternehmensdaten'!$E$25)^FR20</f>
        <v>0</v>
      </c>
      <c r="FS59" s="200">
        <f>FS58/(1+'Allgemeine Unternehmensdaten'!$E$25)^FS20</f>
        <v>0</v>
      </c>
      <c r="FT59" s="200">
        <f>FT58/(1+'Allgemeine Unternehmensdaten'!$E$25)^FT20</f>
        <v>0</v>
      </c>
      <c r="FU59" s="200">
        <f>FU58/(1+'Allgemeine Unternehmensdaten'!$E$25)^FU20</f>
        <v>0</v>
      </c>
      <c r="FV59" s="200">
        <f>FV58/(1+'Allgemeine Unternehmensdaten'!$E$25)^FV20</f>
        <v>0</v>
      </c>
      <c r="FW59" s="200">
        <f>FW58/(1+'Allgemeine Unternehmensdaten'!$E$25)^FW20</f>
        <v>0</v>
      </c>
      <c r="FX59" s="200">
        <f>FX58/(1+'Allgemeine Unternehmensdaten'!$E$25)^FX20</f>
        <v>0</v>
      </c>
      <c r="FY59" s="200">
        <f>FY58/(1+'Allgemeine Unternehmensdaten'!$E$25)^FY20</f>
        <v>0</v>
      </c>
      <c r="FZ59" s="200">
        <f>FZ58/(1+'Allgemeine Unternehmensdaten'!$E$25)^FZ20</f>
        <v>0</v>
      </c>
      <c r="GA59" s="200">
        <f>GA58/(1+'Allgemeine Unternehmensdaten'!$E$25)^GA20</f>
        <v>0</v>
      </c>
      <c r="GB59" s="231">
        <f>GB58/(1+'Allgemeine Unternehmensdaten'!$E$25)^GB20</f>
        <v>0</v>
      </c>
    </row>
    <row r="60" spans="1:184" ht="17.25" customHeight="1" x14ac:dyDescent="0.5">
      <c r="B60" s="18"/>
      <c r="C60" s="19"/>
      <c r="D60" s="19"/>
      <c r="E60" s="19"/>
      <c r="F60" s="19"/>
      <c r="G60" s="19"/>
      <c r="H60" s="19"/>
      <c r="I60" s="19"/>
      <c r="J60" s="19"/>
      <c r="K60" s="19"/>
      <c r="L60" s="19"/>
      <c r="M60" s="19"/>
      <c r="N60" s="20"/>
      <c r="R60" s="101" t="s">
        <v>149</v>
      </c>
      <c r="S60" s="233">
        <f t="shared" ref="S60:AX60" si="88">S56-S58</f>
        <v>-640</v>
      </c>
      <c r="T60" s="233">
        <f t="shared" si="88"/>
        <v>4490.8</v>
      </c>
      <c r="U60" s="233">
        <f t="shared" si="88"/>
        <v>4625.5239999999994</v>
      </c>
      <c r="V60" s="233">
        <f t="shared" si="88"/>
        <v>4764.2897199999998</v>
      </c>
      <c r="W60" s="233">
        <f t="shared" si="88"/>
        <v>4907.2184115999999</v>
      </c>
      <c r="X60" s="233">
        <f t="shared" si="88"/>
        <v>0</v>
      </c>
      <c r="Y60" s="233">
        <f t="shared" si="88"/>
        <v>0</v>
      </c>
      <c r="Z60" s="233">
        <f t="shared" si="88"/>
        <v>0</v>
      </c>
      <c r="AA60" s="233">
        <f t="shared" si="88"/>
        <v>0</v>
      </c>
      <c r="AB60" s="233">
        <f t="shared" si="88"/>
        <v>0</v>
      </c>
      <c r="AC60" s="233">
        <f t="shared" si="88"/>
        <v>0</v>
      </c>
      <c r="AD60" s="233">
        <f t="shared" si="88"/>
        <v>0</v>
      </c>
      <c r="AE60" s="233">
        <f t="shared" si="88"/>
        <v>0</v>
      </c>
      <c r="AF60" s="233">
        <f t="shared" si="88"/>
        <v>0</v>
      </c>
      <c r="AG60" s="233">
        <f t="shared" si="88"/>
        <v>0</v>
      </c>
      <c r="AH60" s="233">
        <f t="shared" si="88"/>
        <v>0</v>
      </c>
      <c r="AI60" s="233">
        <f t="shared" si="88"/>
        <v>0</v>
      </c>
      <c r="AJ60" s="233">
        <f t="shared" si="88"/>
        <v>0</v>
      </c>
      <c r="AK60" s="233">
        <f t="shared" si="88"/>
        <v>0</v>
      </c>
      <c r="AL60" s="233">
        <f t="shared" si="88"/>
        <v>0</v>
      </c>
      <c r="AM60" s="233">
        <f t="shared" si="88"/>
        <v>0</v>
      </c>
      <c r="AN60" s="233">
        <f t="shared" si="88"/>
        <v>0</v>
      </c>
      <c r="AO60" s="233">
        <f t="shared" si="88"/>
        <v>0</v>
      </c>
      <c r="AP60" s="233">
        <f t="shared" si="88"/>
        <v>0</v>
      </c>
      <c r="AQ60" s="233">
        <f t="shared" si="88"/>
        <v>0</v>
      </c>
      <c r="AR60" s="233">
        <f t="shared" si="88"/>
        <v>0</v>
      </c>
      <c r="AS60" s="233">
        <f t="shared" si="88"/>
        <v>0</v>
      </c>
      <c r="AT60" s="233">
        <f t="shared" si="88"/>
        <v>0</v>
      </c>
      <c r="AU60" s="233">
        <f t="shared" si="88"/>
        <v>0</v>
      </c>
      <c r="AV60" s="233">
        <f t="shared" si="88"/>
        <v>0</v>
      </c>
      <c r="AW60" s="233">
        <f t="shared" si="88"/>
        <v>0</v>
      </c>
      <c r="AX60" s="233">
        <f t="shared" si="88"/>
        <v>0</v>
      </c>
      <c r="AY60" s="233">
        <f t="shared" ref="AY60:BT60" si="89">AY56-AY58</f>
        <v>0</v>
      </c>
      <c r="AZ60" s="233">
        <f t="shared" si="89"/>
        <v>0</v>
      </c>
      <c r="BA60" s="233">
        <f t="shared" si="89"/>
        <v>0</v>
      </c>
      <c r="BB60" s="233">
        <f t="shared" si="89"/>
        <v>0</v>
      </c>
      <c r="BC60" s="233">
        <f t="shared" si="89"/>
        <v>0</v>
      </c>
      <c r="BD60" s="233">
        <f t="shared" si="89"/>
        <v>0</v>
      </c>
      <c r="BE60" s="233">
        <f t="shared" si="89"/>
        <v>0</v>
      </c>
      <c r="BF60" s="233">
        <f t="shared" si="89"/>
        <v>0</v>
      </c>
      <c r="BG60" s="233">
        <f t="shared" si="89"/>
        <v>0</v>
      </c>
      <c r="BH60" s="233">
        <f t="shared" si="89"/>
        <v>0</v>
      </c>
      <c r="BI60" s="233">
        <f t="shared" si="89"/>
        <v>0</v>
      </c>
      <c r="BJ60" s="233">
        <f t="shared" si="89"/>
        <v>0</v>
      </c>
      <c r="BK60" s="233">
        <f t="shared" si="89"/>
        <v>0</v>
      </c>
      <c r="BL60" s="233">
        <f t="shared" si="89"/>
        <v>0</v>
      </c>
      <c r="BM60" s="233">
        <f t="shared" si="89"/>
        <v>0</v>
      </c>
      <c r="BN60" s="233">
        <f t="shared" si="89"/>
        <v>0</v>
      </c>
      <c r="BO60" s="233">
        <f t="shared" si="89"/>
        <v>0</v>
      </c>
      <c r="BP60" s="233">
        <f t="shared" si="89"/>
        <v>0</v>
      </c>
      <c r="BQ60" s="233">
        <f t="shared" si="89"/>
        <v>0</v>
      </c>
      <c r="BR60" s="233">
        <f t="shared" si="89"/>
        <v>0</v>
      </c>
      <c r="BS60" s="233">
        <f t="shared" si="89"/>
        <v>0</v>
      </c>
      <c r="BT60" s="234">
        <f t="shared" si="89"/>
        <v>0</v>
      </c>
      <c r="BV60" s="101" t="s">
        <v>149</v>
      </c>
      <c r="BW60" s="235">
        <f t="shared" ref="BW60:DB60" si="90">BW56-BW58</f>
        <v>-3404</v>
      </c>
      <c r="BX60" s="235">
        <f t="shared" si="90"/>
        <v>3219.84</v>
      </c>
      <c r="BY60" s="235">
        <f t="shared" si="90"/>
        <v>3348.6336000000006</v>
      </c>
      <c r="BZ60" s="235">
        <f t="shared" si="90"/>
        <v>3482.5789440000003</v>
      </c>
      <c r="CA60" s="235">
        <f t="shared" si="90"/>
        <v>3621.8821017600008</v>
      </c>
      <c r="CB60" s="235">
        <f t="shared" si="90"/>
        <v>0</v>
      </c>
      <c r="CC60" s="235">
        <f t="shared" si="90"/>
        <v>0</v>
      </c>
      <c r="CD60" s="235">
        <f t="shared" si="90"/>
        <v>0</v>
      </c>
      <c r="CE60" s="235">
        <f t="shared" si="90"/>
        <v>0</v>
      </c>
      <c r="CF60" s="235">
        <f t="shared" si="90"/>
        <v>0</v>
      </c>
      <c r="CG60" s="235">
        <f t="shared" si="90"/>
        <v>0</v>
      </c>
      <c r="CH60" s="235">
        <f t="shared" si="90"/>
        <v>0</v>
      </c>
      <c r="CI60" s="235">
        <f t="shared" si="90"/>
        <v>0</v>
      </c>
      <c r="CJ60" s="235">
        <f t="shared" si="90"/>
        <v>0</v>
      </c>
      <c r="CK60" s="235">
        <f t="shared" si="90"/>
        <v>0</v>
      </c>
      <c r="CL60" s="235">
        <f t="shared" si="90"/>
        <v>0</v>
      </c>
      <c r="CM60" s="235">
        <f t="shared" si="90"/>
        <v>0</v>
      </c>
      <c r="CN60" s="235">
        <f t="shared" si="90"/>
        <v>0</v>
      </c>
      <c r="CO60" s="235">
        <f t="shared" si="90"/>
        <v>0</v>
      </c>
      <c r="CP60" s="235">
        <f t="shared" si="90"/>
        <v>0</v>
      </c>
      <c r="CQ60" s="235">
        <f t="shared" si="90"/>
        <v>0</v>
      </c>
      <c r="CR60" s="235">
        <f t="shared" si="90"/>
        <v>0</v>
      </c>
      <c r="CS60" s="235">
        <f t="shared" si="90"/>
        <v>0</v>
      </c>
      <c r="CT60" s="235">
        <f t="shared" si="90"/>
        <v>0</v>
      </c>
      <c r="CU60" s="235">
        <f t="shared" si="90"/>
        <v>0</v>
      </c>
      <c r="CV60" s="235">
        <f t="shared" si="90"/>
        <v>0</v>
      </c>
      <c r="CW60" s="235">
        <f t="shared" si="90"/>
        <v>0</v>
      </c>
      <c r="CX60" s="235">
        <f t="shared" si="90"/>
        <v>0</v>
      </c>
      <c r="CY60" s="235">
        <f t="shared" si="90"/>
        <v>0</v>
      </c>
      <c r="CZ60" s="235">
        <f t="shared" si="90"/>
        <v>0</v>
      </c>
      <c r="DA60" s="235">
        <f t="shared" si="90"/>
        <v>0</v>
      </c>
      <c r="DB60" s="235">
        <f t="shared" si="90"/>
        <v>0</v>
      </c>
      <c r="DC60" s="235">
        <f t="shared" ref="DC60:DX60" si="91">DC56-DC58</f>
        <v>0</v>
      </c>
      <c r="DD60" s="235">
        <f t="shared" si="91"/>
        <v>0</v>
      </c>
      <c r="DE60" s="235">
        <f t="shared" si="91"/>
        <v>0</v>
      </c>
      <c r="DF60" s="235">
        <f t="shared" si="91"/>
        <v>0</v>
      </c>
      <c r="DG60" s="235">
        <f t="shared" si="91"/>
        <v>0</v>
      </c>
      <c r="DH60" s="235">
        <f t="shared" si="91"/>
        <v>0</v>
      </c>
      <c r="DI60" s="235">
        <f t="shared" si="91"/>
        <v>0</v>
      </c>
      <c r="DJ60" s="235">
        <f t="shared" si="91"/>
        <v>0</v>
      </c>
      <c r="DK60" s="235">
        <f t="shared" si="91"/>
        <v>0</v>
      </c>
      <c r="DL60" s="235">
        <f t="shared" si="91"/>
        <v>0</v>
      </c>
      <c r="DM60" s="235">
        <f t="shared" si="91"/>
        <v>0</v>
      </c>
      <c r="DN60" s="235">
        <f t="shared" si="91"/>
        <v>0</v>
      </c>
      <c r="DO60" s="235">
        <f t="shared" si="91"/>
        <v>0</v>
      </c>
      <c r="DP60" s="235">
        <f t="shared" si="91"/>
        <v>0</v>
      </c>
      <c r="DQ60" s="235">
        <f t="shared" si="91"/>
        <v>0</v>
      </c>
      <c r="DR60" s="235">
        <f t="shared" si="91"/>
        <v>0</v>
      </c>
      <c r="DS60" s="235">
        <f t="shared" si="91"/>
        <v>0</v>
      </c>
      <c r="DT60" s="235">
        <f t="shared" si="91"/>
        <v>0</v>
      </c>
      <c r="DU60" s="235">
        <f t="shared" si="91"/>
        <v>0</v>
      </c>
      <c r="DV60" s="235">
        <f t="shared" si="91"/>
        <v>0</v>
      </c>
      <c r="DW60" s="235">
        <f t="shared" si="91"/>
        <v>0</v>
      </c>
      <c r="DX60" s="236">
        <f t="shared" si="91"/>
        <v>0</v>
      </c>
      <c r="DZ60" s="101" t="s">
        <v>149</v>
      </c>
      <c r="EA60" s="235">
        <f t="shared" ref="EA60:FF60" si="92">EA56-EA58</f>
        <v>1750.0000000000036</v>
      </c>
      <c r="EB60" s="235">
        <f t="shared" si="92"/>
        <v>5610.0000000000036</v>
      </c>
      <c r="EC60" s="235">
        <f t="shared" si="92"/>
        <v>5722.2000000000035</v>
      </c>
      <c r="ED60" s="235">
        <f t="shared" si="92"/>
        <v>5836.6440000000039</v>
      </c>
      <c r="EE60" s="235">
        <f t="shared" si="92"/>
        <v>5953.3768800000034</v>
      </c>
      <c r="EF60" s="235">
        <f t="shared" si="92"/>
        <v>0</v>
      </c>
      <c r="EG60" s="235">
        <f t="shared" si="92"/>
        <v>0</v>
      </c>
      <c r="EH60" s="235">
        <f t="shared" si="92"/>
        <v>0</v>
      </c>
      <c r="EI60" s="235">
        <f t="shared" si="92"/>
        <v>0</v>
      </c>
      <c r="EJ60" s="235">
        <f t="shared" si="92"/>
        <v>0</v>
      </c>
      <c r="EK60" s="235">
        <f t="shared" si="92"/>
        <v>0</v>
      </c>
      <c r="EL60" s="235">
        <f t="shared" si="92"/>
        <v>0</v>
      </c>
      <c r="EM60" s="235">
        <f t="shared" si="92"/>
        <v>0</v>
      </c>
      <c r="EN60" s="235">
        <f t="shared" si="92"/>
        <v>0</v>
      </c>
      <c r="EO60" s="235">
        <f t="shared" si="92"/>
        <v>0</v>
      </c>
      <c r="EP60" s="235">
        <f t="shared" si="92"/>
        <v>0</v>
      </c>
      <c r="EQ60" s="235">
        <f t="shared" si="92"/>
        <v>0</v>
      </c>
      <c r="ER60" s="235">
        <f t="shared" si="92"/>
        <v>0</v>
      </c>
      <c r="ES60" s="235">
        <f t="shared" si="92"/>
        <v>0</v>
      </c>
      <c r="ET60" s="235">
        <f t="shared" si="92"/>
        <v>0</v>
      </c>
      <c r="EU60" s="235">
        <f t="shared" si="92"/>
        <v>0</v>
      </c>
      <c r="EV60" s="235">
        <f t="shared" si="92"/>
        <v>0</v>
      </c>
      <c r="EW60" s="235">
        <f t="shared" si="92"/>
        <v>0</v>
      </c>
      <c r="EX60" s="235">
        <f t="shared" si="92"/>
        <v>0</v>
      </c>
      <c r="EY60" s="235">
        <f t="shared" si="92"/>
        <v>0</v>
      </c>
      <c r="EZ60" s="235">
        <f t="shared" si="92"/>
        <v>0</v>
      </c>
      <c r="FA60" s="235">
        <f t="shared" si="92"/>
        <v>0</v>
      </c>
      <c r="FB60" s="235">
        <f t="shared" si="92"/>
        <v>0</v>
      </c>
      <c r="FC60" s="235">
        <f t="shared" si="92"/>
        <v>0</v>
      </c>
      <c r="FD60" s="235">
        <f t="shared" si="92"/>
        <v>0</v>
      </c>
      <c r="FE60" s="235">
        <f t="shared" si="92"/>
        <v>0</v>
      </c>
      <c r="FF60" s="235">
        <f t="shared" si="92"/>
        <v>0</v>
      </c>
      <c r="FG60" s="235">
        <f t="shared" ref="FG60:GB60" si="93">FG56-FG58</f>
        <v>0</v>
      </c>
      <c r="FH60" s="235">
        <f t="shared" si="93"/>
        <v>0</v>
      </c>
      <c r="FI60" s="235">
        <f t="shared" si="93"/>
        <v>0</v>
      </c>
      <c r="FJ60" s="235">
        <f t="shared" si="93"/>
        <v>0</v>
      </c>
      <c r="FK60" s="235">
        <f t="shared" si="93"/>
        <v>0</v>
      </c>
      <c r="FL60" s="235">
        <f t="shared" si="93"/>
        <v>0</v>
      </c>
      <c r="FM60" s="235">
        <f t="shared" si="93"/>
        <v>0</v>
      </c>
      <c r="FN60" s="235">
        <f t="shared" si="93"/>
        <v>0</v>
      </c>
      <c r="FO60" s="235">
        <f t="shared" si="93"/>
        <v>0</v>
      </c>
      <c r="FP60" s="235">
        <f t="shared" si="93"/>
        <v>0</v>
      </c>
      <c r="FQ60" s="235">
        <f t="shared" si="93"/>
        <v>0</v>
      </c>
      <c r="FR60" s="235">
        <f t="shared" si="93"/>
        <v>0</v>
      </c>
      <c r="FS60" s="235">
        <f t="shared" si="93"/>
        <v>0</v>
      </c>
      <c r="FT60" s="235">
        <f t="shared" si="93"/>
        <v>0</v>
      </c>
      <c r="FU60" s="235">
        <f t="shared" si="93"/>
        <v>0</v>
      </c>
      <c r="FV60" s="235">
        <f t="shared" si="93"/>
        <v>0</v>
      </c>
      <c r="FW60" s="235">
        <f t="shared" si="93"/>
        <v>0</v>
      </c>
      <c r="FX60" s="235">
        <f t="shared" si="93"/>
        <v>0</v>
      </c>
      <c r="FY60" s="235">
        <f t="shared" si="93"/>
        <v>0</v>
      </c>
      <c r="FZ60" s="235">
        <f t="shared" si="93"/>
        <v>0</v>
      </c>
      <c r="GA60" s="235">
        <f t="shared" si="93"/>
        <v>0</v>
      </c>
      <c r="GB60" s="236">
        <f t="shared" si="93"/>
        <v>0</v>
      </c>
    </row>
    <row r="61" spans="1:184" ht="17.25" customHeight="1" x14ac:dyDescent="0.5">
      <c r="B61" s="18"/>
      <c r="C61" s="19"/>
      <c r="D61" s="19"/>
      <c r="E61" s="19"/>
      <c r="F61" s="19"/>
      <c r="G61" s="19"/>
      <c r="H61" s="19"/>
      <c r="I61" s="19"/>
      <c r="J61" s="19"/>
      <c r="K61" s="19"/>
      <c r="L61" s="19"/>
      <c r="M61" s="19"/>
      <c r="N61" s="20"/>
      <c r="R61" s="101" t="s">
        <v>150</v>
      </c>
      <c r="S61" s="233">
        <f t="shared" ref="S61:AX61" si="94">S57-S59</f>
        <v>-640</v>
      </c>
      <c r="T61" s="233">
        <f t="shared" si="94"/>
        <v>4318.0769230769229</v>
      </c>
      <c r="U61" s="233">
        <f t="shared" si="94"/>
        <v>4276.5569526627205</v>
      </c>
      <c r="V61" s="233">
        <f t="shared" si="94"/>
        <v>4235.4362127332724</v>
      </c>
      <c r="W61" s="233">
        <f t="shared" si="94"/>
        <v>4194.7108645339131</v>
      </c>
      <c r="X61" s="233">
        <f t="shared" si="94"/>
        <v>0</v>
      </c>
      <c r="Y61" s="233">
        <f t="shared" si="94"/>
        <v>0</v>
      </c>
      <c r="Z61" s="233">
        <f t="shared" si="94"/>
        <v>0</v>
      </c>
      <c r="AA61" s="233">
        <f t="shared" si="94"/>
        <v>0</v>
      </c>
      <c r="AB61" s="233">
        <f t="shared" si="94"/>
        <v>0</v>
      </c>
      <c r="AC61" s="233">
        <f t="shared" si="94"/>
        <v>0</v>
      </c>
      <c r="AD61" s="233">
        <f t="shared" si="94"/>
        <v>0</v>
      </c>
      <c r="AE61" s="233">
        <f t="shared" si="94"/>
        <v>0</v>
      </c>
      <c r="AF61" s="233">
        <f t="shared" si="94"/>
        <v>0</v>
      </c>
      <c r="AG61" s="233">
        <f t="shared" si="94"/>
        <v>0</v>
      </c>
      <c r="AH61" s="233">
        <f t="shared" si="94"/>
        <v>0</v>
      </c>
      <c r="AI61" s="233">
        <f t="shared" si="94"/>
        <v>0</v>
      </c>
      <c r="AJ61" s="233">
        <f t="shared" si="94"/>
        <v>0</v>
      </c>
      <c r="AK61" s="233">
        <f t="shared" si="94"/>
        <v>0</v>
      </c>
      <c r="AL61" s="233">
        <f t="shared" si="94"/>
        <v>0</v>
      </c>
      <c r="AM61" s="233">
        <f t="shared" si="94"/>
        <v>0</v>
      </c>
      <c r="AN61" s="233">
        <f t="shared" si="94"/>
        <v>0</v>
      </c>
      <c r="AO61" s="233">
        <f t="shared" si="94"/>
        <v>0</v>
      </c>
      <c r="AP61" s="233">
        <f t="shared" si="94"/>
        <v>0</v>
      </c>
      <c r="AQ61" s="233">
        <f t="shared" si="94"/>
        <v>0</v>
      </c>
      <c r="AR61" s="233">
        <f t="shared" si="94"/>
        <v>0</v>
      </c>
      <c r="AS61" s="233">
        <f t="shared" si="94"/>
        <v>0</v>
      </c>
      <c r="AT61" s="233">
        <f t="shared" si="94"/>
        <v>0</v>
      </c>
      <c r="AU61" s="233">
        <f t="shared" si="94"/>
        <v>0</v>
      </c>
      <c r="AV61" s="233">
        <f t="shared" si="94"/>
        <v>0</v>
      </c>
      <c r="AW61" s="233">
        <f t="shared" si="94"/>
        <v>0</v>
      </c>
      <c r="AX61" s="233">
        <f t="shared" si="94"/>
        <v>0</v>
      </c>
      <c r="AY61" s="233">
        <f t="shared" ref="AY61:BT61" si="95">AY57-AY59</f>
        <v>0</v>
      </c>
      <c r="AZ61" s="233">
        <f t="shared" si="95"/>
        <v>0</v>
      </c>
      <c r="BA61" s="233">
        <f t="shared" si="95"/>
        <v>0</v>
      </c>
      <c r="BB61" s="233">
        <f t="shared" si="95"/>
        <v>0</v>
      </c>
      <c r="BC61" s="233">
        <f t="shared" si="95"/>
        <v>0</v>
      </c>
      <c r="BD61" s="233">
        <f t="shared" si="95"/>
        <v>0</v>
      </c>
      <c r="BE61" s="233">
        <f t="shared" si="95"/>
        <v>0</v>
      </c>
      <c r="BF61" s="233">
        <f t="shared" si="95"/>
        <v>0</v>
      </c>
      <c r="BG61" s="233">
        <f t="shared" si="95"/>
        <v>0</v>
      </c>
      <c r="BH61" s="233">
        <f t="shared" si="95"/>
        <v>0</v>
      </c>
      <c r="BI61" s="233">
        <f t="shared" si="95"/>
        <v>0</v>
      </c>
      <c r="BJ61" s="233">
        <f t="shared" si="95"/>
        <v>0</v>
      </c>
      <c r="BK61" s="233">
        <f t="shared" si="95"/>
        <v>0</v>
      </c>
      <c r="BL61" s="233">
        <f t="shared" si="95"/>
        <v>0</v>
      </c>
      <c r="BM61" s="233">
        <f t="shared" si="95"/>
        <v>0</v>
      </c>
      <c r="BN61" s="233">
        <f t="shared" si="95"/>
        <v>0</v>
      </c>
      <c r="BO61" s="233">
        <f t="shared" si="95"/>
        <v>0</v>
      </c>
      <c r="BP61" s="233">
        <f t="shared" si="95"/>
        <v>0</v>
      </c>
      <c r="BQ61" s="233">
        <f t="shared" si="95"/>
        <v>0</v>
      </c>
      <c r="BR61" s="233">
        <f t="shared" si="95"/>
        <v>0</v>
      </c>
      <c r="BS61" s="233">
        <f t="shared" si="95"/>
        <v>0</v>
      </c>
      <c r="BT61" s="234">
        <f t="shared" si="95"/>
        <v>0</v>
      </c>
      <c r="BV61" s="101" t="s">
        <v>150</v>
      </c>
      <c r="BW61" s="235">
        <f t="shared" ref="BW61:DB61" si="96">BW57-BW59</f>
        <v>-3404</v>
      </c>
      <c r="BX61" s="235">
        <f t="shared" si="96"/>
        <v>3037.5849056603774</v>
      </c>
      <c r="BY61" s="235">
        <f t="shared" si="96"/>
        <v>2980.2719829120683</v>
      </c>
      <c r="BZ61" s="235">
        <f t="shared" si="96"/>
        <v>2924.0404360646703</v>
      </c>
      <c r="CA61" s="235">
        <f t="shared" si="96"/>
        <v>2868.8698617992995</v>
      </c>
      <c r="CB61" s="235">
        <f t="shared" si="96"/>
        <v>0</v>
      </c>
      <c r="CC61" s="235">
        <f t="shared" si="96"/>
        <v>0</v>
      </c>
      <c r="CD61" s="235">
        <f t="shared" si="96"/>
        <v>0</v>
      </c>
      <c r="CE61" s="235">
        <f t="shared" si="96"/>
        <v>0</v>
      </c>
      <c r="CF61" s="235">
        <f t="shared" si="96"/>
        <v>0</v>
      </c>
      <c r="CG61" s="235">
        <f t="shared" si="96"/>
        <v>0</v>
      </c>
      <c r="CH61" s="235">
        <f t="shared" si="96"/>
        <v>0</v>
      </c>
      <c r="CI61" s="235">
        <f t="shared" si="96"/>
        <v>0</v>
      </c>
      <c r="CJ61" s="235">
        <f t="shared" si="96"/>
        <v>0</v>
      </c>
      <c r="CK61" s="235">
        <f t="shared" si="96"/>
        <v>0</v>
      </c>
      <c r="CL61" s="235">
        <f t="shared" si="96"/>
        <v>0</v>
      </c>
      <c r="CM61" s="235">
        <f t="shared" si="96"/>
        <v>0</v>
      </c>
      <c r="CN61" s="235">
        <f t="shared" si="96"/>
        <v>0</v>
      </c>
      <c r="CO61" s="235">
        <f t="shared" si="96"/>
        <v>0</v>
      </c>
      <c r="CP61" s="235">
        <f t="shared" si="96"/>
        <v>0</v>
      </c>
      <c r="CQ61" s="235">
        <f t="shared" si="96"/>
        <v>0</v>
      </c>
      <c r="CR61" s="235">
        <f t="shared" si="96"/>
        <v>0</v>
      </c>
      <c r="CS61" s="235">
        <f t="shared" si="96"/>
        <v>0</v>
      </c>
      <c r="CT61" s="235">
        <f t="shared" si="96"/>
        <v>0</v>
      </c>
      <c r="CU61" s="235">
        <f t="shared" si="96"/>
        <v>0</v>
      </c>
      <c r="CV61" s="235">
        <f t="shared" si="96"/>
        <v>0</v>
      </c>
      <c r="CW61" s="235">
        <f t="shared" si="96"/>
        <v>0</v>
      </c>
      <c r="CX61" s="235">
        <f t="shared" si="96"/>
        <v>0</v>
      </c>
      <c r="CY61" s="235">
        <f t="shared" si="96"/>
        <v>0</v>
      </c>
      <c r="CZ61" s="235">
        <f t="shared" si="96"/>
        <v>0</v>
      </c>
      <c r="DA61" s="235">
        <f t="shared" si="96"/>
        <v>0</v>
      </c>
      <c r="DB61" s="235">
        <f t="shared" si="96"/>
        <v>0</v>
      </c>
      <c r="DC61" s="235">
        <f t="shared" ref="DC61:DX61" si="97">DC57-DC59</f>
        <v>0</v>
      </c>
      <c r="DD61" s="235">
        <f t="shared" si="97"/>
        <v>0</v>
      </c>
      <c r="DE61" s="235">
        <f t="shared" si="97"/>
        <v>0</v>
      </c>
      <c r="DF61" s="235">
        <f t="shared" si="97"/>
        <v>0</v>
      </c>
      <c r="DG61" s="235">
        <f t="shared" si="97"/>
        <v>0</v>
      </c>
      <c r="DH61" s="235">
        <f t="shared" si="97"/>
        <v>0</v>
      </c>
      <c r="DI61" s="235">
        <f t="shared" si="97"/>
        <v>0</v>
      </c>
      <c r="DJ61" s="235">
        <f t="shared" si="97"/>
        <v>0</v>
      </c>
      <c r="DK61" s="235">
        <f t="shared" si="97"/>
        <v>0</v>
      </c>
      <c r="DL61" s="235">
        <f t="shared" si="97"/>
        <v>0</v>
      </c>
      <c r="DM61" s="235">
        <f t="shared" si="97"/>
        <v>0</v>
      </c>
      <c r="DN61" s="235">
        <f t="shared" si="97"/>
        <v>0</v>
      </c>
      <c r="DO61" s="235">
        <f t="shared" si="97"/>
        <v>0</v>
      </c>
      <c r="DP61" s="235">
        <f t="shared" si="97"/>
        <v>0</v>
      </c>
      <c r="DQ61" s="235">
        <f t="shared" si="97"/>
        <v>0</v>
      </c>
      <c r="DR61" s="235">
        <f t="shared" si="97"/>
        <v>0</v>
      </c>
      <c r="DS61" s="235">
        <f t="shared" si="97"/>
        <v>0</v>
      </c>
      <c r="DT61" s="235">
        <f t="shared" si="97"/>
        <v>0</v>
      </c>
      <c r="DU61" s="235">
        <f t="shared" si="97"/>
        <v>0</v>
      </c>
      <c r="DV61" s="235">
        <f t="shared" si="97"/>
        <v>0</v>
      </c>
      <c r="DW61" s="235">
        <f t="shared" si="97"/>
        <v>0</v>
      </c>
      <c r="DX61" s="236">
        <f t="shared" si="97"/>
        <v>0</v>
      </c>
      <c r="DZ61" s="101" t="s">
        <v>150</v>
      </c>
      <c r="EA61" s="235">
        <f t="shared" ref="EA61:FF61" si="98">EA57-EA59</f>
        <v>1750.0000000000036</v>
      </c>
      <c r="EB61" s="235">
        <f t="shared" si="98"/>
        <v>5446.6019417475763</v>
      </c>
      <c r="EC61" s="235">
        <f t="shared" si="98"/>
        <v>5393.7223112451729</v>
      </c>
      <c r="ED61" s="235">
        <f t="shared" si="98"/>
        <v>5341.3560752136664</v>
      </c>
      <c r="EE61" s="235">
        <f t="shared" si="98"/>
        <v>5289.498249240718</v>
      </c>
      <c r="EF61" s="235">
        <f t="shared" si="98"/>
        <v>0</v>
      </c>
      <c r="EG61" s="235">
        <f t="shared" si="98"/>
        <v>0</v>
      </c>
      <c r="EH61" s="235">
        <f t="shared" si="98"/>
        <v>0</v>
      </c>
      <c r="EI61" s="235">
        <f t="shared" si="98"/>
        <v>0</v>
      </c>
      <c r="EJ61" s="235">
        <f t="shared" si="98"/>
        <v>0</v>
      </c>
      <c r="EK61" s="235">
        <f t="shared" si="98"/>
        <v>0</v>
      </c>
      <c r="EL61" s="235">
        <f t="shared" si="98"/>
        <v>0</v>
      </c>
      <c r="EM61" s="235">
        <f t="shared" si="98"/>
        <v>0</v>
      </c>
      <c r="EN61" s="235">
        <f t="shared" si="98"/>
        <v>0</v>
      </c>
      <c r="EO61" s="235">
        <f t="shared" si="98"/>
        <v>0</v>
      </c>
      <c r="EP61" s="235">
        <f t="shared" si="98"/>
        <v>0</v>
      </c>
      <c r="EQ61" s="235">
        <f t="shared" si="98"/>
        <v>0</v>
      </c>
      <c r="ER61" s="235">
        <f t="shared" si="98"/>
        <v>0</v>
      </c>
      <c r="ES61" s="235">
        <f t="shared" si="98"/>
        <v>0</v>
      </c>
      <c r="ET61" s="235">
        <f t="shared" si="98"/>
        <v>0</v>
      </c>
      <c r="EU61" s="235">
        <f t="shared" si="98"/>
        <v>0</v>
      </c>
      <c r="EV61" s="235">
        <f t="shared" si="98"/>
        <v>0</v>
      </c>
      <c r="EW61" s="235">
        <f t="shared" si="98"/>
        <v>0</v>
      </c>
      <c r="EX61" s="235">
        <f t="shared" si="98"/>
        <v>0</v>
      </c>
      <c r="EY61" s="235">
        <f t="shared" si="98"/>
        <v>0</v>
      </c>
      <c r="EZ61" s="235">
        <f t="shared" si="98"/>
        <v>0</v>
      </c>
      <c r="FA61" s="235">
        <f t="shared" si="98"/>
        <v>0</v>
      </c>
      <c r="FB61" s="235">
        <f t="shared" si="98"/>
        <v>0</v>
      </c>
      <c r="FC61" s="235">
        <f t="shared" si="98"/>
        <v>0</v>
      </c>
      <c r="FD61" s="235">
        <f t="shared" si="98"/>
        <v>0</v>
      </c>
      <c r="FE61" s="235">
        <f t="shared" si="98"/>
        <v>0</v>
      </c>
      <c r="FF61" s="235">
        <f t="shared" si="98"/>
        <v>0</v>
      </c>
      <c r="FG61" s="235">
        <f t="shared" ref="FG61:GB61" si="99">FG57-FG59</f>
        <v>0</v>
      </c>
      <c r="FH61" s="235">
        <f t="shared" si="99"/>
        <v>0</v>
      </c>
      <c r="FI61" s="235">
        <f t="shared" si="99"/>
        <v>0</v>
      </c>
      <c r="FJ61" s="235">
        <f t="shared" si="99"/>
        <v>0</v>
      </c>
      <c r="FK61" s="235">
        <f t="shared" si="99"/>
        <v>0</v>
      </c>
      <c r="FL61" s="235">
        <f t="shared" si="99"/>
        <v>0</v>
      </c>
      <c r="FM61" s="235">
        <f t="shared" si="99"/>
        <v>0</v>
      </c>
      <c r="FN61" s="235">
        <f t="shared" si="99"/>
        <v>0</v>
      </c>
      <c r="FO61" s="235">
        <f t="shared" si="99"/>
        <v>0</v>
      </c>
      <c r="FP61" s="235">
        <f t="shared" si="99"/>
        <v>0</v>
      </c>
      <c r="FQ61" s="235">
        <f t="shared" si="99"/>
        <v>0</v>
      </c>
      <c r="FR61" s="235">
        <f t="shared" si="99"/>
        <v>0</v>
      </c>
      <c r="FS61" s="235">
        <f t="shared" si="99"/>
        <v>0</v>
      </c>
      <c r="FT61" s="235">
        <f t="shared" si="99"/>
        <v>0</v>
      </c>
      <c r="FU61" s="235">
        <f t="shared" si="99"/>
        <v>0</v>
      </c>
      <c r="FV61" s="235">
        <f t="shared" si="99"/>
        <v>0</v>
      </c>
      <c r="FW61" s="235">
        <f t="shared" si="99"/>
        <v>0</v>
      </c>
      <c r="FX61" s="235">
        <f t="shared" si="99"/>
        <v>0</v>
      </c>
      <c r="FY61" s="235">
        <f t="shared" si="99"/>
        <v>0</v>
      </c>
      <c r="FZ61" s="235">
        <f t="shared" si="99"/>
        <v>0</v>
      </c>
      <c r="GA61" s="235">
        <f t="shared" si="99"/>
        <v>0</v>
      </c>
      <c r="GB61" s="236">
        <f t="shared" si="99"/>
        <v>0</v>
      </c>
    </row>
    <row r="62" spans="1:184" ht="18" customHeight="1" x14ac:dyDescent="0.5">
      <c r="B62" s="18"/>
      <c r="C62" s="19"/>
      <c r="D62" s="19"/>
      <c r="E62" s="19"/>
      <c r="F62" s="19"/>
      <c r="G62" s="19"/>
      <c r="H62" s="19"/>
      <c r="I62" s="19"/>
      <c r="J62" s="19"/>
      <c r="K62" s="19"/>
      <c r="L62" s="19"/>
      <c r="M62" s="19"/>
      <c r="N62" s="20"/>
      <c r="R62" s="114" t="s">
        <v>151</v>
      </c>
      <c r="S62" s="237">
        <f t="shared" ref="S62:AX62" si="100">SUMIFS($S$61:$BT$61,$S$20:$BT$20,"&lt;="&amp;S20)</f>
        <v>-640</v>
      </c>
      <c r="T62" s="237">
        <f t="shared" si="100"/>
        <v>3678.0769230769229</v>
      </c>
      <c r="U62" s="237">
        <f t="shared" si="100"/>
        <v>7954.6338757396434</v>
      </c>
      <c r="V62" s="237">
        <f t="shared" si="100"/>
        <v>12190.070088472916</v>
      </c>
      <c r="W62" s="237">
        <f t="shared" si="100"/>
        <v>16384.78095300683</v>
      </c>
      <c r="X62" s="237">
        <f t="shared" si="100"/>
        <v>16384.78095300683</v>
      </c>
      <c r="Y62" s="237">
        <f t="shared" si="100"/>
        <v>16384.78095300683</v>
      </c>
      <c r="Z62" s="237">
        <f t="shared" si="100"/>
        <v>16384.78095300683</v>
      </c>
      <c r="AA62" s="237">
        <f t="shared" si="100"/>
        <v>16384.78095300683</v>
      </c>
      <c r="AB62" s="237">
        <f t="shared" si="100"/>
        <v>16384.78095300683</v>
      </c>
      <c r="AC62" s="237">
        <f t="shared" si="100"/>
        <v>16384.78095300683</v>
      </c>
      <c r="AD62" s="237">
        <f t="shared" si="100"/>
        <v>16384.78095300683</v>
      </c>
      <c r="AE62" s="237">
        <f t="shared" si="100"/>
        <v>16384.78095300683</v>
      </c>
      <c r="AF62" s="237">
        <f t="shared" si="100"/>
        <v>16384.78095300683</v>
      </c>
      <c r="AG62" s="237">
        <f t="shared" si="100"/>
        <v>16384.78095300683</v>
      </c>
      <c r="AH62" s="237">
        <f t="shared" si="100"/>
        <v>16384.78095300683</v>
      </c>
      <c r="AI62" s="237">
        <f t="shared" si="100"/>
        <v>16384.78095300683</v>
      </c>
      <c r="AJ62" s="237">
        <f t="shared" si="100"/>
        <v>16384.78095300683</v>
      </c>
      <c r="AK62" s="237">
        <f t="shared" si="100"/>
        <v>16384.78095300683</v>
      </c>
      <c r="AL62" s="237">
        <f t="shared" si="100"/>
        <v>16384.78095300683</v>
      </c>
      <c r="AM62" s="237">
        <f t="shared" si="100"/>
        <v>16384.78095300683</v>
      </c>
      <c r="AN62" s="237">
        <f t="shared" si="100"/>
        <v>16384.78095300683</v>
      </c>
      <c r="AO62" s="237">
        <f t="shared" si="100"/>
        <v>16384.78095300683</v>
      </c>
      <c r="AP62" s="237">
        <f t="shared" si="100"/>
        <v>16384.78095300683</v>
      </c>
      <c r="AQ62" s="237">
        <f t="shared" si="100"/>
        <v>16384.78095300683</v>
      </c>
      <c r="AR62" s="237">
        <f t="shared" si="100"/>
        <v>16384.78095300683</v>
      </c>
      <c r="AS62" s="237">
        <f t="shared" si="100"/>
        <v>16384.78095300683</v>
      </c>
      <c r="AT62" s="237">
        <f t="shared" si="100"/>
        <v>16384.78095300683</v>
      </c>
      <c r="AU62" s="237">
        <f t="shared" si="100"/>
        <v>16384.78095300683</v>
      </c>
      <c r="AV62" s="237">
        <f t="shared" si="100"/>
        <v>16384.78095300683</v>
      </c>
      <c r="AW62" s="237">
        <f t="shared" si="100"/>
        <v>16384.78095300683</v>
      </c>
      <c r="AX62" s="237">
        <f t="shared" si="100"/>
        <v>16384.78095300683</v>
      </c>
      <c r="AY62" s="237">
        <f t="shared" ref="AY62:BT62" si="101">SUMIFS($S$61:$BT$61,$S$20:$BT$20,"&lt;="&amp;AY20)</f>
        <v>16384.78095300683</v>
      </c>
      <c r="AZ62" s="237">
        <f t="shared" si="101"/>
        <v>16384.78095300683</v>
      </c>
      <c r="BA62" s="237">
        <f t="shared" si="101"/>
        <v>16384.78095300683</v>
      </c>
      <c r="BB62" s="237">
        <f t="shared" si="101"/>
        <v>16384.78095300683</v>
      </c>
      <c r="BC62" s="237">
        <f t="shared" si="101"/>
        <v>16384.78095300683</v>
      </c>
      <c r="BD62" s="237">
        <f t="shared" si="101"/>
        <v>16384.78095300683</v>
      </c>
      <c r="BE62" s="237">
        <f t="shared" si="101"/>
        <v>16384.78095300683</v>
      </c>
      <c r="BF62" s="237">
        <f t="shared" si="101"/>
        <v>16384.78095300683</v>
      </c>
      <c r="BG62" s="237">
        <f t="shared" si="101"/>
        <v>16384.78095300683</v>
      </c>
      <c r="BH62" s="237">
        <f t="shared" si="101"/>
        <v>16384.78095300683</v>
      </c>
      <c r="BI62" s="237">
        <f t="shared" si="101"/>
        <v>16384.78095300683</v>
      </c>
      <c r="BJ62" s="237">
        <f t="shared" si="101"/>
        <v>16384.78095300683</v>
      </c>
      <c r="BK62" s="237">
        <f t="shared" si="101"/>
        <v>16384.78095300683</v>
      </c>
      <c r="BL62" s="237">
        <f t="shared" si="101"/>
        <v>16384.78095300683</v>
      </c>
      <c r="BM62" s="237">
        <f t="shared" si="101"/>
        <v>16384.78095300683</v>
      </c>
      <c r="BN62" s="237">
        <f t="shared" si="101"/>
        <v>16384.78095300683</v>
      </c>
      <c r="BO62" s="237">
        <f t="shared" si="101"/>
        <v>16384.78095300683</v>
      </c>
      <c r="BP62" s="237">
        <f t="shared" si="101"/>
        <v>16384.78095300683</v>
      </c>
      <c r="BQ62" s="237">
        <f t="shared" si="101"/>
        <v>16384.78095300683</v>
      </c>
      <c r="BR62" s="237">
        <f t="shared" si="101"/>
        <v>16384.78095300683</v>
      </c>
      <c r="BS62" s="237">
        <f t="shared" si="101"/>
        <v>16384.78095300683</v>
      </c>
      <c r="BT62" s="238">
        <f t="shared" si="101"/>
        <v>16384.78095300683</v>
      </c>
      <c r="BV62" s="114" t="s">
        <v>151</v>
      </c>
      <c r="BW62" s="239">
        <f t="shared" ref="BW62:DB62" si="102">SUMIFS($BW$61:$DX$61,$S$20:$BT$20,"&lt;="&amp;BW20)</f>
        <v>-3404</v>
      </c>
      <c r="BX62" s="239">
        <f t="shared" si="102"/>
        <v>-366.41509433962256</v>
      </c>
      <c r="BY62" s="239">
        <f t="shared" si="102"/>
        <v>2613.8568885724458</v>
      </c>
      <c r="BZ62" s="239">
        <f t="shared" si="102"/>
        <v>5537.8973246371161</v>
      </c>
      <c r="CA62" s="239">
        <f t="shared" si="102"/>
        <v>8406.7671864364165</v>
      </c>
      <c r="CB62" s="239">
        <f t="shared" si="102"/>
        <v>8406.7671864364165</v>
      </c>
      <c r="CC62" s="239">
        <f t="shared" si="102"/>
        <v>8406.7671864364165</v>
      </c>
      <c r="CD62" s="239">
        <f t="shared" si="102"/>
        <v>8406.7671864364165</v>
      </c>
      <c r="CE62" s="239">
        <f t="shared" si="102"/>
        <v>8406.7671864364165</v>
      </c>
      <c r="CF62" s="239">
        <f t="shared" si="102"/>
        <v>8406.7671864364165</v>
      </c>
      <c r="CG62" s="239">
        <f t="shared" si="102"/>
        <v>8406.7671864364165</v>
      </c>
      <c r="CH62" s="239">
        <f t="shared" si="102"/>
        <v>8406.7671864364165</v>
      </c>
      <c r="CI62" s="239">
        <f t="shared" si="102"/>
        <v>8406.7671864364165</v>
      </c>
      <c r="CJ62" s="239">
        <f t="shared" si="102"/>
        <v>8406.7671864364165</v>
      </c>
      <c r="CK62" s="239">
        <f t="shared" si="102"/>
        <v>8406.7671864364165</v>
      </c>
      <c r="CL62" s="239">
        <f t="shared" si="102"/>
        <v>8406.7671864364165</v>
      </c>
      <c r="CM62" s="239">
        <f t="shared" si="102"/>
        <v>8406.7671864364165</v>
      </c>
      <c r="CN62" s="239">
        <f t="shared" si="102"/>
        <v>8406.7671864364165</v>
      </c>
      <c r="CO62" s="239">
        <f t="shared" si="102"/>
        <v>8406.7671864364165</v>
      </c>
      <c r="CP62" s="239">
        <f t="shared" si="102"/>
        <v>8406.7671864364165</v>
      </c>
      <c r="CQ62" s="239">
        <f t="shared" si="102"/>
        <v>8406.7671864364165</v>
      </c>
      <c r="CR62" s="239">
        <f t="shared" si="102"/>
        <v>8406.7671864364165</v>
      </c>
      <c r="CS62" s="239">
        <f t="shared" si="102"/>
        <v>8406.7671864364165</v>
      </c>
      <c r="CT62" s="239">
        <f t="shared" si="102"/>
        <v>8406.7671864364165</v>
      </c>
      <c r="CU62" s="239">
        <f t="shared" si="102"/>
        <v>8406.7671864364165</v>
      </c>
      <c r="CV62" s="239">
        <f t="shared" si="102"/>
        <v>8406.7671864364165</v>
      </c>
      <c r="CW62" s="239">
        <f t="shared" si="102"/>
        <v>8406.7671864364165</v>
      </c>
      <c r="CX62" s="239">
        <f t="shared" si="102"/>
        <v>8406.7671864364165</v>
      </c>
      <c r="CY62" s="239">
        <f t="shared" si="102"/>
        <v>8406.7671864364165</v>
      </c>
      <c r="CZ62" s="239">
        <f t="shared" si="102"/>
        <v>8406.7671864364165</v>
      </c>
      <c r="DA62" s="239">
        <f t="shared" si="102"/>
        <v>8406.7671864364165</v>
      </c>
      <c r="DB62" s="239">
        <f t="shared" si="102"/>
        <v>8406.7671864364165</v>
      </c>
      <c r="DC62" s="239">
        <f t="shared" ref="DC62:DX62" si="103">SUMIFS($BW$61:$DX$61,$S$20:$BT$20,"&lt;="&amp;DC20)</f>
        <v>8406.7671864364165</v>
      </c>
      <c r="DD62" s="239">
        <f t="shared" si="103"/>
        <v>8406.7671864364165</v>
      </c>
      <c r="DE62" s="239">
        <f t="shared" si="103"/>
        <v>8406.7671864364165</v>
      </c>
      <c r="DF62" s="239">
        <f t="shared" si="103"/>
        <v>8406.7671864364165</v>
      </c>
      <c r="DG62" s="239">
        <f t="shared" si="103"/>
        <v>8406.7671864364165</v>
      </c>
      <c r="DH62" s="239">
        <f t="shared" si="103"/>
        <v>8406.7671864364165</v>
      </c>
      <c r="DI62" s="239">
        <f t="shared" si="103"/>
        <v>8406.7671864364165</v>
      </c>
      <c r="DJ62" s="239">
        <f t="shared" si="103"/>
        <v>8406.7671864364165</v>
      </c>
      <c r="DK62" s="239">
        <f t="shared" si="103"/>
        <v>8406.7671864364165</v>
      </c>
      <c r="DL62" s="239">
        <f t="shared" si="103"/>
        <v>8406.7671864364165</v>
      </c>
      <c r="DM62" s="239">
        <f t="shared" si="103"/>
        <v>8406.7671864364165</v>
      </c>
      <c r="DN62" s="239">
        <f t="shared" si="103"/>
        <v>8406.7671864364165</v>
      </c>
      <c r="DO62" s="239">
        <f t="shared" si="103"/>
        <v>8406.7671864364165</v>
      </c>
      <c r="DP62" s="239">
        <f t="shared" si="103"/>
        <v>8406.7671864364165</v>
      </c>
      <c r="DQ62" s="239">
        <f t="shared" si="103"/>
        <v>8406.7671864364165</v>
      </c>
      <c r="DR62" s="239">
        <f t="shared" si="103"/>
        <v>8406.7671864364165</v>
      </c>
      <c r="DS62" s="239">
        <f t="shared" si="103"/>
        <v>8406.7671864364165</v>
      </c>
      <c r="DT62" s="239">
        <f t="shared" si="103"/>
        <v>8406.7671864364165</v>
      </c>
      <c r="DU62" s="239">
        <f t="shared" si="103"/>
        <v>8406.7671864364165</v>
      </c>
      <c r="DV62" s="239">
        <f t="shared" si="103"/>
        <v>8406.7671864364165</v>
      </c>
      <c r="DW62" s="239">
        <f t="shared" si="103"/>
        <v>8406.7671864364165</v>
      </c>
      <c r="DX62" s="240">
        <f t="shared" si="103"/>
        <v>8406.7671864364165</v>
      </c>
      <c r="DZ62" s="114" t="s">
        <v>151</v>
      </c>
      <c r="EA62" s="239">
        <f t="shared" ref="EA62:FF62" si="104">SUMIFS($EA$61:$GB$61,$EA$20:$GB$20,"&lt;="&amp;EA20)</f>
        <v>1750.0000000000036</v>
      </c>
      <c r="EB62" s="239">
        <f t="shared" si="104"/>
        <v>7196.60194174758</v>
      </c>
      <c r="EC62" s="239">
        <f t="shared" si="104"/>
        <v>12590.324252992752</v>
      </c>
      <c r="ED62" s="239">
        <f t="shared" si="104"/>
        <v>17931.680328206417</v>
      </c>
      <c r="EE62" s="239">
        <f t="shared" si="104"/>
        <v>23221.178577447135</v>
      </c>
      <c r="EF62" s="239">
        <f t="shared" si="104"/>
        <v>23221.178577447135</v>
      </c>
      <c r="EG62" s="239">
        <f t="shared" si="104"/>
        <v>23221.178577447135</v>
      </c>
      <c r="EH62" s="239">
        <f t="shared" si="104"/>
        <v>23221.178577447135</v>
      </c>
      <c r="EI62" s="239">
        <f t="shared" si="104"/>
        <v>23221.178577447135</v>
      </c>
      <c r="EJ62" s="239">
        <f t="shared" si="104"/>
        <v>23221.178577447135</v>
      </c>
      <c r="EK62" s="239">
        <f t="shared" si="104"/>
        <v>23221.178577447135</v>
      </c>
      <c r="EL62" s="239">
        <f t="shared" si="104"/>
        <v>23221.178577447135</v>
      </c>
      <c r="EM62" s="239">
        <f t="shared" si="104"/>
        <v>23221.178577447135</v>
      </c>
      <c r="EN62" s="239">
        <f t="shared" si="104"/>
        <v>23221.178577447135</v>
      </c>
      <c r="EO62" s="239">
        <f t="shared" si="104"/>
        <v>23221.178577447135</v>
      </c>
      <c r="EP62" s="239">
        <f t="shared" si="104"/>
        <v>23221.178577447135</v>
      </c>
      <c r="EQ62" s="239">
        <f t="shared" si="104"/>
        <v>23221.178577447135</v>
      </c>
      <c r="ER62" s="239">
        <f t="shared" si="104"/>
        <v>23221.178577447135</v>
      </c>
      <c r="ES62" s="239">
        <f t="shared" si="104"/>
        <v>23221.178577447135</v>
      </c>
      <c r="ET62" s="239">
        <f t="shared" si="104"/>
        <v>23221.178577447135</v>
      </c>
      <c r="EU62" s="239">
        <f t="shared" si="104"/>
        <v>23221.178577447135</v>
      </c>
      <c r="EV62" s="239">
        <f t="shared" si="104"/>
        <v>23221.178577447135</v>
      </c>
      <c r="EW62" s="239">
        <f t="shared" si="104"/>
        <v>23221.178577447135</v>
      </c>
      <c r="EX62" s="239">
        <f t="shared" si="104"/>
        <v>23221.178577447135</v>
      </c>
      <c r="EY62" s="239">
        <f t="shared" si="104"/>
        <v>23221.178577447135</v>
      </c>
      <c r="EZ62" s="239">
        <f t="shared" si="104"/>
        <v>23221.178577447135</v>
      </c>
      <c r="FA62" s="239">
        <f t="shared" si="104"/>
        <v>23221.178577447135</v>
      </c>
      <c r="FB62" s="239">
        <f t="shared" si="104"/>
        <v>23221.178577447135</v>
      </c>
      <c r="FC62" s="239">
        <f t="shared" si="104"/>
        <v>23221.178577447135</v>
      </c>
      <c r="FD62" s="239">
        <f t="shared" si="104"/>
        <v>23221.178577447135</v>
      </c>
      <c r="FE62" s="239">
        <f t="shared" si="104"/>
        <v>23221.178577447135</v>
      </c>
      <c r="FF62" s="239">
        <f t="shared" si="104"/>
        <v>23221.178577447135</v>
      </c>
      <c r="FG62" s="239">
        <f t="shared" ref="FG62:GB62" si="105">SUMIFS($EA$61:$GB$61,$EA$20:$GB$20,"&lt;="&amp;FG20)</f>
        <v>23221.178577447135</v>
      </c>
      <c r="FH62" s="239">
        <f t="shared" si="105"/>
        <v>23221.178577447135</v>
      </c>
      <c r="FI62" s="239">
        <f t="shared" si="105"/>
        <v>23221.178577447135</v>
      </c>
      <c r="FJ62" s="239">
        <f t="shared" si="105"/>
        <v>23221.178577447135</v>
      </c>
      <c r="FK62" s="239">
        <f t="shared" si="105"/>
        <v>23221.178577447135</v>
      </c>
      <c r="FL62" s="239">
        <f t="shared" si="105"/>
        <v>23221.178577447135</v>
      </c>
      <c r="FM62" s="239">
        <f t="shared" si="105"/>
        <v>23221.178577447135</v>
      </c>
      <c r="FN62" s="239">
        <f t="shared" si="105"/>
        <v>23221.178577447135</v>
      </c>
      <c r="FO62" s="239">
        <f t="shared" si="105"/>
        <v>23221.178577447135</v>
      </c>
      <c r="FP62" s="239">
        <f t="shared" si="105"/>
        <v>23221.178577447135</v>
      </c>
      <c r="FQ62" s="239">
        <f t="shared" si="105"/>
        <v>23221.178577447135</v>
      </c>
      <c r="FR62" s="239">
        <f t="shared" si="105"/>
        <v>23221.178577447135</v>
      </c>
      <c r="FS62" s="239">
        <f t="shared" si="105"/>
        <v>23221.178577447135</v>
      </c>
      <c r="FT62" s="239">
        <f t="shared" si="105"/>
        <v>23221.178577447135</v>
      </c>
      <c r="FU62" s="239">
        <f t="shared" si="105"/>
        <v>23221.178577447135</v>
      </c>
      <c r="FV62" s="239">
        <f t="shared" si="105"/>
        <v>23221.178577447135</v>
      </c>
      <c r="FW62" s="239">
        <f t="shared" si="105"/>
        <v>23221.178577447135</v>
      </c>
      <c r="FX62" s="239">
        <f t="shared" si="105"/>
        <v>23221.178577447135</v>
      </c>
      <c r="FY62" s="239">
        <f t="shared" si="105"/>
        <v>23221.178577447135</v>
      </c>
      <c r="FZ62" s="239">
        <f t="shared" si="105"/>
        <v>23221.178577447135</v>
      </c>
      <c r="GA62" s="239">
        <f t="shared" si="105"/>
        <v>23221.178577447135</v>
      </c>
      <c r="GB62" s="240">
        <f t="shared" si="105"/>
        <v>23221.178577447135</v>
      </c>
    </row>
    <row r="63" spans="1:184" ht="17.25" customHeight="1" x14ac:dyDescent="0.5">
      <c r="B63" s="18"/>
      <c r="C63" s="19"/>
      <c r="D63" s="19"/>
      <c r="E63" s="19"/>
      <c r="F63" s="19"/>
      <c r="G63" s="19"/>
      <c r="H63" s="19"/>
      <c r="I63" s="19"/>
      <c r="J63" s="19"/>
      <c r="K63" s="19"/>
      <c r="L63" s="19"/>
      <c r="M63" s="19"/>
      <c r="N63" s="20"/>
      <c r="R63" s="293" t="s">
        <v>236</v>
      </c>
      <c r="S63">
        <f>BW62</f>
        <v>-3404</v>
      </c>
      <c r="T63">
        <f t="shared" ref="T63:BT63" si="106">BX62</f>
        <v>-366.41509433962256</v>
      </c>
      <c r="U63">
        <f t="shared" si="106"/>
        <v>2613.8568885724458</v>
      </c>
      <c r="V63">
        <f t="shared" si="106"/>
        <v>5537.8973246371161</v>
      </c>
      <c r="W63">
        <f t="shared" si="106"/>
        <v>8406.7671864364165</v>
      </c>
      <c r="X63">
        <f t="shared" si="106"/>
        <v>8406.7671864364165</v>
      </c>
      <c r="Y63">
        <f t="shared" si="106"/>
        <v>8406.7671864364165</v>
      </c>
      <c r="Z63">
        <f t="shared" si="106"/>
        <v>8406.7671864364165</v>
      </c>
      <c r="AA63">
        <f t="shared" si="106"/>
        <v>8406.7671864364165</v>
      </c>
      <c r="AB63">
        <f t="shared" si="106"/>
        <v>8406.7671864364165</v>
      </c>
      <c r="AC63">
        <f t="shared" si="106"/>
        <v>8406.7671864364165</v>
      </c>
      <c r="AD63">
        <f t="shared" si="106"/>
        <v>8406.7671864364165</v>
      </c>
      <c r="AE63">
        <f t="shared" si="106"/>
        <v>8406.7671864364165</v>
      </c>
      <c r="AF63">
        <f t="shared" si="106"/>
        <v>8406.7671864364165</v>
      </c>
      <c r="AG63">
        <f t="shared" si="106"/>
        <v>8406.7671864364165</v>
      </c>
      <c r="AH63">
        <f t="shared" si="106"/>
        <v>8406.7671864364165</v>
      </c>
      <c r="AI63">
        <f t="shared" si="106"/>
        <v>8406.7671864364165</v>
      </c>
      <c r="AJ63">
        <f t="shared" si="106"/>
        <v>8406.7671864364165</v>
      </c>
      <c r="AK63">
        <f t="shared" si="106"/>
        <v>8406.7671864364165</v>
      </c>
      <c r="AL63">
        <f t="shared" si="106"/>
        <v>8406.7671864364165</v>
      </c>
      <c r="AM63">
        <f t="shared" si="106"/>
        <v>8406.7671864364165</v>
      </c>
      <c r="AN63">
        <f t="shared" si="106"/>
        <v>8406.7671864364165</v>
      </c>
      <c r="AO63">
        <f t="shared" si="106"/>
        <v>8406.7671864364165</v>
      </c>
      <c r="AP63">
        <f t="shared" si="106"/>
        <v>8406.7671864364165</v>
      </c>
      <c r="AQ63">
        <f t="shared" si="106"/>
        <v>8406.7671864364165</v>
      </c>
      <c r="AR63">
        <f t="shared" si="106"/>
        <v>8406.7671864364165</v>
      </c>
      <c r="AS63">
        <f t="shared" si="106"/>
        <v>8406.7671864364165</v>
      </c>
      <c r="AT63">
        <f t="shared" si="106"/>
        <v>8406.7671864364165</v>
      </c>
      <c r="AU63">
        <f t="shared" si="106"/>
        <v>8406.7671864364165</v>
      </c>
      <c r="AV63">
        <f t="shared" si="106"/>
        <v>8406.7671864364165</v>
      </c>
      <c r="AW63">
        <f t="shared" si="106"/>
        <v>8406.7671864364165</v>
      </c>
      <c r="AX63">
        <f t="shared" si="106"/>
        <v>8406.7671864364165</v>
      </c>
      <c r="AY63">
        <f t="shared" si="106"/>
        <v>8406.7671864364165</v>
      </c>
      <c r="AZ63">
        <f t="shared" si="106"/>
        <v>8406.7671864364165</v>
      </c>
      <c r="BA63">
        <f t="shared" si="106"/>
        <v>8406.7671864364165</v>
      </c>
      <c r="BB63">
        <f t="shared" si="106"/>
        <v>8406.7671864364165</v>
      </c>
      <c r="BC63">
        <f t="shared" si="106"/>
        <v>8406.7671864364165</v>
      </c>
      <c r="BD63">
        <f t="shared" si="106"/>
        <v>8406.7671864364165</v>
      </c>
      <c r="BE63">
        <f t="shared" si="106"/>
        <v>8406.7671864364165</v>
      </c>
      <c r="BF63">
        <f t="shared" si="106"/>
        <v>8406.7671864364165</v>
      </c>
      <c r="BG63">
        <f t="shared" si="106"/>
        <v>8406.7671864364165</v>
      </c>
      <c r="BH63">
        <f t="shared" si="106"/>
        <v>8406.7671864364165</v>
      </c>
      <c r="BI63">
        <f t="shared" si="106"/>
        <v>8406.7671864364165</v>
      </c>
      <c r="BJ63">
        <f t="shared" si="106"/>
        <v>8406.7671864364165</v>
      </c>
      <c r="BK63">
        <f t="shared" si="106"/>
        <v>8406.7671864364165</v>
      </c>
      <c r="BL63">
        <f t="shared" si="106"/>
        <v>8406.7671864364165</v>
      </c>
      <c r="BM63">
        <f t="shared" si="106"/>
        <v>8406.7671864364165</v>
      </c>
      <c r="BN63">
        <f t="shared" si="106"/>
        <v>8406.7671864364165</v>
      </c>
      <c r="BO63">
        <f t="shared" si="106"/>
        <v>8406.7671864364165</v>
      </c>
      <c r="BP63">
        <f t="shared" si="106"/>
        <v>8406.7671864364165</v>
      </c>
      <c r="BQ63">
        <f t="shared" si="106"/>
        <v>8406.7671864364165</v>
      </c>
      <c r="BR63">
        <f t="shared" si="106"/>
        <v>8406.7671864364165</v>
      </c>
      <c r="BS63">
        <f t="shared" si="106"/>
        <v>8406.7671864364165</v>
      </c>
      <c r="BT63">
        <f t="shared" si="106"/>
        <v>8406.7671864364165</v>
      </c>
      <c r="EB63" s="241"/>
    </row>
    <row r="64" spans="1:184" ht="17.25" customHeight="1" x14ac:dyDescent="0.5">
      <c r="B64" s="242" t="s">
        <v>152</v>
      </c>
      <c r="C64" s="7"/>
      <c r="D64" s="7"/>
      <c r="E64" s="7"/>
      <c r="F64" s="7"/>
      <c r="G64" s="7"/>
      <c r="H64" s="7"/>
      <c r="I64" s="19"/>
      <c r="J64" s="19"/>
      <c r="K64" s="19"/>
      <c r="L64" s="19"/>
      <c r="M64" s="19"/>
      <c r="N64" s="20"/>
      <c r="R64" s="293" t="s">
        <v>237</v>
      </c>
      <c r="S64">
        <f>EA62</f>
        <v>1750.0000000000036</v>
      </c>
      <c r="T64">
        <f t="shared" ref="T64:BT64" si="107">EB62</f>
        <v>7196.60194174758</v>
      </c>
      <c r="U64">
        <f t="shared" si="107"/>
        <v>12590.324252992752</v>
      </c>
      <c r="V64">
        <f t="shared" si="107"/>
        <v>17931.680328206417</v>
      </c>
      <c r="W64">
        <f t="shared" si="107"/>
        <v>23221.178577447135</v>
      </c>
      <c r="X64">
        <f t="shared" si="107"/>
        <v>23221.178577447135</v>
      </c>
      <c r="Y64">
        <f t="shared" si="107"/>
        <v>23221.178577447135</v>
      </c>
      <c r="Z64">
        <f t="shared" si="107"/>
        <v>23221.178577447135</v>
      </c>
      <c r="AA64">
        <f t="shared" si="107"/>
        <v>23221.178577447135</v>
      </c>
      <c r="AB64">
        <f t="shared" si="107"/>
        <v>23221.178577447135</v>
      </c>
      <c r="AC64">
        <f t="shared" si="107"/>
        <v>23221.178577447135</v>
      </c>
      <c r="AD64">
        <f t="shared" si="107"/>
        <v>23221.178577447135</v>
      </c>
      <c r="AE64">
        <f t="shared" si="107"/>
        <v>23221.178577447135</v>
      </c>
      <c r="AF64">
        <f t="shared" si="107"/>
        <v>23221.178577447135</v>
      </c>
      <c r="AG64">
        <f t="shared" si="107"/>
        <v>23221.178577447135</v>
      </c>
      <c r="AH64">
        <f t="shared" si="107"/>
        <v>23221.178577447135</v>
      </c>
      <c r="AI64">
        <f t="shared" si="107"/>
        <v>23221.178577447135</v>
      </c>
      <c r="AJ64">
        <f t="shared" si="107"/>
        <v>23221.178577447135</v>
      </c>
      <c r="AK64">
        <f t="shared" si="107"/>
        <v>23221.178577447135</v>
      </c>
      <c r="AL64">
        <f t="shared" si="107"/>
        <v>23221.178577447135</v>
      </c>
      <c r="AM64">
        <f t="shared" si="107"/>
        <v>23221.178577447135</v>
      </c>
      <c r="AN64">
        <f t="shared" si="107"/>
        <v>23221.178577447135</v>
      </c>
      <c r="AO64">
        <f t="shared" si="107"/>
        <v>23221.178577447135</v>
      </c>
      <c r="AP64">
        <f t="shared" si="107"/>
        <v>23221.178577447135</v>
      </c>
      <c r="AQ64">
        <f t="shared" si="107"/>
        <v>23221.178577447135</v>
      </c>
      <c r="AR64">
        <f t="shared" si="107"/>
        <v>23221.178577447135</v>
      </c>
      <c r="AS64">
        <f t="shared" si="107"/>
        <v>23221.178577447135</v>
      </c>
      <c r="AT64">
        <f t="shared" si="107"/>
        <v>23221.178577447135</v>
      </c>
      <c r="AU64">
        <f t="shared" si="107"/>
        <v>23221.178577447135</v>
      </c>
      <c r="AV64">
        <f t="shared" si="107"/>
        <v>23221.178577447135</v>
      </c>
      <c r="AW64">
        <f t="shared" si="107"/>
        <v>23221.178577447135</v>
      </c>
      <c r="AX64">
        <f t="shared" si="107"/>
        <v>23221.178577447135</v>
      </c>
      <c r="AY64">
        <f t="shared" si="107"/>
        <v>23221.178577447135</v>
      </c>
      <c r="AZ64">
        <f t="shared" si="107"/>
        <v>23221.178577447135</v>
      </c>
      <c r="BA64">
        <f t="shared" si="107"/>
        <v>23221.178577447135</v>
      </c>
      <c r="BB64">
        <f t="shared" si="107"/>
        <v>23221.178577447135</v>
      </c>
      <c r="BC64">
        <f t="shared" si="107"/>
        <v>23221.178577447135</v>
      </c>
      <c r="BD64">
        <f t="shared" si="107"/>
        <v>23221.178577447135</v>
      </c>
      <c r="BE64">
        <f t="shared" si="107"/>
        <v>23221.178577447135</v>
      </c>
      <c r="BF64">
        <f t="shared" si="107"/>
        <v>23221.178577447135</v>
      </c>
      <c r="BG64">
        <f t="shared" si="107"/>
        <v>23221.178577447135</v>
      </c>
      <c r="BH64">
        <f t="shared" si="107"/>
        <v>23221.178577447135</v>
      </c>
      <c r="BI64">
        <f t="shared" si="107"/>
        <v>23221.178577447135</v>
      </c>
      <c r="BJ64">
        <f t="shared" si="107"/>
        <v>23221.178577447135</v>
      </c>
      <c r="BK64">
        <f t="shared" si="107"/>
        <v>23221.178577447135</v>
      </c>
      <c r="BL64">
        <f t="shared" si="107"/>
        <v>23221.178577447135</v>
      </c>
      <c r="BM64">
        <f t="shared" si="107"/>
        <v>23221.178577447135</v>
      </c>
      <c r="BN64">
        <f t="shared" si="107"/>
        <v>23221.178577447135</v>
      </c>
      <c r="BO64">
        <f t="shared" si="107"/>
        <v>23221.178577447135</v>
      </c>
      <c r="BP64">
        <f t="shared" si="107"/>
        <v>23221.178577447135</v>
      </c>
      <c r="BQ64">
        <f t="shared" si="107"/>
        <v>23221.178577447135</v>
      </c>
      <c r="BR64">
        <f t="shared" si="107"/>
        <v>23221.178577447135</v>
      </c>
      <c r="BS64">
        <f t="shared" si="107"/>
        <v>23221.178577447135</v>
      </c>
      <c r="BT64">
        <f t="shared" si="107"/>
        <v>23221.178577447135</v>
      </c>
    </row>
    <row r="65" spans="2:20" ht="17.25" customHeight="1" x14ac:dyDescent="0.5">
      <c r="B65" s="243" t="s">
        <v>153</v>
      </c>
      <c r="C65" s="19"/>
      <c r="D65" s="19"/>
      <c r="E65" s="19"/>
      <c r="F65" s="244" t="str">
        <f>IF(MAX(D18:F18)&gt;=100,"FEHLER: Jahreszahl statt Index – es entstehen keine Cashflows","in Ordnung")</f>
        <v>in Ordnung</v>
      </c>
      <c r="G65" s="19"/>
      <c r="H65" s="19"/>
      <c r="I65" s="19"/>
      <c r="J65" s="19"/>
      <c r="K65" s="19"/>
      <c r="L65" s="19"/>
      <c r="M65" s="19"/>
      <c r="N65" s="20"/>
    </row>
    <row r="66" spans="2:20" ht="17.25" customHeight="1" x14ac:dyDescent="0.5">
      <c r="B66" s="243" t="s">
        <v>154</v>
      </c>
      <c r="C66" s="19"/>
      <c r="D66" s="19"/>
      <c r="E66" s="19"/>
      <c r="F66" s="244" t="str">
        <f>IF(N(E44)&lt;=0,"HINWEIS: keine Investition in Zeile 44","in Ordnung")</f>
        <v>in Ordnung</v>
      </c>
      <c r="G66" s="19"/>
      <c r="H66" s="19"/>
      <c r="I66" s="19"/>
      <c r="J66" s="19"/>
      <c r="K66" s="19"/>
      <c r="L66" s="19"/>
      <c r="M66" s="19"/>
      <c r="N66" s="20"/>
    </row>
    <row r="67" spans="2:20" ht="17.25" customHeight="1" x14ac:dyDescent="0.5">
      <c r="B67" s="243" t="s">
        <v>155</v>
      </c>
      <c r="C67" s="19"/>
      <c r="D67" s="19"/>
      <c r="E67" s="19"/>
      <c r="F67" s="244" t="str">
        <f>IF(AND(N(E44)&gt;0,N(E45)&gt;0),"FEHLER: Zeile 44 UND 45 belegt – Investition wird doppelt gezählt","in Ordnung")</f>
        <v>in Ordnung</v>
      </c>
      <c r="G67" s="19"/>
      <c r="H67" s="19"/>
      <c r="I67" s="19"/>
      <c r="J67" s="19"/>
      <c r="K67" s="19"/>
      <c r="L67" s="19"/>
      <c r="M67" s="19"/>
      <c r="N67" s="20"/>
      <c r="T67" t="s">
        <v>156</v>
      </c>
    </row>
    <row r="68" spans="2:20" ht="17.25" customHeight="1" x14ac:dyDescent="0.5">
      <c r="B68" s="243" t="s">
        <v>157</v>
      </c>
      <c r="C68" s="19"/>
      <c r="D68" s="19"/>
      <c r="E68" s="19"/>
      <c r="F68" s="244" t="str">
        <f>IF(AND(N(E11)&gt;0,N(H11)&gt;0,ABS(N(E23)-IFERROR((E11-H11)/E11,0))&gt;0.001),"WARNUNG: %-Wert passt nicht zum Soll-Verbrauch - nur EINE Quelle verwenden","in Ordnung")</f>
        <v>in Ordnung</v>
      </c>
      <c r="G68" s="19"/>
      <c r="H68" s="19"/>
      <c r="I68" s="19"/>
      <c r="J68" s="19"/>
      <c r="K68" s="19"/>
      <c r="L68" s="19"/>
      <c r="M68" s="19"/>
      <c r="N68" s="20"/>
    </row>
    <row r="69" spans="2:20" ht="17.25" customHeight="1" x14ac:dyDescent="0.5">
      <c r="B69" s="243" t="s">
        <v>158</v>
      </c>
      <c r="C69" s="19"/>
      <c r="D69" s="19"/>
      <c r="E69" s="19"/>
      <c r="F69" s="244" t="str">
        <f>IF(N(E19)&lt;=0,"FEHLER: Nutzungszeit fehlt","in Ordnung")</f>
        <v>in Ordnung</v>
      </c>
      <c r="G69" s="19"/>
      <c r="H69" s="19"/>
      <c r="I69" s="19"/>
      <c r="J69" s="19"/>
      <c r="K69" s="19"/>
      <c r="L69" s="19"/>
      <c r="M69" s="19"/>
      <c r="N69" s="20"/>
    </row>
    <row r="70" spans="2:20" ht="17.25" customHeight="1" x14ac:dyDescent="0.5">
      <c r="B70" s="243" t="s">
        <v>159</v>
      </c>
      <c r="C70" s="19"/>
      <c r="D70" s="19"/>
      <c r="E70" s="19"/>
      <c r="F70" s="244" t="str">
        <f>IF(AND(N(D44)&gt;=N(E44),N(E44)&gt;=N(F44)),"in Ordnung","HINWEIS: Investition nicht monoton W&gt;=E&gt;=B")</f>
        <v>in Ordnung</v>
      </c>
      <c r="G70" s="19"/>
      <c r="H70" s="19"/>
      <c r="I70" s="19"/>
      <c r="J70" s="19"/>
      <c r="K70" s="19"/>
      <c r="L70" s="19"/>
      <c r="M70" s="19"/>
      <c r="N70" s="20"/>
    </row>
    <row r="71" spans="2:20" ht="17.25" customHeight="1" x14ac:dyDescent="0.5">
      <c r="B71" s="243" t="s">
        <v>160</v>
      </c>
      <c r="C71" s="19"/>
      <c r="D71" s="19"/>
      <c r="E71" s="19"/>
      <c r="F71" s="244" t="str">
        <f>IF(E20=E18+E19-1,"in Ordnung","FEHLER: Formel in Zeile 20 verändert")</f>
        <v>in Ordnung</v>
      </c>
      <c r="G71" s="19"/>
      <c r="H71" s="19"/>
      <c r="I71" s="19"/>
      <c r="J71" s="19"/>
      <c r="K71" s="19"/>
      <c r="L71" s="19"/>
      <c r="M71" s="19"/>
      <c r="N71" s="20"/>
    </row>
    <row r="72" spans="2:20" ht="17.25" customHeight="1" x14ac:dyDescent="0.5">
      <c r="B72" s="243" t="s">
        <v>161</v>
      </c>
      <c r="C72" s="19"/>
      <c r="D72" s="19"/>
      <c r="E72" s="19"/>
      <c r="F72" s="244" t="str">
        <f>'Allgemeine Unternehmensdaten'!E26</f>
        <v>in Ordnung</v>
      </c>
      <c r="G72" s="19"/>
      <c r="H72" s="19"/>
      <c r="I72" s="19"/>
      <c r="J72" s="19"/>
      <c r="K72" s="19"/>
      <c r="L72" s="19"/>
      <c r="M72" s="19"/>
      <c r="N72" s="20"/>
    </row>
    <row r="73" spans="2:20" ht="17.25" customHeight="1" x14ac:dyDescent="0.5">
      <c r="B73" s="243" t="s">
        <v>221</v>
      </c>
      <c r="C73" s="19"/>
      <c r="D73" s="19"/>
      <c r="E73" s="19"/>
      <c r="F73" s="244" t="str">
        <f>IF(OR(AND(N(E12)&gt;0,N(H12)&gt;0,ABS(N(E26)-IFERROR((E12-H12)/E12,0))&gt;0.001),AND(N(E13)&gt;0,N(H13)&gt;0,ABS(N(E27)-IFERROR((E13-H13)/E13,0))&gt;0.001)),"WARNUNG: %-Wert passt nicht zum Soll-Verbrauch - nur EINE Quelle verwenden","in Ordnung")</f>
        <v>in Ordnung</v>
      </c>
      <c r="G73" s="19"/>
      <c r="H73" s="19"/>
      <c r="I73" s="19"/>
      <c r="J73" s="19"/>
      <c r="K73" s="19"/>
      <c r="L73" s="19"/>
      <c r="M73" s="19"/>
      <c r="N73" s="20"/>
    </row>
    <row r="74" spans="2:20" ht="17.25" customHeight="1" x14ac:dyDescent="0.5">
      <c r="B74" s="245" t="s">
        <v>162</v>
      </c>
      <c r="C74" s="19"/>
      <c r="D74" s="19"/>
      <c r="E74" s="19"/>
      <c r="F74" s="19"/>
      <c r="G74" s="19"/>
      <c r="H74" s="19"/>
      <c r="I74" s="19"/>
      <c r="J74" s="19"/>
      <c r="K74" s="19"/>
      <c r="L74" s="19"/>
      <c r="M74" s="19"/>
      <c r="N74" s="20"/>
    </row>
    <row r="75" spans="2:20" ht="17.25" customHeight="1" x14ac:dyDescent="0.5">
      <c r="B75" s="18"/>
      <c r="C75" s="19"/>
      <c r="D75" s="19"/>
      <c r="E75" s="19"/>
      <c r="F75" s="19"/>
      <c r="G75" s="19"/>
      <c r="H75" s="19"/>
      <c r="I75" s="19"/>
      <c r="J75" s="19"/>
      <c r="K75" s="19"/>
      <c r="L75" s="19"/>
      <c r="M75" s="19"/>
      <c r="N75" s="20"/>
    </row>
    <row r="76" spans="2:20" ht="17.25" customHeight="1" x14ac:dyDescent="0.5">
      <c r="B76" s="246" t="s">
        <v>163</v>
      </c>
      <c r="C76" s="19"/>
      <c r="D76" s="19"/>
      <c r="E76" s="19"/>
      <c r="F76" s="19"/>
      <c r="G76" s="19"/>
      <c r="H76" s="19"/>
      <c r="I76" s="19"/>
      <c r="J76" s="19"/>
      <c r="K76" s="19"/>
      <c r="L76" s="19"/>
      <c r="M76" s="19"/>
      <c r="N76" s="20"/>
    </row>
    <row r="77" spans="2:20" ht="17.25" customHeight="1" x14ac:dyDescent="0.5">
      <c r="B77" s="247" t="s">
        <v>164</v>
      </c>
      <c r="C77" s="19"/>
      <c r="D77" s="19"/>
      <c r="E77" s="19"/>
      <c r="F77" s="19"/>
      <c r="G77" s="19"/>
      <c r="H77" s="19"/>
      <c r="I77" s="19"/>
      <c r="J77" s="19"/>
      <c r="K77" s="19"/>
      <c r="L77" s="19"/>
      <c r="M77" s="19"/>
      <c r="N77" s="20"/>
    </row>
    <row r="78" spans="2:20" ht="17.25" customHeight="1" x14ac:dyDescent="0.5">
      <c r="B78" s="248" t="s">
        <v>165</v>
      </c>
      <c r="C78" s="19"/>
      <c r="D78" s="19"/>
      <c r="E78" s="19"/>
      <c r="F78" s="19"/>
      <c r="G78" s="19"/>
      <c r="H78" s="19"/>
      <c r="I78" s="19"/>
      <c r="J78" s="19"/>
      <c r="K78" s="19"/>
      <c r="L78" s="19"/>
      <c r="M78" s="19"/>
      <c r="N78" s="20"/>
    </row>
    <row r="79" spans="2:20" ht="17.25" customHeight="1" x14ac:dyDescent="0.5">
      <c r="B79" s="245" t="s">
        <v>166</v>
      </c>
      <c r="C79" s="19"/>
      <c r="D79" s="19"/>
      <c r="E79" s="19"/>
      <c r="F79" s="19"/>
      <c r="G79" s="19"/>
      <c r="H79" s="19"/>
      <c r="I79" s="19"/>
      <c r="J79" s="19"/>
      <c r="K79" s="19"/>
      <c r="L79" s="19"/>
      <c r="M79" s="19"/>
      <c r="N79" s="20"/>
    </row>
    <row r="80" spans="2:20" ht="17.25" customHeight="1" x14ac:dyDescent="0.5">
      <c r="B80" s="18"/>
      <c r="C80" s="19"/>
      <c r="D80" s="19"/>
      <c r="E80" s="19"/>
      <c r="F80" s="19"/>
      <c r="G80" s="19"/>
      <c r="H80" s="19"/>
      <c r="I80" s="19"/>
      <c r="J80" s="19"/>
      <c r="K80" s="19"/>
      <c r="L80" s="19"/>
      <c r="M80" s="19"/>
      <c r="N80" s="20"/>
    </row>
    <row r="81" spans="2:14" ht="17.25" customHeight="1" x14ac:dyDescent="0.5">
      <c r="B81" s="18"/>
      <c r="C81" s="19"/>
      <c r="D81" s="19"/>
      <c r="E81" s="19"/>
      <c r="F81" s="19"/>
      <c r="G81" s="19"/>
      <c r="H81" s="19"/>
      <c r="I81" s="19"/>
      <c r="J81" s="19"/>
      <c r="K81" s="19"/>
      <c r="L81" s="19"/>
      <c r="M81" s="19"/>
      <c r="N81" s="20"/>
    </row>
    <row r="82" spans="2:14" ht="17.25" customHeight="1" x14ac:dyDescent="0.5">
      <c r="B82" s="18"/>
      <c r="C82" s="19"/>
      <c r="D82" s="19"/>
      <c r="E82" s="19"/>
      <c r="F82" s="19"/>
      <c r="G82" s="19"/>
      <c r="H82" s="19"/>
      <c r="I82" s="19"/>
      <c r="J82" s="19"/>
      <c r="K82" s="19"/>
      <c r="L82" s="19"/>
      <c r="M82" s="19"/>
      <c r="N82" s="20"/>
    </row>
    <row r="83" spans="2:14" ht="18" customHeight="1" x14ac:dyDescent="0.5">
      <c r="B83" s="18"/>
      <c r="C83" s="19"/>
      <c r="D83" s="19"/>
      <c r="E83" s="19"/>
      <c r="F83" s="19"/>
      <c r="G83" s="19"/>
      <c r="H83" s="19"/>
      <c r="I83" s="19"/>
      <c r="J83" s="19"/>
      <c r="K83" s="19"/>
      <c r="L83" s="19"/>
      <c r="M83" s="19"/>
      <c r="N83" s="20"/>
    </row>
    <row r="84" spans="2:14" ht="18" customHeight="1" x14ac:dyDescent="0.5">
      <c r="B84" s="18"/>
      <c r="C84" s="19"/>
      <c r="D84" s="249"/>
      <c r="E84" s="250"/>
      <c r="F84" s="251" t="s">
        <v>68</v>
      </c>
      <c r="G84" s="251" t="s">
        <v>91</v>
      </c>
      <c r="H84" s="250" t="s">
        <v>69</v>
      </c>
      <c r="I84" s="19"/>
      <c r="J84" s="19"/>
      <c r="K84" s="19"/>
      <c r="L84" s="19"/>
      <c r="M84" s="19"/>
      <c r="N84" s="20"/>
    </row>
    <row r="85" spans="2:14" ht="18" customHeight="1" x14ac:dyDescent="0.5">
      <c r="B85" s="18"/>
      <c r="C85" s="19"/>
      <c r="D85" s="249" t="s">
        <v>233</v>
      </c>
      <c r="E85" s="250"/>
      <c r="F85" s="252">
        <f t="array" aca="1" ref="F85" ca="1">IFERROR(IF(MATCH(0,BW62:DX62)-INDIRECT(ADDRESS(62,75+MATCH(0,BW62:DX62)))/(INDIRECT(ADDRESS(62,75+MATCH(0,BW62:DX62)))-INDIRECT(ADDRESS(62,74+MATCH(0,BW62:DX62))))=54,"-",MATCH(0,BW62:DX62)-INDIRECT(ADDRESS(62,75+MATCH(0,BW62:DX62)))/(INDIRECT(ADDRESS(62,75+MATCH(0,BW62:DX62)))-INDIRECT(ADDRESS(62,74+MATCH(0,BW62:DX62))))),"-")</f>
        <v>1.1229468640582236</v>
      </c>
      <c r="G85" s="253">
        <f t="array" aca="1" ref="G85" ca="1">IFERROR(IF(MATCH(0,S62:BT62)-INDIRECT(ADDRESS(62,19+MATCH(0,S62:BT62)))/(INDIRECT(ADDRESS(62,19+MATCH(0,S62:BT62)))-INDIRECT(ADDRESS(62,18+MATCH(0,S62:BT62))))=54,"-",MATCH(0,S62:BT62)-INDIRECT(ADDRESS(62,19+MATCH(0,S62:BT62)))/(INDIRECT(ADDRESS(62,19+MATCH(0,S62:BT62)))-INDIRECT(ADDRESS(62,18+MATCH(0,S62:BT62))))),"-")</f>
        <v>0.14821412665894718</v>
      </c>
      <c r="H85" s="254" t="str">
        <f t="array" aca="1" ref="H85" ca="1">IFERROR(IF((MATCH(0,EA62:GB62)-INDIRECT(ADDRESS(62,131+MATCH(0,EA62:GB62)))/(INDIRECT(ADDRESS(62,131+MATCH(0,EA62:GB62)))-INDIRECT(ADDRESS(62,130+MATCH(0,EA62:GB62)))))=54,"-",MATCH(0,EA62:GB62)-INDIRECT(ADDRESS(62,131+MATCH(0,EA62:GB62)))/(INDIRECT(ADDRESS(62,131+MATCH(0,EA62:GB62)))-INDIRECT(ADDRESS(62,130+MATCH(0,EA62:GB62))))),"-")</f>
        <v>-</v>
      </c>
      <c r="I85" s="19"/>
      <c r="J85" s="19"/>
      <c r="K85" s="19"/>
      <c r="L85" s="19"/>
      <c r="M85" s="19"/>
      <c r="N85" s="20"/>
    </row>
    <row r="86" spans="2:14" ht="18" customHeight="1" x14ac:dyDescent="0.5">
      <c r="B86" s="18"/>
      <c r="C86" s="19"/>
      <c r="D86" s="255" t="s">
        <v>234</v>
      </c>
      <c r="E86" s="256"/>
      <c r="F86" s="257">
        <f>DX62</f>
        <v>8406.7671864364165</v>
      </c>
      <c r="G86" s="257">
        <f>BT62</f>
        <v>16384.78095300683</v>
      </c>
      <c r="H86" s="258">
        <f>GB62</f>
        <v>23221.178577447135</v>
      </c>
      <c r="I86" s="19"/>
      <c r="J86" s="19"/>
      <c r="K86" s="19"/>
      <c r="L86" s="19"/>
      <c r="M86" s="19"/>
      <c r="N86" s="20"/>
    </row>
    <row r="87" spans="2:14" ht="125" customHeight="1" x14ac:dyDescent="0.5">
      <c r="B87" s="255"/>
      <c r="C87" s="259"/>
      <c r="D87" s="259"/>
      <c r="E87" s="259"/>
      <c r="F87" s="259"/>
      <c r="G87" s="259"/>
      <c r="H87" s="259"/>
      <c r="I87" s="259"/>
      <c r="J87" s="259"/>
      <c r="K87" s="259"/>
      <c r="L87" s="259"/>
      <c r="M87" s="259"/>
      <c r="N87" s="256"/>
    </row>
    <row r="88" spans="2:14" ht="125" customHeight="1" x14ac:dyDescent="0.5"/>
    <row r="89" spans="2:14" ht="125" customHeight="1" x14ac:dyDescent="0.5"/>
    <row r="90" spans="2:14" ht="18" customHeight="1" x14ac:dyDescent="0.5">
      <c r="B90" s="324" t="s">
        <v>168</v>
      </c>
      <c r="C90" s="324"/>
      <c r="D90" s="324"/>
      <c r="E90" s="324"/>
      <c r="F90" s="324"/>
      <c r="G90" s="324"/>
      <c r="H90" s="324"/>
      <c r="I90" s="324"/>
      <c r="J90" s="324"/>
      <c r="K90" s="324"/>
      <c r="L90" s="324"/>
      <c r="M90" s="324"/>
      <c r="N90" s="324"/>
    </row>
    <row r="91" spans="2:14" ht="18" customHeight="1" x14ac:dyDescent="0.5">
      <c r="B91" s="18"/>
      <c r="C91" s="19"/>
      <c r="D91" s="19"/>
      <c r="E91" s="19"/>
      <c r="F91" s="19"/>
      <c r="G91" s="19"/>
      <c r="H91" s="19"/>
      <c r="I91" s="19"/>
      <c r="J91" s="19"/>
      <c r="K91" s="19"/>
      <c r="L91" s="19"/>
      <c r="M91" s="19"/>
      <c r="N91" s="20"/>
    </row>
    <row r="92" spans="2:14" ht="18" customHeight="1" x14ac:dyDescent="0.5">
      <c r="B92" s="18"/>
      <c r="C92" s="260" t="s">
        <v>169</v>
      </c>
      <c r="D92" s="325" t="str">
        <f>D2</f>
        <v>Titel</v>
      </c>
      <c r="E92" s="325"/>
      <c r="F92" s="325"/>
      <c r="G92" s="325"/>
      <c r="H92" s="325"/>
      <c r="I92" s="325"/>
      <c r="J92" s="325"/>
      <c r="K92" s="325"/>
      <c r="L92" s="325"/>
      <c r="M92" s="325"/>
      <c r="N92" s="20"/>
    </row>
    <row r="93" spans="2:14" ht="122.25" customHeight="1" x14ac:dyDescent="0.5">
      <c r="B93" s="18"/>
      <c r="C93" s="326" t="str">
        <f>B4</f>
        <v>Beschreibung:</v>
      </c>
      <c r="D93" s="310" t="str">
        <f>D4</f>
        <v>Beschreibung</v>
      </c>
      <c r="E93" s="310"/>
      <c r="F93" s="310"/>
      <c r="G93" s="310"/>
      <c r="H93" s="310"/>
      <c r="I93" s="310"/>
      <c r="J93" s="310"/>
      <c r="K93" s="310"/>
      <c r="L93" s="310"/>
      <c r="M93" s="310"/>
      <c r="N93" s="20"/>
    </row>
    <row r="94" spans="2:14" ht="25.5" customHeight="1" x14ac:dyDescent="0.5">
      <c r="B94" s="18"/>
      <c r="C94" s="326"/>
      <c r="D94" s="327"/>
      <c r="E94" s="327"/>
      <c r="F94" s="327"/>
      <c r="G94" s="327"/>
      <c r="H94" s="327"/>
      <c r="I94" s="327"/>
      <c r="J94" s="327"/>
      <c r="K94" s="327"/>
      <c r="L94" s="327"/>
      <c r="M94" s="327"/>
      <c r="N94" s="20"/>
    </row>
    <row r="95" spans="2:14" ht="18" customHeight="1" x14ac:dyDescent="0.5">
      <c r="B95" s="18"/>
      <c r="C95" s="19"/>
      <c r="D95" s="19"/>
      <c r="E95" s="19"/>
      <c r="F95" s="19"/>
      <c r="G95" s="19"/>
      <c r="H95" s="19"/>
      <c r="I95" s="19"/>
      <c r="J95" s="19"/>
      <c r="K95" s="19"/>
      <c r="L95" s="19"/>
      <c r="M95" s="19"/>
      <c r="N95" s="20"/>
    </row>
    <row r="96" spans="2:14" ht="18" customHeight="1" x14ac:dyDescent="0.5">
      <c r="B96" s="18"/>
      <c r="C96" s="312" t="s">
        <v>170</v>
      </c>
      <c r="D96" s="312"/>
      <c r="E96" s="312"/>
      <c r="F96" s="312"/>
      <c r="G96" s="312"/>
      <c r="H96" s="312"/>
      <c r="I96" s="312"/>
      <c r="J96" s="312"/>
      <c r="K96" s="312"/>
      <c r="L96" s="312"/>
      <c r="M96" s="312"/>
      <c r="N96" s="20"/>
    </row>
    <row r="97" spans="2:14" ht="37.5" customHeight="1" x14ac:dyDescent="0.5">
      <c r="B97" s="18"/>
      <c r="C97" s="319" t="str" cm="1">
        <f t="array" ref="C97">_xlfn.IFS(G86&gt;0,"Die Investition sollte durchgeführt werden, da der positive Kapitalwert einen Beitrag zur Steigerung des Unternehmenswertes im erwarteten Fall in Höhe von "&amp;TEXT(G86,"#.###.###")&amp;" € darstellt.",G86&lt;0,"Die Investition sollte nicht durchgeführt werden, da der Kapitalwert im wahrscheinlichsten Fall negativ ist. Der Kapitalwert beträgt "&amp;TEXT(G86,"#.###.###")&amp;" €.")</f>
        <v>Die Investition sollte durchgeführt werden, da der positive Kapitalwert einen Beitrag zur Steigerung des Unternehmenswertes im erwarteten Fall in Höhe von 16.385 € darstellt.</v>
      </c>
      <c r="D97" s="319"/>
      <c r="E97" s="319"/>
      <c r="F97" s="319"/>
      <c r="G97" s="319"/>
      <c r="H97" s="319"/>
      <c r="I97" s="319"/>
      <c r="J97" s="319"/>
      <c r="K97" s="319"/>
      <c r="L97" s="319"/>
      <c r="M97" s="319"/>
      <c r="N97" s="20"/>
    </row>
    <row r="98" spans="2:14" ht="41.25" customHeight="1" x14ac:dyDescent="0.5">
      <c r="B98" s="18"/>
      <c r="C98" s="320" t="s">
        <v>171</v>
      </c>
      <c r="D98" s="320"/>
      <c r="E98" s="320"/>
      <c r="F98" s="320"/>
      <c r="G98" s="320"/>
      <c r="H98" s="320"/>
      <c r="I98" s="320"/>
      <c r="J98" s="320"/>
      <c r="K98" s="320"/>
      <c r="L98" s="320"/>
      <c r="M98" s="320"/>
      <c r="N98" s="20"/>
    </row>
    <row r="99" spans="2:14" ht="18" customHeight="1" x14ac:dyDescent="0.5">
      <c r="B99" s="18"/>
      <c r="C99" s="19"/>
      <c r="D99" s="19"/>
      <c r="E99" s="19"/>
      <c r="F99" s="19"/>
      <c r="G99" s="19"/>
      <c r="H99" s="19"/>
      <c r="I99" s="19"/>
      <c r="J99" s="19"/>
      <c r="K99" s="19"/>
      <c r="L99" s="19"/>
      <c r="M99" s="19"/>
      <c r="N99" s="20"/>
    </row>
    <row r="100" spans="2:14" ht="18" customHeight="1" x14ac:dyDescent="0.5">
      <c r="B100" s="18"/>
      <c r="C100" s="321" t="str">
        <f>"Kapitalwert im wahrscheinlichen Fall:  "&amp;TEXT(G86,"#.###.###")&amp;" €"</f>
        <v>Kapitalwert im wahrscheinlichen Fall:  16.385 €</v>
      </c>
      <c r="D100" s="321"/>
      <c r="E100" s="321"/>
      <c r="F100" s="321"/>
      <c r="G100" s="321"/>
      <c r="H100" s="321"/>
      <c r="I100" s="321"/>
      <c r="J100" s="321"/>
      <c r="K100" s="321"/>
      <c r="L100" s="321"/>
      <c r="M100" s="321"/>
      <c r="N100" s="20"/>
    </row>
    <row r="101" spans="2:14" ht="53.25" customHeight="1" x14ac:dyDescent="0.5">
      <c r="B101" s="18"/>
      <c r="C101" s="310" t="str">
        <f>CONCATENATE("Der Kapitalwert für die angegebene ERI beträgt "&amp;TEXT(G86,"#.###.###")&amp;" €. Über die zu Grunde gelegte Verzinsung von "&amp;'Allgemeine Unternehmensdaten'!F25*100&amp;" % innerhalb der Nutzungszeit von "&amp;E19&amp;" Jahren wird ein ",IF(G86&gt;0,"Überschuss","Verlust")," in Höhe von "&amp;TEXT(G86,"#.###.###")&amp;" € generiert. Insofern ist die Anlage ",IF(G86&gt;0,"wirtschaftlich.","nicht wirtschaftlich."))</f>
        <v>Der Kapitalwert für die angegebene ERI beträgt 16.385 €. Über die zu Grunde gelegte Verzinsung von 4 % innerhalb der Nutzungszeit von 5 Jahren wird ein Überschuss in Höhe von 16.385 € generiert. Insofern ist die Anlage wirtschaftlich.</v>
      </c>
      <c r="D101" s="310"/>
      <c r="E101" s="310"/>
      <c r="F101" s="310"/>
      <c r="G101" s="310"/>
      <c r="H101" s="310"/>
      <c r="I101" s="310"/>
      <c r="J101" s="310"/>
      <c r="K101" s="310"/>
      <c r="L101" s="310"/>
      <c r="M101" s="310"/>
      <c r="N101" s="20"/>
    </row>
    <row r="102" spans="2:14" ht="18" customHeight="1" x14ac:dyDescent="0.5">
      <c r="B102" s="18"/>
      <c r="C102" s="314" t="s">
        <v>171</v>
      </c>
      <c r="D102" s="314"/>
      <c r="E102" s="314"/>
      <c r="F102" s="314"/>
      <c r="G102" s="314"/>
      <c r="H102" s="314"/>
      <c r="I102" s="314"/>
      <c r="J102" s="314"/>
      <c r="K102" s="314"/>
      <c r="L102" s="314"/>
      <c r="M102" s="314"/>
      <c r="N102" s="20"/>
    </row>
    <row r="103" spans="2:14" ht="18" customHeight="1" x14ac:dyDescent="0.5">
      <c r="B103" s="18"/>
      <c r="C103" s="19"/>
      <c r="D103" s="19"/>
      <c r="E103" s="19"/>
      <c r="F103" s="19"/>
      <c r="G103" s="19"/>
      <c r="H103" s="19"/>
      <c r="I103" s="19"/>
      <c r="J103" s="19"/>
      <c r="K103" s="19"/>
      <c r="L103" s="19"/>
      <c r="M103" s="19"/>
      <c r="N103" s="20"/>
    </row>
    <row r="104" spans="2:14" ht="18" customHeight="1" x14ac:dyDescent="0.5">
      <c r="B104" s="18"/>
      <c r="C104" s="315" t="s">
        <v>172</v>
      </c>
      <c r="D104" s="315"/>
      <c r="E104" s="315"/>
      <c r="F104" s="315"/>
      <c r="G104" s="315"/>
      <c r="H104" s="315"/>
      <c r="I104" s="315"/>
      <c r="J104" s="315"/>
      <c r="K104" s="315"/>
      <c r="L104" s="315"/>
      <c r="M104" s="315"/>
      <c r="N104" s="20"/>
    </row>
    <row r="105" spans="2:14" ht="159.75" customHeight="1" x14ac:dyDescent="0.5">
      <c r="B105" s="18"/>
      <c r="C105" s="316"/>
      <c r="D105" s="316"/>
      <c r="E105" s="316"/>
      <c r="F105" s="316"/>
      <c r="G105" s="316"/>
      <c r="H105" s="316"/>
      <c r="I105" s="316"/>
      <c r="J105" s="316"/>
      <c r="K105" s="316"/>
      <c r="L105" s="316"/>
      <c r="M105" s="316"/>
      <c r="N105" s="20"/>
    </row>
    <row r="106" spans="2:14" ht="18" customHeight="1" x14ac:dyDescent="0.5">
      <c r="B106" s="18"/>
      <c r="C106" s="19"/>
      <c r="D106" s="19"/>
      <c r="E106" s="19"/>
      <c r="F106" s="19"/>
      <c r="G106" s="19"/>
      <c r="H106" s="19"/>
      <c r="I106" s="19"/>
      <c r="J106" s="19"/>
      <c r="K106" s="19"/>
      <c r="L106" s="19"/>
      <c r="M106" s="19"/>
      <c r="N106" s="20"/>
    </row>
    <row r="107" spans="2:14" ht="18" customHeight="1" x14ac:dyDescent="0.5">
      <c r="B107" s="18"/>
      <c r="C107" s="305" t="s">
        <v>173</v>
      </c>
      <c r="D107" s="305"/>
      <c r="E107" s="305"/>
      <c r="F107" s="305"/>
      <c r="G107" s="305"/>
      <c r="H107" s="305"/>
      <c r="I107" s="305"/>
      <c r="J107" s="305"/>
      <c r="K107" s="305"/>
      <c r="L107" s="305"/>
      <c r="M107" s="305"/>
      <c r="N107" s="20"/>
    </row>
    <row r="108" spans="2:14" ht="18" customHeight="1" x14ac:dyDescent="0.5">
      <c r="B108" s="18"/>
      <c r="C108" s="317" t="str">
        <f>"Kapitalwert unter Worst-Case-Annahme: "&amp;TEXT(F86,"#.###.###")&amp;" €"</f>
        <v>Kapitalwert unter Worst-Case-Annahme: 8.407 €</v>
      </c>
      <c r="D108" s="317"/>
      <c r="E108" s="317"/>
      <c r="F108" s="317"/>
      <c r="G108" s="261"/>
      <c r="H108" s="318" t="str">
        <f>"Kapitalwert unter Best-Case-Annahme: "&amp;TEXT(H86,"#.###.###")&amp;" €"</f>
        <v>Kapitalwert unter Best-Case-Annahme: 23.221 €</v>
      </c>
      <c r="I108" s="318"/>
      <c r="J108" s="318"/>
      <c r="K108" s="318"/>
      <c r="L108" s="318"/>
      <c r="M108" s="318"/>
      <c r="N108" s="20"/>
    </row>
    <row r="109" spans="2:14" ht="42.75" customHeight="1" x14ac:dyDescent="0.5">
      <c r="B109" s="18"/>
      <c r="C109" s="310" t="str">
        <f>CONCATENATE("Die Szenarioanalyse zeigt, dass der Kapitalwert im Worst-Case auf "&amp;TEXT(F86,"#.###.###")&amp;" € sinken würde, im Best-Case-Szenario betrüge er "&amp;TEXT(H86,"#.###.###")&amp;" €.",IF(F86&gt;0," Insofern liegt quasi kein Risiko vor."," Da der Kapitalwert auch negativ sein kann ist ein Risiko vorhanden"))</f>
        <v>Die Szenarioanalyse zeigt, dass der Kapitalwert im Worst-Case auf 8.407 € sinken würde, im Best-Case-Szenario betrüge er 23.221 €. Insofern liegt quasi kein Risiko vor.</v>
      </c>
      <c r="D109" s="310"/>
      <c r="E109" s="310"/>
      <c r="F109" s="310"/>
      <c r="G109" s="310"/>
      <c r="H109" s="310"/>
      <c r="I109" s="310"/>
      <c r="J109" s="310"/>
      <c r="K109" s="310"/>
      <c r="L109" s="310"/>
      <c r="M109" s="310"/>
      <c r="N109" s="20"/>
    </row>
    <row r="110" spans="2:14" ht="18" customHeight="1" x14ac:dyDescent="0.5">
      <c r="B110" s="18"/>
      <c r="C110" s="311" t="s">
        <v>171</v>
      </c>
      <c r="D110" s="311"/>
      <c r="E110" s="311"/>
      <c r="F110" s="311"/>
      <c r="G110" s="311"/>
      <c r="H110" s="311"/>
      <c r="I110" s="311"/>
      <c r="J110" s="311"/>
      <c r="K110" s="311"/>
      <c r="L110" s="311"/>
      <c r="M110" s="311"/>
      <c r="N110" s="20"/>
    </row>
    <row r="111" spans="2:14" ht="18" customHeight="1" x14ac:dyDescent="0.5">
      <c r="B111" s="18"/>
      <c r="C111" s="19"/>
      <c r="D111" s="19"/>
      <c r="E111" s="19"/>
      <c r="F111" s="19"/>
      <c r="G111" s="19"/>
      <c r="H111" s="19"/>
      <c r="I111" s="19"/>
      <c r="J111" s="19"/>
      <c r="K111" s="19"/>
      <c r="L111" s="19"/>
      <c r="M111" s="19"/>
      <c r="N111" s="20"/>
    </row>
    <row r="112" spans="2:14" ht="18" customHeight="1" x14ac:dyDescent="0.5">
      <c r="B112" s="18"/>
      <c r="C112" s="312" t="s">
        <v>174</v>
      </c>
      <c r="D112" s="312"/>
      <c r="E112" s="312"/>
      <c r="F112" s="312"/>
      <c r="G112" s="312"/>
      <c r="H112" s="312"/>
      <c r="I112" s="312"/>
      <c r="J112" s="312"/>
      <c r="K112" s="312"/>
      <c r="L112" s="312"/>
      <c r="M112" s="312"/>
      <c r="N112" s="20"/>
    </row>
    <row r="113" spans="2:14" ht="18" customHeight="1" x14ac:dyDescent="0.5">
      <c r="B113" s="18"/>
      <c r="C113" s="262" t="str">
        <f>"Laufzeit der Investition: "&amp;E19&amp;" Jahre "</f>
        <v xml:space="preserve">Laufzeit der Investition: 5 Jahre </v>
      </c>
      <c r="D113" s="313"/>
      <c r="E113" s="313"/>
      <c r="F113" s="313"/>
      <c r="G113" s="313"/>
      <c r="H113" s="313"/>
      <c r="I113" s="313"/>
      <c r="J113" s="313"/>
      <c r="K113" s="313"/>
      <c r="L113" s="313"/>
      <c r="M113" s="99"/>
      <c r="N113" s="20"/>
    </row>
    <row r="114" spans="2:14" ht="63.75" customHeight="1" x14ac:dyDescent="0.5">
      <c r="B114" s="18"/>
      <c r="C114" s="308" t="str" cm="1">
        <f t="array" ref="C114">CONCATENATE("Aufgrund von Erfahrungswerten wird die erwartete Laufzeit auf "&amp;E19&amp;" Jahre gesetzt. Die Laufzeit könnte im Worst-Case auch "&amp;D19&amp;" Jahre betragen. Im Best-Case könnte die Laufzeit bis zu "&amp;F19&amp;" Jahre betragen. ","Mit einer Schwankungsbreite von +"&amp;ROUND((F19/E19-1)*100,1)&amp;" % bzw. "&amp;ROUND(-(1-(D19/E19))*100,1)&amp;" % im Vergleich zu der erwarteten Laufzeit"," ist die Schwankung",_xlfn.IFS(OR((F19/E19-1)*100&gt;50,(1-(D19/E19))*100&gt;50)," relativ groß.",AND((F19/E19-1)*100&lt;=50,(1-(D19/E19))*100&lt;=50,OR((F19/E19-1)*100&gt;15,(1-(D19/E19))*100&gt;15))," im Normalbereich.",AND((F19/E19-1)*100&lt;=15,(1-(D19/E19))*100&lt;=15)," eher gering."))</f>
        <v>Aufgrund von Erfahrungswerten wird die erwartete Laufzeit auf 5 Jahre gesetzt. Die Laufzeit könnte im Worst-Case auch 5 Jahre betragen. Im Best-Case könnte die Laufzeit bis zu 5 Jahre betragen. Mit einer Schwankungsbreite von +0 % bzw. 0 % im Vergleich zu der erwarteten Laufzeit ist die Schwankung eher gering.</v>
      </c>
      <c r="D114" s="308"/>
      <c r="E114" s="308"/>
      <c r="F114" s="308"/>
      <c r="G114" s="308"/>
      <c r="H114" s="308"/>
      <c r="I114" s="308"/>
      <c r="J114" s="308"/>
      <c r="K114" s="308"/>
      <c r="L114" s="308"/>
      <c r="M114" s="263"/>
      <c r="N114" s="20"/>
    </row>
    <row r="115" spans="2:14" ht="18" customHeight="1" x14ac:dyDescent="0.5">
      <c r="B115" s="18"/>
      <c r="C115" s="307" t="s">
        <v>171</v>
      </c>
      <c r="D115" s="307"/>
      <c r="E115" s="307"/>
      <c r="F115" s="307"/>
      <c r="G115" s="307"/>
      <c r="H115" s="307"/>
      <c r="I115" s="307"/>
      <c r="J115" s="307"/>
      <c r="K115" s="307"/>
      <c r="L115" s="307"/>
      <c r="M115" s="263"/>
      <c r="N115" s="20"/>
    </row>
    <row r="116" spans="2:14" ht="18" customHeight="1" x14ac:dyDescent="0.5">
      <c r="B116" s="18"/>
      <c r="C116" s="264" t="str">
        <f>"Kalkulationszinssatz: "&amp;'Allgemeine Unternehmensdaten'!F25*100&amp;" % "</f>
        <v xml:space="preserve">Kalkulationszinssatz: 4 % </v>
      </c>
      <c r="D116" s="95"/>
      <c r="E116" s="95"/>
      <c r="F116" s="95"/>
      <c r="G116" s="95"/>
      <c r="H116" s="95"/>
      <c r="I116" s="95"/>
      <c r="J116" s="95"/>
      <c r="K116" s="95"/>
      <c r="L116" s="95"/>
      <c r="M116" s="99"/>
      <c r="N116" s="20"/>
    </row>
    <row r="117" spans="2:14" ht="91.5" customHeight="1" x14ac:dyDescent="0.5">
      <c r="B117" s="18"/>
      <c r="C117" s="308" t="str" cm="1">
        <f t="array" ref="C117">_xlfn.TEXTJOIN(,,IF('Allgemeine Unternehmensdaten'!E21:G21=1,"Die Anschaffung wird ganz aus Eigenkapital finanziert. Der Eigenkapital-Zins von "&amp;'Allgemeine Unternehmensdaten'!F25*100&amp;" % orientiert sich am Return on Assets (RoA) des vorangegangenen Geschäftsjahres.",""),IF('Allgemeine Unternehmensdaten'!E22:G22=1," Die Anschaffung wird ganz aus Fremdkapital finanziert. Der Fremdkapital-Zins von "&amp;'Allgemeine Unternehmensdaten'!F25*100&amp;" % ist jener, der von der Hausbank für einen entsprechenden Kredit gefordert wird.",""),IF(AND('Allgemeine Unternehmensdaten'!E21:G21&lt;1,'Allgemeine Unternehmensdaten'!E22:G22&lt;1),_xlfn.TEXTJOIN(,,"Ein WACC wurde berechnet und als Kalkulationszinssatz verwendet, da die Anschaffung zum Teil durch Eigenkapital und zum anderen Teil auch durch einen Kredit finanziert werden. Unter Berücksichtigung eines"," Anteils von "&amp;'Allgemeine Unternehmensdaten'!E21:G21*100&amp;" % Eigenkapital ("&amp;'Allgemeine Unternehmensdaten'!F23*100&amp;" % Eigenkapitalzins) und eines Anteils von "&amp;'Allgemeine Unternehmensdaten'!E22:G22*100&amp;" % Fremdkapital ("&amp;'Allgemeine Unternehmensdaten'!F24*100&amp;" % Fremdkapitalzins) ergeben"," sich WACC von "&amp;'Allgemeine Unternehmensdaten'!F25*100&amp;" %. Der EK-Zins orientiert sich am Return on Assets (RoA) des vorangegangenen Geschäftsjahres. Der FK-Zins ist jener, der von unserer Hausbank für einen entsprechenden Kredit gefordert wird."),""))</f>
        <v xml:space="preserve"> Die Anschaffung wird ganz aus Fremdkapital finanziert. Der Fremdkapital-Zins von 4 % ist jener, der von der Hausbank für einen entsprechenden Kredit gefordert wird.</v>
      </c>
      <c r="D117" s="308"/>
      <c r="E117" s="308"/>
      <c r="F117" s="308"/>
      <c r="G117" s="308"/>
      <c r="H117" s="308"/>
      <c r="I117" s="308"/>
      <c r="J117" s="308"/>
      <c r="K117" s="308"/>
      <c r="L117" s="308"/>
      <c r="M117" s="263" t="s">
        <v>175</v>
      </c>
      <c r="N117" s="20"/>
    </row>
    <row r="118" spans="2:14" ht="18" customHeight="1" x14ac:dyDescent="0.5">
      <c r="B118" s="18"/>
      <c r="C118" s="139" t="s">
        <v>171</v>
      </c>
      <c r="D118" s="265"/>
      <c r="E118" s="265"/>
      <c r="F118" s="265"/>
      <c r="G118" s="265"/>
      <c r="H118" s="265"/>
      <c r="I118" s="265"/>
      <c r="J118" s="265"/>
      <c r="K118" s="265"/>
      <c r="L118" s="265"/>
      <c r="M118" s="263"/>
      <c r="N118" s="20"/>
    </row>
    <row r="119" spans="2:14" ht="18" customHeight="1" x14ac:dyDescent="0.5">
      <c r="B119" s="18"/>
      <c r="C119" s="266" t="s">
        <v>176</v>
      </c>
      <c r="D119" s="95"/>
      <c r="E119" s="95"/>
      <c r="F119" s="95"/>
      <c r="G119" s="95"/>
      <c r="H119" s="95"/>
      <c r="I119" s="95"/>
      <c r="J119" s="95"/>
      <c r="K119" s="95"/>
      <c r="L119" s="95"/>
      <c r="M119" s="99"/>
      <c r="N119" s="20"/>
    </row>
    <row r="120" spans="2:14" ht="57.75" customHeight="1" x14ac:dyDescent="0.5">
      <c r="B120" s="18"/>
      <c r="C120" s="308" t="str">
        <f>_xlfn.TEXTJOIN(,TRUE(),"Die Preisschwankungsraten für relevante Güter und Dienstleistungen betragen "&amp;E7*100&amp;" % im erwarteten Fall. Die Preisschwankungsrate für einzelne Nutzen oder Lasten ist standardgemäß auf diesen Wert gesetzt, kann ","aber auch individuell für jeden Nutzenfaktor/Lastfaktor angepasst werden. Die Preisschwankungsraten der einzelnen Faktoren können oben abgelesen werden.")</f>
        <v>Die Preisschwankungsraten für relevante Güter und Dienstleistungen betragen 3 % im erwarteten Fall. Die Preisschwankungsrate für einzelne Nutzen oder Lasten ist standardgemäß auf diesen Wert gesetzt, kann aber auch individuell für jeden Nutzenfaktor/Lastfaktor angepasst werden. Die Preisschwankungsraten der einzelnen Faktoren können oben abgelesen werden.</v>
      </c>
      <c r="D120" s="308"/>
      <c r="E120" s="308"/>
      <c r="F120" s="308"/>
      <c r="G120" s="308"/>
      <c r="H120" s="308"/>
      <c r="I120" s="308"/>
      <c r="J120" s="308"/>
      <c r="K120" s="308"/>
      <c r="L120" s="308"/>
      <c r="M120" s="263"/>
      <c r="N120" s="20"/>
    </row>
    <row r="121" spans="2:14" ht="18" customHeight="1" x14ac:dyDescent="0.5">
      <c r="B121" s="18"/>
      <c r="C121" s="309" t="s">
        <v>171</v>
      </c>
      <c r="D121" s="309"/>
      <c r="E121" s="309"/>
      <c r="F121" s="309"/>
      <c r="G121" s="309"/>
      <c r="H121" s="309"/>
      <c r="I121" s="309"/>
      <c r="J121" s="309"/>
      <c r="K121" s="309"/>
      <c r="L121" s="309"/>
      <c r="M121" s="263"/>
      <c r="N121" s="20"/>
    </row>
    <row r="122" spans="2:14" ht="18" customHeight="1" x14ac:dyDescent="0.5">
      <c r="B122" s="18"/>
      <c r="C122" s="266" t="s">
        <v>177</v>
      </c>
      <c r="D122" s="95"/>
      <c r="E122" s="95"/>
      <c r="F122" s="95"/>
      <c r="G122" s="95"/>
      <c r="H122" s="95"/>
      <c r="I122" s="95"/>
      <c r="J122" s="95"/>
      <c r="K122" s="95"/>
      <c r="L122" s="95"/>
      <c r="M122" s="99"/>
      <c r="N122" s="20"/>
    </row>
    <row r="123" spans="2:14" ht="17.25" customHeight="1" x14ac:dyDescent="0.5">
      <c r="B123" s="18"/>
      <c r="C123" s="267" t="str">
        <f>_xlfn.TEXTJOIN(,,
IF(J23&lt;&gt;0, "Die Degradation für den Faktor "&amp;C23&amp;" beträgt im erwarteten Fall "&amp;J23*100&amp;" %. ", ""),
IF(J24&lt;&gt;0, "Die Degradation für den Faktor "&amp;C24&amp;" beträgt im erwarteten Fall "&amp;J24*100&amp;" %. ", ""),
IF(J25&lt;&gt;0, "Die Degradation für den Faktor "&amp;C25&amp;" beträgt im erwarteten Fall "&amp;J25*100&amp;" %. ", ""),
IF(J26&lt;&gt;0, "Die Degradation für den Faktor "&amp;C26&amp;" beträgt im erwarteten Fall "&amp;J26*100&amp;" %. ", ""),
IF(J27&lt;&gt;0, "Die Degradation für den Faktor "&amp;C27&amp;" beträgt im erwarteten Fall "&amp;J27*100&amp;" %. ", ""),
IF(J28&lt;&gt;0, "Die Degradation für den Faktor "&amp;C28&amp;" beträgt im erwarteten Fall "&amp;J28*100&amp;" %. ", ""),
IF(J29&lt;&gt;0, "Die Degradation für den Faktor "&amp;C29&amp;" beträgt im erwarteten Fall "&amp;J29*100&amp;" %. ", ""),
IF(J30&lt;&gt;0, "Die Degradation für den Faktor "&amp;C30&amp;" beträgt im erwarteten Fall "&amp;J30*100&amp;" %. ", ""),
IF(J31&lt;&gt;0, "Die Degradation für den Faktor "&amp;C31&amp;" beträgt im erwarteten Fall "&amp;J31*100&amp;" %. ", ""),
IF(J32&lt;&gt;0, "Die Degradation für den Faktor "&amp;C32&amp;" beträgt im erwarteten Fall "&amp;J32*100&amp;" %. ", ""),
IF(J33&lt;&gt;0, "Die Degradation für den Faktor "&amp;C33&amp;" beträgt im erwarteten Fall "&amp;J33*100&amp;" %. ", ""),
IF(J34&lt;&gt;0, "Die Degradation für den Faktor "&amp;C34&amp;" beträgt im erwarteten Fall "&amp;J34*100&amp;" %. ", ""),
IF(J35&lt;&gt;0, "Die Degradation für den Faktor "&amp;C35&amp;" beträgt im erwarteten Fall "&amp;J35*100&amp;" %. ", ""),
IF(J36&lt;&gt;0, "Die Degradation für den Faktor "&amp;C36&amp;" beträgt im erwarteten Fall "&amp;J36*100&amp;" %. ", ""),
IF(J37&lt;&gt;0, "Die Degradation für den Faktor "&amp;C37&amp;" beträgt im erwarteten Fall "&amp;J37*100&amp;" %. ", ""),
IF(J38&lt;&gt;0, "Die Degradation für den Faktor "&amp;C38&amp;" beträgt im erwarteten Fall "&amp;J38*100&amp;" %. ", ""),
IF(J39&lt;&gt;0, "Die Degradation für den Faktor "&amp;C39&amp;" beträgt im erwarteten Fall "&amp;J39*100&amp;" %. ", ""),
IF(J40&lt;&gt;0, "Die Degradation für den Faktor "&amp;C40&amp;" beträgt im erwarteten Fall "&amp;J40*100&amp;" %. ", ""),
IF(J41&lt;&gt;0, "Die Degradation für den Faktor "&amp;C41&amp;" beträgt im erwarteten Fall "&amp;J41*100&amp;" %. ", ""),
IF(J42&lt;&gt;0, "Die Degradation für den Faktor "&amp;C42&amp;" beträgt im erwarteten Fall "&amp;J42*100&amp;" %. ", ""),
IF(J43&lt;&gt;0, "Die Degradation für den Faktor "&amp;C43&amp;" beträgt im erwarteten Fall "&amp;J43*100&amp;" %. ", ""),
IF(J44&lt;&gt;0, "Die Degradation für den Faktor "&amp;C44&amp;" beträgt im erwarteten Fall "&amp;J44*100&amp;" %. ", ""),
IF(J45&lt;&gt;0, "Die Degradation für den Faktor "&amp;C45&amp;" beträgt im erwarteten Fall "&amp;J45*100&amp;" %. ", ""),
IF(J46&lt;&gt;0, "Die Degradation für den Faktor "&amp;C46&amp;" beträgt im erwarteten Fall "&amp;J46*100&amp;" %. ", ""),
IF(J47&lt;&gt;0, "Die Degradation für den Faktor "&amp;C47&amp;" beträgt im erwarteten Fall "&amp;J47*100&amp;" %. ", ""),
IF(J48&lt;&gt;0, "Die Degradation für den Faktor "&amp;C48&amp;" beträgt im erwarteten Fall "&amp;J48*100&amp;" %. ", ""),
IF(J49&lt;&gt;0, "Die Degradation für den Faktor "&amp;C49&amp;" beträgt im erwarteten Fall "&amp;J49*100&amp;" %. ", ""),
IF(J50&lt;&gt;0, "Die Degradation für den Faktor "&amp;C50&amp;" beträgt im erwarteten Fall "&amp;J50*100&amp;" %. ", ""),
IF(J51&lt;&gt;0, "Die Degradation für den Faktor "&amp;C51&amp;" beträgt im erwarteten Fall "&amp;J51*100&amp;" %. ", ""),
IF(J52&lt;&gt;0, "Die Degradation für den Faktor "&amp;C52&amp;" beträgt im erwarteten Fall "&amp;J52*100&amp;" %. ", ""),
IF(J53&lt;&gt;0, "Die Degradation für den Faktor "&amp;C53&amp;" beträgt im erwarteten Fall "&amp;J53*100&amp;" %. ", ""),
IF(J54&lt;&gt;0, "Die Degradation für den Faktor "&amp;C54&amp;" beträgt im erwarteten Fall "&amp;J54*100&amp;" %. ", ""),
IF(J55&lt;&gt;0, "Die Degradation für den Faktor "&amp;C55&amp;" beträgt im erwarteten Fall "&amp;J55*100&amp;" %. ", ""),IF(SUM(J23:J55)=0,"Keiner der Nutzen/ Lastenfaktoren hat einen Degradationsfaktor.",""))</f>
        <v>Keiner der Nutzen/ Lastenfaktoren hat einen Degradationsfaktor.</v>
      </c>
      <c r="D123" s="265"/>
      <c r="E123" s="265"/>
      <c r="F123" s="265"/>
      <c r="G123" s="265"/>
      <c r="H123" s="265"/>
      <c r="I123" s="265"/>
      <c r="J123" s="265"/>
      <c r="K123" s="265"/>
      <c r="L123" s="265"/>
      <c r="M123" s="263"/>
      <c r="N123" s="20"/>
    </row>
    <row r="124" spans="2:14" ht="18" customHeight="1" x14ac:dyDescent="0.5">
      <c r="B124" s="18"/>
      <c r="C124" s="112" t="s">
        <v>171</v>
      </c>
      <c r="D124" s="113"/>
      <c r="E124" s="113"/>
      <c r="F124" s="113"/>
      <c r="G124" s="113"/>
      <c r="H124" s="113"/>
      <c r="I124" s="113"/>
      <c r="J124" s="113"/>
      <c r="K124" s="113"/>
      <c r="L124" s="113"/>
      <c r="M124" s="268"/>
      <c r="N124" s="20"/>
    </row>
    <row r="125" spans="2:14" ht="18" customHeight="1" x14ac:dyDescent="0.5">
      <c r="B125" s="18"/>
      <c r="C125" s="19"/>
      <c r="D125" s="19"/>
      <c r="E125" s="19"/>
      <c r="F125" s="19"/>
      <c r="G125" s="19"/>
      <c r="H125" s="19"/>
      <c r="I125" s="19"/>
      <c r="J125" s="19"/>
      <c r="K125" s="19"/>
      <c r="L125" s="19"/>
      <c r="M125" s="19"/>
      <c r="N125" s="20"/>
    </row>
    <row r="126" spans="2:14" ht="18" customHeight="1" x14ac:dyDescent="0.5">
      <c r="B126" s="18"/>
      <c r="C126" s="305" t="s">
        <v>178</v>
      </c>
      <c r="D126" s="305"/>
      <c r="E126" s="305"/>
      <c r="F126" s="305"/>
      <c r="G126" s="305"/>
      <c r="H126" s="305"/>
      <c r="I126" s="305"/>
      <c r="J126" s="305"/>
      <c r="K126" s="305"/>
      <c r="L126" s="305"/>
      <c r="M126" s="305"/>
      <c r="N126" s="20"/>
    </row>
    <row r="127" spans="2:14" ht="17.25" customHeight="1" x14ac:dyDescent="0.5">
      <c r="B127" s="18"/>
      <c r="C127" s="18" t="s">
        <v>179</v>
      </c>
      <c r="D127" s="19"/>
      <c r="E127" s="19"/>
      <c r="F127" s="19"/>
      <c r="G127" s="19"/>
      <c r="H127" s="19"/>
      <c r="I127" s="19"/>
      <c r="J127" s="19"/>
      <c r="K127" s="19"/>
      <c r="L127" s="19"/>
      <c r="M127" s="20"/>
      <c r="N127" s="20"/>
    </row>
    <row r="128" spans="2:14" ht="17.25" customHeight="1" x14ac:dyDescent="0.5">
      <c r="B128" s="18"/>
      <c r="C128" s="18" t="s">
        <v>180</v>
      </c>
      <c r="D128" s="19"/>
      <c r="E128" s="19"/>
      <c r="F128" s="19"/>
      <c r="G128" s="19"/>
      <c r="H128" s="19"/>
      <c r="I128" s="19"/>
      <c r="J128" s="19"/>
      <c r="K128" s="19"/>
      <c r="L128" s="19"/>
      <c r="M128" s="20"/>
      <c r="N128" s="20"/>
    </row>
    <row r="129" spans="2:14" ht="18" customHeight="1" x14ac:dyDescent="0.5">
      <c r="B129" s="18"/>
      <c r="C129" s="255"/>
      <c r="D129" s="259"/>
      <c r="E129" s="259"/>
      <c r="F129" s="259"/>
      <c r="G129" s="259"/>
      <c r="H129" s="259"/>
      <c r="I129" s="259"/>
      <c r="J129" s="259"/>
      <c r="K129" s="259"/>
      <c r="L129" s="259"/>
      <c r="M129" s="256"/>
      <c r="N129" s="20"/>
    </row>
    <row r="130" spans="2:14" ht="18" customHeight="1" x14ac:dyDescent="0.5">
      <c r="B130" s="255"/>
      <c r="C130" s="259"/>
      <c r="D130" s="259"/>
      <c r="E130" s="259"/>
      <c r="F130" s="259"/>
      <c r="G130" s="259"/>
      <c r="H130" s="259"/>
      <c r="I130" s="259"/>
      <c r="J130" s="259"/>
      <c r="K130" s="259"/>
      <c r="L130" s="259"/>
      <c r="M130" s="259"/>
      <c r="N130" s="256"/>
    </row>
    <row r="133" spans="2:14" ht="35.25" customHeight="1" x14ac:dyDescent="0.5"/>
    <row r="135" spans="2:14" ht="17.25" customHeight="1" x14ac:dyDescent="0.5">
      <c r="C135" s="269"/>
    </row>
    <row r="137" spans="2:14" ht="17.25" customHeight="1" x14ac:dyDescent="0.5">
      <c r="C137" s="270"/>
    </row>
    <row r="146" spans="3:3" ht="17.25" customHeight="1" x14ac:dyDescent="0.5">
      <c r="C146" s="269"/>
    </row>
  </sheetData>
  <mergeCells count="44">
    <mergeCell ref="B2:C2"/>
    <mergeCell ref="D2:N2"/>
    <mergeCell ref="B3:C3"/>
    <mergeCell ref="D3:N3"/>
    <mergeCell ref="B4:C4"/>
    <mergeCell ref="D4:N4"/>
    <mergeCell ref="B6:C7"/>
    <mergeCell ref="D9:F9"/>
    <mergeCell ref="G9:I9"/>
    <mergeCell ref="B13:C13"/>
    <mergeCell ref="R19:BT19"/>
    <mergeCell ref="BV19:DX19"/>
    <mergeCell ref="DZ19:GB19"/>
    <mergeCell ref="L20:M20"/>
    <mergeCell ref="I21:K21"/>
    <mergeCell ref="L21:N21"/>
    <mergeCell ref="B23:B38"/>
    <mergeCell ref="B39:B55"/>
    <mergeCell ref="B90:N90"/>
    <mergeCell ref="D92:M92"/>
    <mergeCell ref="C93:C94"/>
    <mergeCell ref="D93:M93"/>
    <mergeCell ref="D94:M94"/>
    <mergeCell ref="C96:M96"/>
    <mergeCell ref="C97:M97"/>
    <mergeCell ref="C98:M98"/>
    <mergeCell ref="C100:M100"/>
    <mergeCell ref="C101:M101"/>
    <mergeCell ref="C102:M102"/>
    <mergeCell ref="C104:M104"/>
    <mergeCell ref="C105:M105"/>
    <mergeCell ref="C107:M107"/>
    <mergeCell ref="C108:F108"/>
    <mergeCell ref="H108:M108"/>
    <mergeCell ref="C109:M109"/>
    <mergeCell ref="C110:M110"/>
    <mergeCell ref="C112:M112"/>
    <mergeCell ref="D113:L113"/>
    <mergeCell ref="C114:L114"/>
    <mergeCell ref="C115:L115"/>
    <mergeCell ref="C117:L117"/>
    <mergeCell ref="C120:L120"/>
    <mergeCell ref="C121:L121"/>
    <mergeCell ref="C126:M126"/>
  </mergeCells>
  <dataValidations count="3">
    <dataValidation type="list" allowBlank="1" showInputMessage="1" showErrorMessage="1" sqref="E3:N3" xr:uid="{00000000-0002-0000-0300-000000000000}">
      <formula1>$FW$3:$FW$8</formula1>
      <formula2>0</formula2>
    </dataValidation>
    <dataValidation type="list" allowBlank="1" showInputMessage="1" showErrorMessage="1" sqref="N20" xr:uid="{00000000-0002-0000-0300-000001000000}">
      <formula1>$FY$3:$FY$4</formula1>
      <formula2>0</formula2>
    </dataValidation>
    <dataValidation type="list" allowBlank="1" errorTitle="Ungültiger Status" error="Bitte einen Wert aus der Liste wählen." sqref="D3" xr:uid="{00000000-0002-0000-0300-000002000000}">
      <formula1>"Zu prüfen,Geplant,In Umsetzung,Realisiert,Verworfen"</formula1>
      <formula2>0</formula2>
    </dataValidation>
  </dataValidations>
  <pageMargins left="0.7" right="0.7" top="0.78749999999999998" bottom="0.78749999999999998" header="0.511811023622047" footer="0.511811023622047"/>
  <pageSetup paperSize="9" scale="38" orientation="portrait" horizontalDpi="300" verticalDpi="300"/>
  <rowBreaks count="1" manualBreakCount="1">
    <brk id="55" max="16383" man="1"/>
  </rowBreaks>
  <colBreaks count="1" manualBreakCount="1">
    <brk id="14" max="1048575" man="1"/>
  </colBreaks>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F8F00"/>
  </sheetPr>
  <dimension ref="A1:GB137"/>
  <sheetViews>
    <sheetView topLeftCell="A105" zoomScale="70" zoomScaleNormal="70" workbookViewId="0">
      <selection activeCell="C117" sqref="C117:L117"/>
    </sheetView>
  </sheetViews>
  <sheetFormatPr baseColWidth="10" defaultColWidth="10.5703125" defaultRowHeight="16.5" x14ac:dyDescent="0.5"/>
  <cols>
    <col min="3" max="3" width="35.42578125" customWidth="1"/>
    <col min="11" max="11" width="11.42578125" customWidth="1"/>
    <col min="18" max="18" width="28" customWidth="1"/>
    <col min="19" max="19" width="12.42578125" customWidth="1"/>
    <col min="20" max="72" width="11.640625" customWidth="1"/>
    <col min="74" max="74" width="29.640625" customWidth="1"/>
    <col min="100" max="128" width="11.42578125" customWidth="1"/>
    <col min="130" max="130" width="28.35546875" customWidth="1"/>
  </cols>
  <sheetData>
    <row r="1" spans="1:181" ht="19.5" customHeight="1" x14ac:dyDescent="0.55000000000000004">
      <c r="B1" s="84"/>
    </row>
    <row r="2" spans="1:181" ht="19.5" customHeight="1" x14ac:dyDescent="0.55000000000000004">
      <c r="A2" s="84"/>
      <c r="B2" s="337" t="s">
        <v>95</v>
      </c>
      <c r="C2" s="337"/>
      <c r="D2" s="338" t="s">
        <v>181</v>
      </c>
      <c r="E2" s="338"/>
      <c r="F2" s="338"/>
      <c r="G2" s="338"/>
      <c r="H2" s="338"/>
      <c r="I2" s="338"/>
      <c r="J2" s="338"/>
      <c r="K2" s="338"/>
      <c r="L2" s="338"/>
      <c r="M2" s="338"/>
      <c r="N2" s="338"/>
      <c r="O2" s="85"/>
      <c r="P2" s="85"/>
      <c r="Q2" s="85"/>
      <c r="R2" s="85"/>
      <c r="S2" s="85"/>
      <c r="T2" s="85"/>
    </row>
    <row r="3" spans="1:181" ht="18" customHeight="1" x14ac:dyDescent="0.5">
      <c r="A3" s="86"/>
      <c r="B3" s="339" t="s">
        <v>54</v>
      </c>
      <c r="C3" s="339"/>
      <c r="D3" s="340" t="s">
        <v>108</v>
      </c>
      <c r="E3" s="340"/>
      <c r="F3" s="340"/>
      <c r="G3" s="340"/>
      <c r="H3" s="340"/>
      <c r="I3" s="340"/>
      <c r="J3" s="340"/>
      <c r="K3" s="340"/>
      <c r="L3" s="340"/>
      <c r="M3" s="340"/>
      <c r="N3" s="340"/>
      <c r="O3" s="87"/>
      <c r="P3" s="87"/>
      <c r="Q3" s="87"/>
      <c r="R3" s="87"/>
      <c r="S3" s="87"/>
      <c r="T3" s="87"/>
      <c r="FW3" t="s">
        <v>98</v>
      </c>
      <c r="FY3" t="s">
        <v>99</v>
      </c>
    </row>
    <row r="4" spans="1:181" ht="102.75" customHeight="1" x14ac:dyDescent="0.5">
      <c r="A4" s="86"/>
      <c r="B4" s="339" t="s">
        <v>100</v>
      </c>
      <c r="C4" s="339"/>
      <c r="D4" s="342" t="s">
        <v>182</v>
      </c>
      <c r="E4" s="342"/>
      <c r="F4" s="342"/>
      <c r="G4" s="342"/>
      <c r="H4" s="342"/>
      <c r="I4" s="342"/>
      <c r="J4" s="342"/>
      <c r="K4" s="342"/>
      <c r="L4" s="342"/>
      <c r="M4" s="342"/>
      <c r="N4" s="342"/>
      <c r="O4" s="87"/>
      <c r="P4" s="87"/>
      <c r="Q4" s="87"/>
      <c r="R4" s="87"/>
      <c r="S4" s="87"/>
      <c r="T4" s="87"/>
      <c r="FW4" t="s">
        <v>102</v>
      </c>
      <c r="FY4" t="s">
        <v>103</v>
      </c>
    </row>
    <row r="5" spans="1:181" ht="18" customHeight="1" x14ac:dyDescent="0.5">
      <c r="A5" s="88"/>
      <c r="B5" s="18"/>
      <c r="C5" s="19"/>
      <c r="D5" s="19"/>
      <c r="E5" s="19"/>
      <c r="F5" s="19"/>
      <c r="G5" s="19"/>
      <c r="H5" s="19"/>
      <c r="I5" s="19"/>
      <c r="J5" s="19"/>
      <c r="K5" s="19"/>
      <c r="L5" s="19"/>
      <c r="M5" s="19"/>
      <c r="N5" s="20"/>
      <c r="FW5" t="s">
        <v>104</v>
      </c>
    </row>
    <row r="6" spans="1:181" ht="17.25" customHeight="1" x14ac:dyDescent="0.5">
      <c r="A6" s="88"/>
      <c r="B6" s="333" t="s">
        <v>105</v>
      </c>
      <c r="C6" s="333"/>
      <c r="D6" s="89" t="s">
        <v>68</v>
      </c>
      <c r="E6" s="90" t="s">
        <v>91</v>
      </c>
      <c r="F6" s="91" t="s">
        <v>69</v>
      </c>
      <c r="G6" s="19"/>
      <c r="H6" s="19"/>
      <c r="I6" s="19"/>
      <c r="J6" s="19"/>
      <c r="K6" s="19"/>
      <c r="L6" s="19"/>
      <c r="M6" s="19"/>
      <c r="N6" s="20"/>
      <c r="FW6" t="s">
        <v>106</v>
      </c>
    </row>
    <row r="7" spans="1:181" ht="18" customHeight="1" x14ac:dyDescent="0.5">
      <c r="A7" s="88"/>
      <c r="B7" s="333"/>
      <c r="C7" s="333"/>
      <c r="D7" s="92">
        <v>0.02</v>
      </c>
      <c r="E7" s="93">
        <v>0.03</v>
      </c>
      <c r="F7" s="94">
        <v>0.05</v>
      </c>
      <c r="G7" s="19"/>
      <c r="H7" s="19"/>
      <c r="I7" s="19"/>
      <c r="J7" s="19"/>
      <c r="K7" s="19"/>
      <c r="L7" s="19"/>
      <c r="M7" s="19"/>
      <c r="N7" s="20"/>
      <c r="FW7" t="s">
        <v>107</v>
      </c>
    </row>
    <row r="8" spans="1:181" ht="18" customHeight="1" x14ac:dyDescent="0.5">
      <c r="A8" s="88"/>
      <c r="B8" s="18"/>
      <c r="C8" s="19"/>
      <c r="D8" s="19"/>
      <c r="E8" s="19"/>
      <c r="F8" s="19"/>
      <c r="G8" s="19"/>
      <c r="H8" s="19"/>
      <c r="I8" s="19"/>
      <c r="J8" s="19"/>
      <c r="K8" s="19"/>
      <c r="L8" s="19"/>
      <c r="M8" s="19"/>
      <c r="N8" s="20"/>
      <c r="FW8" t="s">
        <v>108</v>
      </c>
    </row>
    <row r="9" spans="1:181" ht="18" customHeight="1" x14ac:dyDescent="0.5">
      <c r="A9" s="88"/>
      <c r="B9" s="18"/>
      <c r="C9" s="19"/>
      <c r="D9" s="324" t="s">
        <v>109</v>
      </c>
      <c r="E9" s="324"/>
      <c r="F9" s="324"/>
      <c r="G9" s="334" t="s">
        <v>232</v>
      </c>
      <c r="H9" s="334"/>
      <c r="I9" s="334"/>
      <c r="J9" s="19"/>
      <c r="K9" s="19"/>
      <c r="L9" s="19"/>
      <c r="M9" s="19"/>
      <c r="N9" s="20"/>
    </row>
    <row r="10" spans="1:181" ht="18" customHeight="1" x14ac:dyDescent="0.5">
      <c r="A10" s="88"/>
      <c r="B10" s="32"/>
      <c r="C10" s="95"/>
      <c r="D10" s="96" t="s">
        <v>68</v>
      </c>
      <c r="E10" s="97" t="s">
        <v>91</v>
      </c>
      <c r="F10" s="98" t="s">
        <v>69</v>
      </c>
      <c r="G10" s="95" t="s">
        <v>68</v>
      </c>
      <c r="H10" s="95" t="s">
        <v>91</v>
      </c>
      <c r="I10" s="99" t="s">
        <v>69</v>
      </c>
      <c r="J10" s="19"/>
      <c r="K10" s="271" t="s">
        <v>183</v>
      </c>
      <c r="L10" s="19"/>
      <c r="M10" s="100"/>
      <c r="N10" s="20"/>
    </row>
    <row r="11" spans="1:181" ht="17.25" customHeight="1" x14ac:dyDescent="0.5">
      <c r="A11" s="88"/>
      <c r="B11" s="101" t="s">
        <v>110</v>
      </c>
      <c r="C11" s="102"/>
      <c r="D11" s="272">
        <v>720000</v>
      </c>
      <c r="E11" s="104">
        <v>720000</v>
      </c>
      <c r="F11" s="273">
        <v>720000</v>
      </c>
      <c r="G11" s="274">
        <v>694800</v>
      </c>
      <c r="H11" s="107">
        <v>684000</v>
      </c>
      <c r="I11" s="275">
        <v>673200</v>
      </c>
      <c r="J11" s="19"/>
      <c r="K11" s="276" t="s">
        <v>184</v>
      </c>
      <c r="L11" s="19"/>
      <c r="M11" s="19"/>
      <c r="N11" s="20"/>
    </row>
    <row r="12" spans="1:181" ht="17.25" customHeight="1" x14ac:dyDescent="0.5">
      <c r="A12" s="88"/>
      <c r="B12" s="101" t="s">
        <v>111</v>
      </c>
      <c r="C12" s="102"/>
      <c r="D12" s="103">
        <f>0.9*E12</f>
        <v>0</v>
      </c>
      <c r="E12" s="104">
        <v>0</v>
      </c>
      <c r="F12" s="105">
        <f>1.1*E12</f>
        <v>0</v>
      </c>
      <c r="G12" s="109">
        <v>0</v>
      </c>
      <c r="H12" s="110">
        <v>0</v>
      </c>
      <c r="I12" s="111">
        <v>0</v>
      </c>
      <c r="J12" s="19"/>
      <c r="K12" s="19"/>
      <c r="L12" s="19"/>
      <c r="M12" s="19"/>
      <c r="N12" s="20"/>
    </row>
    <row r="13" spans="1:181" ht="17.25" customHeight="1" x14ac:dyDescent="0.5">
      <c r="A13" s="88"/>
      <c r="B13" s="335" t="str">
        <f>'Allgemeine Unternehmensdaten'!C30&amp;"-Verbrauch in "&amp;SUBSTITUTE('Allgemeine Unternehmensdaten'!F30,"€/","")&amp;"/Jahr"</f>
        <v>Flexibler Kostenfaktor-Verbrauch in m³/Jahr</v>
      </c>
      <c r="C13" s="335"/>
      <c r="D13" s="103">
        <f>0.9*E13</f>
        <v>0</v>
      </c>
      <c r="E13" s="110">
        <v>0</v>
      </c>
      <c r="F13" s="105">
        <f>1.1*E13</f>
        <v>0</v>
      </c>
      <c r="G13" s="109">
        <v>0</v>
      </c>
      <c r="H13" s="110">
        <v>0</v>
      </c>
      <c r="I13" s="111">
        <v>0</v>
      </c>
      <c r="J13" s="19"/>
      <c r="K13" s="19"/>
      <c r="L13" s="19"/>
      <c r="M13" s="19"/>
      <c r="N13" s="20"/>
    </row>
    <row r="14" spans="1:181" ht="18" customHeight="1" x14ac:dyDescent="0.5">
      <c r="A14" s="88"/>
      <c r="B14" s="112"/>
      <c r="C14" s="113"/>
      <c r="D14" s="114"/>
      <c r="E14" s="115"/>
      <c r="F14" s="116"/>
      <c r="G14" s="114"/>
      <c r="H14" s="117"/>
      <c r="I14" s="63"/>
      <c r="J14" s="19"/>
      <c r="K14" s="19"/>
      <c r="L14" s="19"/>
      <c r="M14" s="19"/>
      <c r="N14" s="20"/>
    </row>
    <row r="15" spans="1:181" ht="17.25" customHeight="1" x14ac:dyDescent="0.5">
      <c r="A15" s="88"/>
      <c r="B15" s="18"/>
      <c r="C15" s="19"/>
      <c r="D15" s="19"/>
      <c r="E15" s="19"/>
      <c r="F15" s="19"/>
      <c r="G15" s="19"/>
      <c r="H15" s="19"/>
      <c r="I15" s="19"/>
      <c r="J15" s="19"/>
      <c r="K15" s="19"/>
      <c r="L15" s="19"/>
      <c r="M15" s="19"/>
      <c r="N15" s="20"/>
    </row>
    <row r="16" spans="1:181" ht="18" customHeight="1" x14ac:dyDescent="0.5">
      <c r="A16" s="88"/>
      <c r="B16" s="18"/>
      <c r="C16" s="19"/>
      <c r="D16" s="19"/>
      <c r="E16" s="19"/>
      <c r="F16" s="19"/>
      <c r="G16" s="19"/>
      <c r="H16" s="19"/>
      <c r="I16" s="19"/>
      <c r="J16" s="19"/>
      <c r="K16" s="19"/>
      <c r="L16" s="19"/>
      <c r="M16" s="19"/>
      <c r="N16" s="20"/>
    </row>
    <row r="17" spans="1:184" ht="18" customHeight="1" x14ac:dyDescent="0.5">
      <c r="A17" s="88"/>
      <c r="B17" s="32"/>
      <c r="C17" s="95"/>
      <c r="D17" s="118" t="s">
        <v>68</v>
      </c>
      <c r="E17" s="119" t="s">
        <v>91</v>
      </c>
      <c r="F17" s="120" t="s">
        <v>69</v>
      </c>
      <c r="G17" s="19"/>
      <c r="H17" s="19"/>
      <c r="I17" s="19"/>
      <c r="J17" s="19"/>
      <c r="K17" s="19"/>
      <c r="L17" s="19"/>
      <c r="M17" s="19"/>
      <c r="N17" s="20"/>
    </row>
    <row r="18" spans="1:184" ht="18" customHeight="1" x14ac:dyDescent="0.5">
      <c r="A18" s="88"/>
      <c r="B18" s="121" t="s">
        <v>25</v>
      </c>
      <c r="C18" s="122"/>
      <c r="D18" s="123">
        <v>0</v>
      </c>
      <c r="E18" s="124">
        <v>0</v>
      </c>
      <c r="F18" s="125">
        <v>0</v>
      </c>
      <c r="G18" s="126" t="s">
        <v>112</v>
      </c>
      <c r="H18" s="19"/>
      <c r="I18" s="19"/>
      <c r="J18" s="19"/>
      <c r="K18" s="19"/>
      <c r="L18" s="19"/>
      <c r="M18" s="19"/>
      <c r="N18" s="20"/>
    </row>
    <row r="19" spans="1:184" ht="18" customHeight="1" x14ac:dyDescent="0.5">
      <c r="A19" s="88"/>
      <c r="B19" s="121" t="s">
        <v>113</v>
      </c>
      <c r="C19" s="122"/>
      <c r="D19" s="127">
        <v>8</v>
      </c>
      <c r="E19" s="128">
        <v>10</v>
      </c>
      <c r="F19" s="129">
        <v>12</v>
      </c>
      <c r="G19" s="19"/>
      <c r="H19" s="19"/>
      <c r="I19" s="19"/>
      <c r="J19" s="19"/>
      <c r="K19" s="19"/>
      <c r="M19" s="19"/>
      <c r="N19" s="20"/>
      <c r="R19" s="336" t="s">
        <v>114</v>
      </c>
      <c r="S19" s="336"/>
      <c r="T19" s="336"/>
      <c r="U19" s="336"/>
      <c r="V19" s="336"/>
      <c r="W19" s="336"/>
      <c r="X19" s="336"/>
      <c r="Y19" s="336"/>
      <c r="Z19" s="336"/>
      <c r="AA19" s="336"/>
      <c r="AB19" s="336"/>
      <c r="AC19" s="336"/>
      <c r="AD19" s="336"/>
      <c r="AE19" s="336"/>
      <c r="AF19" s="336"/>
      <c r="AG19" s="336"/>
      <c r="AH19" s="336"/>
      <c r="AI19" s="336"/>
      <c r="AJ19" s="336"/>
      <c r="AK19" s="336"/>
      <c r="AL19" s="336"/>
      <c r="AM19" s="336"/>
      <c r="AN19" s="336"/>
      <c r="AO19" s="336"/>
      <c r="AP19" s="336"/>
      <c r="AQ19" s="336"/>
      <c r="AR19" s="336"/>
      <c r="AS19" s="336"/>
      <c r="AT19" s="336"/>
      <c r="AU19" s="336"/>
      <c r="AV19" s="336"/>
      <c r="AW19" s="336"/>
      <c r="AX19" s="336"/>
      <c r="AY19" s="336"/>
      <c r="AZ19" s="336"/>
      <c r="BA19" s="336"/>
      <c r="BB19" s="336"/>
      <c r="BC19" s="336"/>
      <c r="BD19" s="336"/>
      <c r="BE19" s="336"/>
      <c r="BF19" s="336"/>
      <c r="BG19" s="336"/>
      <c r="BH19" s="336"/>
      <c r="BI19" s="336"/>
      <c r="BJ19" s="336"/>
      <c r="BK19" s="336"/>
      <c r="BL19" s="336"/>
      <c r="BM19" s="336"/>
      <c r="BN19" s="336"/>
      <c r="BO19" s="336"/>
      <c r="BP19" s="336"/>
      <c r="BQ19" s="336"/>
      <c r="BR19" s="336"/>
      <c r="BS19" s="336"/>
      <c r="BT19" s="336"/>
      <c r="BV19" s="328" t="s">
        <v>115</v>
      </c>
      <c r="BW19" s="328"/>
      <c r="BX19" s="328"/>
      <c r="BY19" s="328"/>
      <c r="BZ19" s="328"/>
      <c r="CA19" s="328"/>
      <c r="CB19" s="328"/>
      <c r="CC19" s="328"/>
      <c r="CD19" s="328"/>
      <c r="CE19" s="328"/>
      <c r="CF19" s="328"/>
      <c r="CG19" s="328"/>
      <c r="CH19" s="328"/>
      <c r="CI19" s="328"/>
      <c r="CJ19" s="328"/>
      <c r="CK19" s="328"/>
      <c r="CL19" s="328"/>
      <c r="CM19" s="328"/>
      <c r="CN19" s="328"/>
      <c r="CO19" s="328"/>
      <c r="CP19" s="328"/>
      <c r="CQ19" s="328"/>
      <c r="CR19" s="328"/>
      <c r="CS19" s="328"/>
      <c r="CT19" s="328"/>
      <c r="CU19" s="328"/>
      <c r="CV19" s="328"/>
      <c r="CW19" s="328"/>
      <c r="CX19" s="328"/>
      <c r="CY19" s="328"/>
      <c r="CZ19" s="328"/>
      <c r="DA19" s="328"/>
      <c r="DB19" s="328"/>
      <c r="DC19" s="328"/>
      <c r="DD19" s="328"/>
      <c r="DE19" s="328"/>
      <c r="DF19" s="328"/>
      <c r="DG19" s="328"/>
      <c r="DH19" s="328"/>
      <c r="DI19" s="328"/>
      <c r="DJ19" s="328"/>
      <c r="DK19" s="328"/>
      <c r="DL19" s="328"/>
      <c r="DM19" s="328"/>
      <c r="DN19" s="328"/>
      <c r="DO19" s="328"/>
      <c r="DP19" s="328"/>
      <c r="DQ19" s="328"/>
      <c r="DR19" s="328"/>
      <c r="DS19" s="328"/>
      <c r="DT19" s="328"/>
      <c r="DU19" s="328"/>
      <c r="DV19" s="328"/>
      <c r="DW19" s="328"/>
      <c r="DX19" s="328"/>
      <c r="DZ19" s="329" t="s">
        <v>116</v>
      </c>
      <c r="EA19" s="329"/>
      <c r="EB19" s="329"/>
      <c r="EC19" s="329"/>
      <c r="ED19" s="329"/>
      <c r="EE19" s="329"/>
      <c r="EF19" s="329"/>
      <c r="EG19" s="329"/>
      <c r="EH19" s="329"/>
      <c r="EI19" s="329"/>
      <c r="EJ19" s="329"/>
      <c r="EK19" s="329"/>
      <c r="EL19" s="329"/>
      <c r="EM19" s="329"/>
      <c r="EN19" s="329"/>
      <c r="EO19" s="329"/>
      <c r="EP19" s="329"/>
      <c r="EQ19" s="329"/>
      <c r="ER19" s="329"/>
      <c r="ES19" s="329"/>
      <c r="ET19" s="329"/>
      <c r="EU19" s="329"/>
      <c r="EV19" s="329"/>
      <c r="EW19" s="329"/>
      <c r="EX19" s="329"/>
      <c r="EY19" s="329"/>
      <c r="EZ19" s="329"/>
      <c r="FA19" s="329"/>
      <c r="FB19" s="329"/>
      <c r="FC19" s="329"/>
      <c r="FD19" s="329"/>
      <c r="FE19" s="329"/>
      <c r="FF19" s="329"/>
      <c r="FG19" s="329"/>
      <c r="FH19" s="329"/>
      <c r="FI19" s="329"/>
      <c r="FJ19" s="329"/>
      <c r="FK19" s="329"/>
      <c r="FL19" s="329"/>
      <c r="FM19" s="329"/>
      <c r="FN19" s="329"/>
      <c r="FO19" s="329"/>
      <c r="FP19" s="329"/>
      <c r="FQ19" s="329"/>
      <c r="FR19" s="329"/>
      <c r="FS19" s="329"/>
      <c r="FT19" s="329"/>
      <c r="FU19" s="329"/>
      <c r="FV19" s="329"/>
      <c r="FW19" s="329"/>
      <c r="FX19" s="329"/>
      <c r="FY19" s="329"/>
      <c r="FZ19" s="329"/>
      <c r="GA19" s="329"/>
      <c r="GB19" s="329"/>
    </row>
    <row r="20" spans="1:184" ht="18" customHeight="1" x14ac:dyDescent="0.5">
      <c r="A20" s="88"/>
      <c r="B20" s="112" t="s">
        <v>117</v>
      </c>
      <c r="C20" s="113"/>
      <c r="D20" s="130">
        <f>D18+D19-1</f>
        <v>7</v>
      </c>
      <c r="E20" s="131">
        <f>E18+E19-1</f>
        <v>9</v>
      </c>
      <c r="F20" s="132">
        <f>F18+F19-1</f>
        <v>11</v>
      </c>
      <c r="G20" s="19"/>
      <c r="H20" s="19"/>
      <c r="I20" s="19"/>
      <c r="J20" s="19"/>
      <c r="K20" s="19"/>
      <c r="L20" s="330" t="s">
        <v>118</v>
      </c>
      <c r="M20" s="330"/>
      <c r="N20" s="133" t="s">
        <v>99</v>
      </c>
      <c r="R20" s="134" t="s">
        <v>119</v>
      </c>
      <c r="S20" s="43">
        <v>0</v>
      </c>
      <c r="T20" s="43">
        <v>1</v>
      </c>
      <c r="U20" s="43">
        <v>2</v>
      </c>
      <c r="V20" s="43">
        <v>3</v>
      </c>
      <c r="W20" s="43">
        <v>4</v>
      </c>
      <c r="X20" s="43">
        <v>5</v>
      </c>
      <c r="Y20" s="43">
        <v>6</v>
      </c>
      <c r="Z20" s="43">
        <v>7</v>
      </c>
      <c r="AA20" s="43">
        <v>8</v>
      </c>
      <c r="AB20" s="43">
        <v>9</v>
      </c>
      <c r="AC20" s="43">
        <v>10</v>
      </c>
      <c r="AD20" s="43">
        <v>11</v>
      </c>
      <c r="AE20" s="43">
        <v>12</v>
      </c>
      <c r="AF20" s="43">
        <v>13</v>
      </c>
      <c r="AG20" s="43">
        <v>14</v>
      </c>
      <c r="AH20" s="43">
        <v>15</v>
      </c>
      <c r="AI20" s="43">
        <v>16</v>
      </c>
      <c r="AJ20" s="43">
        <v>17</v>
      </c>
      <c r="AK20" s="43">
        <v>18</v>
      </c>
      <c r="AL20" s="43">
        <v>19</v>
      </c>
      <c r="AM20" s="43">
        <v>20</v>
      </c>
      <c r="AN20" s="43">
        <v>21</v>
      </c>
      <c r="AO20" s="43">
        <v>22</v>
      </c>
      <c r="AP20" s="43">
        <v>23</v>
      </c>
      <c r="AQ20" s="43">
        <v>24</v>
      </c>
      <c r="AR20" s="43">
        <v>25</v>
      </c>
      <c r="AS20" s="43">
        <v>26</v>
      </c>
      <c r="AT20" s="43">
        <v>27</v>
      </c>
      <c r="AU20" s="43">
        <v>28</v>
      </c>
      <c r="AV20" s="43">
        <v>29</v>
      </c>
      <c r="AW20" s="43">
        <v>30</v>
      </c>
      <c r="AX20" s="43">
        <v>31</v>
      </c>
      <c r="AY20" s="43">
        <v>32</v>
      </c>
      <c r="AZ20" s="43">
        <v>33</v>
      </c>
      <c r="BA20" s="43">
        <v>34</v>
      </c>
      <c r="BB20" s="43">
        <v>35</v>
      </c>
      <c r="BC20" s="43">
        <v>36</v>
      </c>
      <c r="BD20" s="43">
        <v>37</v>
      </c>
      <c r="BE20" s="43">
        <v>38</v>
      </c>
      <c r="BF20" s="43">
        <v>39</v>
      </c>
      <c r="BG20" s="43">
        <v>40</v>
      </c>
      <c r="BH20" s="43">
        <v>41</v>
      </c>
      <c r="BI20" s="43">
        <v>42</v>
      </c>
      <c r="BJ20" s="43">
        <v>43</v>
      </c>
      <c r="BK20" s="43">
        <v>44</v>
      </c>
      <c r="BL20" s="43">
        <v>45</v>
      </c>
      <c r="BM20" s="43">
        <v>46</v>
      </c>
      <c r="BN20" s="43">
        <v>47</v>
      </c>
      <c r="BO20" s="43">
        <v>48</v>
      </c>
      <c r="BP20" s="43">
        <v>49</v>
      </c>
      <c r="BQ20" s="43">
        <v>50</v>
      </c>
      <c r="BR20" s="43">
        <v>51</v>
      </c>
      <c r="BS20" s="43">
        <v>52</v>
      </c>
      <c r="BT20" s="44">
        <v>53</v>
      </c>
      <c r="BV20" s="134" t="s">
        <v>119</v>
      </c>
      <c r="BW20" s="43">
        <v>0</v>
      </c>
      <c r="BX20" s="43">
        <v>1</v>
      </c>
      <c r="BY20" s="43">
        <v>2</v>
      </c>
      <c r="BZ20" s="43">
        <v>3</v>
      </c>
      <c r="CA20" s="43">
        <v>4</v>
      </c>
      <c r="CB20" s="43">
        <v>5</v>
      </c>
      <c r="CC20" s="43">
        <v>6</v>
      </c>
      <c r="CD20" s="43">
        <v>7</v>
      </c>
      <c r="CE20" s="43">
        <v>8</v>
      </c>
      <c r="CF20" s="43">
        <v>9</v>
      </c>
      <c r="CG20" s="43">
        <v>10</v>
      </c>
      <c r="CH20" s="43">
        <v>11</v>
      </c>
      <c r="CI20" s="43">
        <v>12</v>
      </c>
      <c r="CJ20" s="43">
        <v>13</v>
      </c>
      <c r="CK20" s="43">
        <v>14</v>
      </c>
      <c r="CL20" s="43">
        <v>15</v>
      </c>
      <c r="CM20" s="43">
        <v>16</v>
      </c>
      <c r="CN20" s="43">
        <v>17</v>
      </c>
      <c r="CO20" s="43">
        <v>18</v>
      </c>
      <c r="CP20" s="43">
        <v>19</v>
      </c>
      <c r="CQ20" s="43">
        <v>20</v>
      </c>
      <c r="CR20" s="43">
        <v>21</v>
      </c>
      <c r="CS20" s="43">
        <v>22</v>
      </c>
      <c r="CT20" s="43">
        <v>23</v>
      </c>
      <c r="CU20" s="43">
        <v>24</v>
      </c>
      <c r="CV20" s="43">
        <v>25</v>
      </c>
      <c r="CW20" s="43">
        <v>26</v>
      </c>
      <c r="CX20" s="43">
        <v>27</v>
      </c>
      <c r="CY20" s="43">
        <v>28</v>
      </c>
      <c r="CZ20" s="43">
        <v>29</v>
      </c>
      <c r="DA20" s="43">
        <v>30</v>
      </c>
      <c r="DB20" s="43">
        <v>31</v>
      </c>
      <c r="DC20" s="43">
        <v>32</v>
      </c>
      <c r="DD20" s="43">
        <v>33</v>
      </c>
      <c r="DE20" s="43">
        <v>34</v>
      </c>
      <c r="DF20" s="43">
        <v>35</v>
      </c>
      <c r="DG20" s="43">
        <v>36</v>
      </c>
      <c r="DH20" s="43">
        <v>37</v>
      </c>
      <c r="DI20" s="43">
        <v>38</v>
      </c>
      <c r="DJ20" s="43">
        <v>39</v>
      </c>
      <c r="DK20" s="43">
        <v>40</v>
      </c>
      <c r="DL20" s="43">
        <v>41</v>
      </c>
      <c r="DM20" s="43">
        <v>42</v>
      </c>
      <c r="DN20" s="43">
        <v>43</v>
      </c>
      <c r="DO20" s="43">
        <v>44</v>
      </c>
      <c r="DP20" s="43">
        <v>45</v>
      </c>
      <c r="DQ20" s="43">
        <v>46</v>
      </c>
      <c r="DR20" s="43">
        <v>47</v>
      </c>
      <c r="DS20" s="43">
        <v>48</v>
      </c>
      <c r="DT20" s="43">
        <v>49</v>
      </c>
      <c r="DU20" s="43">
        <v>50</v>
      </c>
      <c r="DV20" s="43">
        <v>51</v>
      </c>
      <c r="DW20" s="43">
        <v>52</v>
      </c>
      <c r="DX20" s="44">
        <v>53</v>
      </c>
      <c r="DZ20" s="134" t="s">
        <v>119</v>
      </c>
      <c r="EA20" s="43">
        <v>0</v>
      </c>
      <c r="EB20" s="43">
        <v>1</v>
      </c>
      <c r="EC20" s="43">
        <v>2</v>
      </c>
      <c r="ED20" s="43">
        <v>3</v>
      </c>
      <c r="EE20" s="43">
        <v>4</v>
      </c>
      <c r="EF20" s="43">
        <v>5</v>
      </c>
      <c r="EG20" s="43">
        <v>6</v>
      </c>
      <c r="EH20" s="43">
        <v>7</v>
      </c>
      <c r="EI20" s="43">
        <v>8</v>
      </c>
      <c r="EJ20" s="43">
        <v>9</v>
      </c>
      <c r="EK20" s="43">
        <v>10</v>
      </c>
      <c r="EL20" s="43">
        <v>11</v>
      </c>
      <c r="EM20" s="43">
        <v>12</v>
      </c>
      <c r="EN20" s="43">
        <v>13</v>
      </c>
      <c r="EO20" s="43">
        <v>14</v>
      </c>
      <c r="EP20" s="43">
        <v>15</v>
      </c>
      <c r="EQ20" s="43">
        <v>16</v>
      </c>
      <c r="ER20" s="43">
        <v>17</v>
      </c>
      <c r="ES20" s="43">
        <v>18</v>
      </c>
      <c r="ET20" s="43">
        <v>19</v>
      </c>
      <c r="EU20" s="43">
        <v>20</v>
      </c>
      <c r="EV20" s="43">
        <v>21</v>
      </c>
      <c r="EW20" s="43">
        <v>22</v>
      </c>
      <c r="EX20" s="43">
        <v>23</v>
      </c>
      <c r="EY20" s="43">
        <v>24</v>
      </c>
      <c r="EZ20" s="43">
        <v>25</v>
      </c>
      <c r="FA20" s="43">
        <v>26</v>
      </c>
      <c r="FB20" s="43">
        <v>27</v>
      </c>
      <c r="FC20" s="43">
        <v>28</v>
      </c>
      <c r="FD20" s="43">
        <v>29</v>
      </c>
      <c r="FE20" s="43">
        <v>30</v>
      </c>
      <c r="FF20" s="43">
        <v>31</v>
      </c>
      <c r="FG20" s="43">
        <v>32</v>
      </c>
      <c r="FH20" s="43">
        <v>33</v>
      </c>
      <c r="FI20" s="43">
        <v>34</v>
      </c>
      <c r="FJ20" s="43">
        <v>35</v>
      </c>
      <c r="FK20" s="43">
        <v>36</v>
      </c>
      <c r="FL20" s="43">
        <v>37</v>
      </c>
      <c r="FM20" s="43">
        <v>38</v>
      </c>
      <c r="FN20" s="43">
        <v>39</v>
      </c>
      <c r="FO20" s="43">
        <v>40</v>
      </c>
      <c r="FP20" s="43">
        <v>41</v>
      </c>
      <c r="FQ20" s="43">
        <v>42</v>
      </c>
      <c r="FR20" s="43">
        <v>43</v>
      </c>
      <c r="FS20" s="43">
        <v>44</v>
      </c>
      <c r="FT20" s="43">
        <v>45</v>
      </c>
      <c r="FU20" s="43">
        <v>46</v>
      </c>
      <c r="FV20" s="43">
        <v>47</v>
      </c>
      <c r="FW20" s="43">
        <v>48</v>
      </c>
      <c r="FX20" s="43">
        <v>49</v>
      </c>
      <c r="FY20" s="43">
        <v>50</v>
      </c>
      <c r="FZ20" s="43">
        <v>51</v>
      </c>
      <c r="GA20" s="43">
        <v>52</v>
      </c>
      <c r="GB20" s="44">
        <v>53</v>
      </c>
    </row>
    <row r="21" spans="1:184" ht="18" customHeight="1" x14ac:dyDescent="0.5">
      <c r="A21" s="88"/>
      <c r="B21" s="18"/>
      <c r="C21" s="19"/>
      <c r="D21" s="19"/>
      <c r="E21" s="19"/>
      <c r="F21" s="19"/>
      <c r="G21" s="135" t="s">
        <v>120</v>
      </c>
      <c r="H21" s="19"/>
      <c r="I21" s="331" t="s">
        <v>121</v>
      </c>
      <c r="J21" s="331"/>
      <c r="K21" s="331"/>
      <c r="L21" s="332" t="s">
        <v>122</v>
      </c>
      <c r="M21" s="332"/>
      <c r="N21" s="332"/>
      <c r="R21" s="101" t="s">
        <v>123</v>
      </c>
      <c r="S21" s="136">
        <f t="shared" ref="S21:AX21" si="0">IF($E$20&gt;=S20,1,0)</f>
        <v>1</v>
      </c>
      <c r="T21" s="136">
        <f t="shared" si="0"/>
        <v>1</v>
      </c>
      <c r="U21" s="136">
        <f t="shared" si="0"/>
        <v>1</v>
      </c>
      <c r="V21" s="136">
        <f t="shared" si="0"/>
        <v>1</v>
      </c>
      <c r="W21" s="136">
        <f t="shared" si="0"/>
        <v>1</v>
      </c>
      <c r="X21" s="136">
        <f t="shared" si="0"/>
        <v>1</v>
      </c>
      <c r="Y21" s="136">
        <f t="shared" si="0"/>
        <v>1</v>
      </c>
      <c r="Z21" s="136">
        <f t="shared" si="0"/>
        <v>1</v>
      </c>
      <c r="AA21" s="136">
        <f t="shared" si="0"/>
        <v>1</v>
      </c>
      <c r="AB21" s="136">
        <f t="shared" si="0"/>
        <v>1</v>
      </c>
      <c r="AC21" s="136">
        <f t="shared" si="0"/>
        <v>0</v>
      </c>
      <c r="AD21" s="136">
        <f t="shared" si="0"/>
        <v>0</v>
      </c>
      <c r="AE21" s="136">
        <f t="shared" si="0"/>
        <v>0</v>
      </c>
      <c r="AF21" s="136">
        <f t="shared" si="0"/>
        <v>0</v>
      </c>
      <c r="AG21" s="136">
        <f t="shared" si="0"/>
        <v>0</v>
      </c>
      <c r="AH21" s="136">
        <f t="shared" si="0"/>
        <v>0</v>
      </c>
      <c r="AI21" s="136">
        <f t="shared" si="0"/>
        <v>0</v>
      </c>
      <c r="AJ21" s="136">
        <f t="shared" si="0"/>
        <v>0</v>
      </c>
      <c r="AK21" s="136">
        <f t="shared" si="0"/>
        <v>0</v>
      </c>
      <c r="AL21" s="136">
        <f t="shared" si="0"/>
        <v>0</v>
      </c>
      <c r="AM21" s="136">
        <f t="shared" si="0"/>
        <v>0</v>
      </c>
      <c r="AN21" s="136">
        <f t="shared" si="0"/>
        <v>0</v>
      </c>
      <c r="AO21" s="136">
        <f t="shared" si="0"/>
        <v>0</v>
      </c>
      <c r="AP21" s="136">
        <f t="shared" si="0"/>
        <v>0</v>
      </c>
      <c r="AQ21" s="136">
        <f t="shared" si="0"/>
        <v>0</v>
      </c>
      <c r="AR21" s="136">
        <f t="shared" si="0"/>
        <v>0</v>
      </c>
      <c r="AS21" s="136">
        <f t="shared" si="0"/>
        <v>0</v>
      </c>
      <c r="AT21" s="136">
        <f t="shared" si="0"/>
        <v>0</v>
      </c>
      <c r="AU21" s="136">
        <f t="shared" si="0"/>
        <v>0</v>
      </c>
      <c r="AV21" s="136">
        <f t="shared" si="0"/>
        <v>0</v>
      </c>
      <c r="AW21" s="136">
        <f t="shared" si="0"/>
        <v>0</v>
      </c>
      <c r="AX21" s="136">
        <f t="shared" si="0"/>
        <v>0</v>
      </c>
      <c r="AY21" s="136">
        <f t="shared" ref="AY21:BT21" si="1">IF($E$20&gt;=AY20,1,0)</f>
        <v>0</v>
      </c>
      <c r="AZ21" s="136">
        <f t="shared" si="1"/>
        <v>0</v>
      </c>
      <c r="BA21" s="136">
        <f t="shared" si="1"/>
        <v>0</v>
      </c>
      <c r="BB21" s="136">
        <f t="shared" si="1"/>
        <v>0</v>
      </c>
      <c r="BC21" s="136">
        <f t="shared" si="1"/>
        <v>0</v>
      </c>
      <c r="BD21" s="136">
        <f t="shared" si="1"/>
        <v>0</v>
      </c>
      <c r="BE21" s="136">
        <f t="shared" si="1"/>
        <v>0</v>
      </c>
      <c r="BF21" s="136">
        <f t="shared" si="1"/>
        <v>0</v>
      </c>
      <c r="BG21" s="136">
        <f t="shared" si="1"/>
        <v>0</v>
      </c>
      <c r="BH21" s="136">
        <f t="shared" si="1"/>
        <v>0</v>
      </c>
      <c r="BI21" s="136">
        <f t="shared" si="1"/>
        <v>0</v>
      </c>
      <c r="BJ21" s="136">
        <f t="shared" si="1"/>
        <v>0</v>
      </c>
      <c r="BK21" s="136">
        <f t="shared" si="1"/>
        <v>0</v>
      </c>
      <c r="BL21" s="136">
        <f t="shared" si="1"/>
        <v>0</v>
      </c>
      <c r="BM21" s="136">
        <f t="shared" si="1"/>
        <v>0</v>
      </c>
      <c r="BN21" s="136">
        <f t="shared" si="1"/>
        <v>0</v>
      </c>
      <c r="BO21" s="136">
        <f t="shared" si="1"/>
        <v>0</v>
      </c>
      <c r="BP21" s="136">
        <f t="shared" si="1"/>
        <v>0</v>
      </c>
      <c r="BQ21" s="136">
        <f t="shared" si="1"/>
        <v>0</v>
      </c>
      <c r="BR21" s="136">
        <f t="shared" si="1"/>
        <v>0</v>
      </c>
      <c r="BS21" s="136">
        <f t="shared" si="1"/>
        <v>0</v>
      </c>
      <c r="BT21" s="137">
        <f t="shared" si="1"/>
        <v>0</v>
      </c>
      <c r="BV21" s="101" t="s">
        <v>123</v>
      </c>
      <c r="BW21" s="136">
        <f t="shared" ref="BW21:DB21" si="2">IF($D$20&gt;=BW20,1,0)</f>
        <v>1</v>
      </c>
      <c r="BX21" s="136">
        <f t="shared" si="2"/>
        <v>1</v>
      </c>
      <c r="BY21" s="136">
        <f t="shared" si="2"/>
        <v>1</v>
      </c>
      <c r="BZ21" s="136">
        <f t="shared" si="2"/>
        <v>1</v>
      </c>
      <c r="CA21" s="136">
        <f t="shared" si="2"/>
        <v>1</v>
      </c>
      <c r="CB21" s="136">
        <f t="shared" si="2"/>
        <v>1</v>
      </c>
      <c r="CC21" s="136">
        <f t="shared" si="2"/>
        <v>1</v>
      </c>
      <c r="CD21" s="136">
        <f t="shared" si="2"/>
        <v>1</v>
      </c>
      <c r="CE21" s="136">
        <f t="shared" si="2"/>
        <v>0</v>
      </c>
      <c r="CF21" s="136">
        <f t="shared" si="2"/>
        <v>0</v>
      </c>
      <c r="CG21" s="136">
        <f t="shared" si="2"/>
        <v>0</v>
      </c>
      <c r="CH21" s="136">
        <f t="shared" si="2"/>
        <v>0</v>
      </c>
      <c r="CI21" s="136">
        <f t="shared" si="2"/>
        <v>0</v>
      </c>
      <c r="CJ21" s="136">
        <f t="shared" si="2"/>
        <v>0</v>
      </c>
      <c r="CK21" s="136">
        <f t="shared" si="2"/>
        <v>0</v>
      </c>
      <c r="CL21" s="136">
        <f t="shared" si="2"/>
        <v>0</v>
      </c>
      <c r="CM21" s="136">
        <f t="shared" si="2"/>
        <v>0</v>
      </c>
      <c r="CN21" s="136">
        <f t="shared" si="2"/>
        <v>0</v>
      </c>
      <c r="CO21" s="136">
        <f t="shared" si="2"/>
        <v>0</v>
      </c>
      <c r="CP21" s="136">
        <f t="shared" si="2"/>
        <v>0</v>
      </c>
      <c r="CQ21" s="136">
        <f t="shared" si="2"/>
        <v>0</v>
      </c>
      <c r="CR21" s="136">
        <f t="shared" si="2"/>
        <v>0</v>
      </c>
      <c r="CS21" s="136">
        <f t="shared" si="2"/>
        <v>0</v>
      </c>
      <c r="CT21" s="136">
        <f t="shared" si="2"/>
        <v>0</v>
      </c>
      <c r="CU21" s="136">
        <f t="shared" si="2"/>
        <v>0</v>
      </c>
      <c r="CV21" s="136">
        <f t="shared" si="2"/>
        <v>0</v>
      </c>
      <c r="CW21" s="136">
        <f t="shared" si="2"/>
        <v>0</v>
      </c>
      <c r="CX21" s="136">
        <f t="shared" si="2"/>
        <v>0</v>
      </c>
      <c r="CY21" s="136">
        <f t="shared" si="2"/>
        <v>0</v>
      </c>
      <c r="CZ21" s="136">
        <f t="shared" si="2"/>
        <v>0</v>
      </c>
      <c r="DA21" s="136">
        <f t="shared" si="2"/>
        <v>0</v>
      </c>
      <c r="DB21" s="136">
        <f t="shared" si="2"/>
        <v>0</v>
      </c>
      <c r="DC21" s="136">
        <f t="shared" ref="DC21:DX21" si="3">IF($D$20&gt;=DC20,1,0)</f>
        <v>0</v>
      </c>
      <c r="DD21" s="136">
        <f t="shared" si="3"/>
        <v>0</v>
      </c>
      <c r="DE21" s="136">
        <f t="shared" si="3"/>
        <v>0</v>
      </c>
      <c r="DF21" s="136">
        <f t="shared" si="3"/>
        <v>0</v>
      </c>
      <c r="DG21" s="136">
        <f t="shared" si="3"/>
        <v>0</v>
      </c>
      <c r="DH21" s="136">
        <f t="shared" si="3"/>
        <v>0</v>
      </c>
      <c r="DI21" s="136">
        <f t="shared" si="3"/>
        <v>0</v>
      </c>
      <c r="DJ21" s="136">
        <f t="shared" si="3"/>
        <v>0</v>
      </c>
      <c r="DK21" s="136">
        <f t="shared" si="3"/>
        <v>0</v>
      </c>
      <c r="DL21" s="136">
        <f t="shared" si="3"/>
        <v>0</v>
      </c>
      <c r="DM21" s="136">
        <f t="shared" si="3"/>
        <v>0</v>
      </c>
      <c r="DN21" s="136">
        <f t="shared" si="3"/>
        <v>0</v>
      </c>
      <c r="DO21" s="136">
        <f t="shared" si="3"/>
        <v>0</v>
      </c>
      <c r="DP21" s="136">
        <f t="shared" si="3"/>
        <v>0</v>
      </c>
      <c r="DQ21" s="136">
        <f t="shared" si="3"/>
        <v>0</v>
      </c>
      <c r="DR21" s="136">
        <f t="shared" si="3"/>
        <v>0</v>
      </c>
      <c r="DS21" s="136">
        <f t="shared" si="3"/>
        <v>0</v>
      </c>
      <c r="DT21" s="136">
        <f t="shared" si="3"/>
        <v>0</v>
      </c>
      <c r="DU21" s="136">
        <f t="shared" si="3"/>
        <v>0</v>
      </c>
      <c r="DV21" s="136">
        <f t="shared" si="3"/>
        <v>0</v>
      </c>
      <c r="DW21" s="136">
        <f t="shared" si="3"/>
        <v>0</v>
      </c>
      <c r="DX21" s="137">
        <f t="shared" si="3"/>
        <v>0</v>
      </c>
      <c r="DZ21" s="101" t="s">
        <v>123</v>
      </c>
      <c r="EA21" s="136">
        <f t="shared" ref="EA21:FF21" si="4">IF($F$20&gt;=EA20,1,0)</f>
        <v>1</v>
      </c>
      <c r="EB21" s="136">
        <f t="shared" si="4"/>
        <v>1</v>
      </c>
      <c r="EC21" s="136">
        <f t="shared" si="4"/>
        <v>1</v>
      </c>
      <c r="ED21" s="136">
        <f t="shared" si="4"/>
        <v>1</v>
      </c>
      <c r="EE21" s="136">
        <f t="shared" si="4"/>
        <v>1</v>
      </c>
      <c r="EF21" s="136">
        <f t="shared" si="4"/>
        <v>1</v>
      </c>
      <c r="EG21" s="136">
        <f t="shared" si="4"/>
        <v>1</v>
      </c>
      <c r="EH21" s="136">
        <f t="shared" si="4"/>
        <v>1</v>
      </c>
      <c r="EI21" s="136">
        <f t="shared" si="4"/>
        <v>1</v>
      </c>
      <c r="EJ21" s="136">
        <f t="shared" si="4"/>
        <v>1</v>
      </c>
      <c r="EK21" s="136">
        <f t="shared" si="4"/>
        <v>1</v>
      </c>
      <c r="EL21" s="136">
        <f t="shared" si="4"/>
        <v>1</v>
      </c>
      <c r="EM21" s="136">
        <f t="shared" si="4"/>
        <v>0</v>
      </c>
      <c r="EN21" s="136">
        <f t="shared" si="4"/>
        <v>0</v>
      </c>
      <c r="EO21" s="136">
        <f t="shared" si="4"/>
        <v>0</v>
      </c>
      <c r="EP21" s="136">
        <f t="shared" si="4"/>
        <v>0</v>
      </c>
      <c r="EQ21" s="136">
        <f t="shared" si="4"/>
        <v>0</v>
      </c>
      <c r="ER21" s="136">
        <f t="shared" si="4"/>
        <v>0</v>
      </c>
      <c r="ES21" s="136">
        <f t="shared" si="4"/>
        <v>0</v>
      </c>
      <c r="ET21" s="136">
        <f t="shared" si="4"/>
        <v>0</v>
      </c>
      <c r="EU21" s="136">
        <f t="shared" si="4"/>
        <v>0</v>
      </c>
      <c r="EV21" s="136">
        <f t="shared" si="4"/>
        <v>0</v>
      </c>
      <c r="EW21" s="136">
        <f t="shared" si="4"/>
        <v>0</v>
      </c>
      <c r="EX21" s="136">
        <f t="shared" si="4"/>
        <v>0</v>
      </c>
      <c r="EY21" s="136">
        <f t="shared" si="4"/>
        <v>0</v>
      </c>
      <c r="EZ21" s="136">
        <f t="shared" si="4"/>
        <v>0</v>
      </c>
      <c r="FA21" s="136">
        <f t="shared" si="4"/>
        <v>0</v>
      </c>
      <c r="FB21" s="136">
        <f t="shared" si="4"/>
        <v>0</v>
      </c>
      <c r="FC21" s="136">
        <f t="shared" si="4"/>
        <v>0</v>
      </c>
      <c r="FD21" s="136">
        <f t="shared" si="4"/>
        <v>0</v>
      </c>
      <c r="FE21" s="136">
        <f t="shared" si="4"/>
        <v>0</v>
      </c>
      <c r="FF21" s="136">
        <f t="shared" si="4"/>
        <v>0</v>
      </c>
      <c r="FG21" s="136">
        <f t="shared" ref="FG21:GB21" si="5">IF($F$20&gt;=FG20,1,0)</f>
        <v>0</v>
      </c>
      <c r="FH21" s="136">
        <f t="shared" si="5"/>
        <v>0</v>
      </c>
      <c r="FI21" s="136">
        <f t="shared" si="5"/>
        <v>0</v>
      </c>
      <c r="FJ21" s="136">
        <f t="shared" si="5"/>
        <v>0</v>
      </c>
      <c r="FK21" s="136">
        <f t="shared" si="5"/>
        <v>0</v>
      </c>
      <c r="FL21" s="136">
        <f t="shared" si="5"/>
        <v>0</v>
      </c>
      <c r="FM21" s="136">
        <f t="shared" si="5"/>
        <v>0</v>
      </c>
      <c r="FN21" s="136">
        <f t="shared" si="5"/>
        <v>0</v>
      </c>
      <c r="FO21" s="136">
        <f t="shared" si="5"/>
        <v>0</v>
      </c>
      <c r="FP21" s="136">
        <f t="shared" si="5"/>
        <v>0</v>
      </c>
      <c r="FQ21" s="136">
        <f t="shared" si="5"/>
        <v>0</v>
      </c>
      <c r="FR21" s="136">
        <f t="shared" si="5"/>
        <v>0</v>
      </c>
      <c r="FS21" s="136">
        <f t="shared" si="5"/>
        <v>0</v>
      </c>
      <c r="FT21" s="136">
        <f t="shared" si="5"/>
        <v>0</v>
      </c>
      <c r="FU21" s="136">
        <f t="shared" si="5"/>
        <v>0</v>
      </c>
      <c r="FV21" s="136">
        <f t="shared" si="5"/>
        <v>0</v>
      </c>
      <c r="FW21" s="136">
        <f t="shared" si="5"/>
        <v>0</v>
      </c>
      <c r="FX21" s="136">
        <f t="shared" si="5"/>
        <v>0</v>
      </c>
      <c r="FY21" s="136">
        <f t="shared" si="5"/>
        <v>0</v>
      </c>
      <c r="FZ21" s="136">
        <f t="shared" si="5"/>
        <v>0</v>
      </c>
      <c r="GA21" s="136">
        <f t="shared" si="5"/>
        <v>0</v>
      </c>
      <c r="GB21" s="137">
        <f t="shared" si="5"/>
        <v>0</v>
      </c>
    </row>
    <row r="22" spans="1:184" ht="18" customHeight="1" x14ac:dyDescent="0.5">
      <c r="A22" s="88"/>
      <c r="B22" s="96"/>
      <c r="C22" s="119"/>
      <c r="D22" s="119" t="s">
        <v>68</v>
      </c>
      <c r="E22" s="119" t="s">
        <v>91</v>
      </c>
      <c r="F22" s="138" t="s">
        <v>69</v>
      </c>
      <c r="G22" s="96" t="s">
        <v>124</v>
      </c>
      <c r="H22" s="98" t="s">
        <v>125</v>
      </c>
      <c r="I22" s="118" t="s">
        <v>68</v>
      </c>
      <c r="J22" s="119" t="s">
        <v>91</v>
      </c>
      <c r="K22" s="138" t="s">
        <v>69</v>
      </c>
      <c r="L22" s="96" t="s">
        <v>68</v>
      </c>
      <c r="M22" s="97" t="s">
        <v>91</v>
      </c>
      <c r="N22" s="98" t="s">
        <v>69</v>
      </c>
      <c r="R22" s="139" t="s">
        <v>126</v>
      </c>
      <c r="S22" s="140">
        <f t="shared" ref="S22:AX22" si="6">IF(AND(S20&gt;=$E$18,S20&lt;=$E$20),1,0)</f>
        <v>1</v>
      </c>
      <c r="T22" s="140">
        <f t="shared" si="6"/>
        <v>1</v>
      </c>
      <c r="U22" s="140">
        <f t="shared" si="6"/>
        <v>1</v>
      </c>
      <c r="V22" s="140">
        <f t="shared" si="6"/>
        <v>1</v>
      </c>
      <c r="W22" s="140">
        <f t="shared" si="6"/>
        <v>1</v>
      </c>
      <c r="X22" s="140">
        <f t="shared" si="6"/>
        <v>1</v>
      </c>
      <c r="Y22" s="140">
        <f t="shared" si="6"/>
        <v>1</v>
      </c>
      <c r="Z22" s="140">
        <f t="shared" si="6"/>
        <v>1</v>
      </c>
      <c r="AA22" s="140">
        <f t="shared" si="6"/>
        <v>1</v>
      </c>
      <c r="AB22" s="140">
        <f t="shared" si="6"/>
        <v>1</v>
      </c>
      <c r="AC22" s="140">
        <f t="shared" si="6"/>
        <v>0</v>
      </c>
      <c r="AD22" s="140">
        <f t="shared" si="6"/>
        <v>0</v>
      </c>
      <c r="AE22" s="140">
        <f t="shared" si="6"/>
        <v>0</v>
      </c>
      <c r="AF22" s="140">
        <f t="shared" si="6"/>
        <v>0</v>
      </c>
      <c r="AG22" s="140">
        <f t="shared" si="6"/>
        <v>0</v>
      </c>
      <c r="AH22" s="140">
        <f t="shared" si="6"/>
        <v>0</v>
      </c>
      <c r="AI22" s="140">
        <f t="shared" si="6"/>
        <v>0</v>
      </c>
      <c r="AJ22" s="140">
        <f t="shared" si="6"/>
        <v>0</v>
      </c>
      <c r="AK22" s="140">
        <f t="shared" si="6"/>
        <v>0</v>
      </c>
      <c r="AL22" s="140">
        <f t="shared" si="6"/>
        <v>0</v>
      </c>
      <c r="AM22" s="140">
        <f t="shared" si="6"/>
        <v>0</v>
      </c>
      <c r="AN22" s="140">
        <f t="shared" si="6"/>
        <v>0</v>
      </c>
      <c r="AO22" s="140">
        <f t="shared" si="6"/>
        <v>0</v>
      </c>
      <c r="AP22" s="140">
        <f t="shared" si="6"/>
        <v>0</v>
      </c>
      <c r="AQ22" s="140">
        <f t="shared" si="6"/>
        <v>0</v>
      </c>
      <c r="AR22" s="140">
        <f t="shared" si="6"/>
        <v>0</v>
      </c>
      <c r="AS22" s="140">
        <f t="shared" si="6"/>
        <v>0</v>
      </c>
      <c r="AT22" s="140">
        <f t="shared" si="6"/>
        <v>0</v>
      </c>
      <c r="AU22" s="140">
        <f t="shared" si="6"/>
        <v>0</v>
      </c>
      <c r="AV22" s="140">
        <f t="shared" si="6"/>
        <v>0</v>
      </c>
      <c r="AW22" s="140">
        <f t="shared" si="6"/>
        <v>0</v>
      </c>
      <c r="AX22" s="140">
        <f t="shared" si="6"/>
        <v>0</v>
      </c>
      <c r="AY22" s="140">
        <f t="shared" ref="AY22:BT22" si="7">IF(AND(AY20&gt;=$E$18,AY20&lt;=$E$20),1,0)</f>
        <v>0</v>
      </c>
      <c r="AZ22" s="140">
        <f t="shared" si="7"/>
        <v>0</v>
      </c>
      <c r="BA22" s="140">
        <f t="shared" si="7"/>
        <v>0</v>
      </c>
      <c r="BB22" s="140">
        <f t="shared" si="7"/>
        <v>0</v>
      </c>
      <c r="BC22" s="140">
        <f t="shared" si="7"/>
        <v>0</v>
      </c>
      <c r="BD22" s="140">
        <f t="shared" si="7"/>
        <v>0</v>
      </c>
      <c r="BE22" s="140">
        <f t="shared" si="7"/>
        <v>0</v>
      </c>
      <c r="BF22" s="140">
        <f t="shared" si="7"/>
        <v>0</v>
      </c>
      <c r="BG22" s="140">
        <f t="shared" si="7"/>
        <v>0</v>
      </c>
      <c r="BH22" s="140">
        <f t="shared" si="7"/>
        <v>0</v>
      </c>
      <c r="BI22" s="140">
        <f t="shared" si="7"/>
        <v>0</v>
      </c>
      <c r="BJ22" s="140">
        <f t="shared" si="7"/>
        <v>0</v>
      </c>
      <c r="BK22" s="140">
        <f t="shared" si="7"/>
        <v>0</v>
      </c>
      <c r="BL22" s="140">
        <f t="shared" si="7"/>
        <v>0</v>
      </c>
      <c r="BM22" s="140">
        <f t="shared" si="7"/>
        <v>0</v>
      </c>
      <c r="BN22" s="140">
        <f t="shared" si="7"/>
        <v>0</v>
      </c>
      <c r="BO22" s="140">
        <f t="shared" si="7"/>
        <v>0</v>
      </c>
      <c r="BP22" s="140">
        <f t="shared" si="7"/>
        <v>0</v>
      </c>
      <c r="BQ22" s="140">
        <f t="shared" si="7"/>
        <v>0</v>
      </c>
      <c r="BR22" s="140">
        <f t="shared" si="7"/>
        <v>0</v>
      </c>
      <c r="BS22" s="140">
        <f t="shared" si="7"/>
        <v>0</v>
      </c>
      <c r="BT22" s="141">
        <f t="shared" si="7"/>
        <v>0</v>
      </c>
      <c r="BV22" s="139" t="s">
        <v>126</v>
      </c>
      <c r="BW22" s="140">
        <f t="shared" ref="BW22:DB22" si="8">IF(AND(BW20&gt;=$D$18,BW20&lt;=$D$20),1,0)</f>
        <v>1</v>
      </c>
      <c r="BX22" s="140">
        <f t="shared" si="8"/>
        <v>1</v>
      </c>
      <c r="BY22" s="140">
        <f t="shared" si="8"/>
        <v>1</v>
      </c>
      <c r="BZ22" s="140">
        <f t="shared" si="8"/>
        <v>1</v>
      </c>
      <c r="CA22" s="140">
        <f t="shared" si="8"/>
        <v>1</v>
      </c>
      <c r="CB22" s="140">
        <f t="shared" si="8"/>
        <v>1</v>
      </c>
      <c r="CC22" s="140">
        <f t="shared" si="8"/>
        <v>1</v>
      </c>
      <c r="CD22" s="140">
        <f t="shared" si="8"/>
        <v>1</v>
      </c>
      <c r="CE22" s="140">
        <f t="shared" si="8"/>
        <v>0</v>
      </c>
      <c r="CF22" s="140">
        <f t="shared" si="8"/>
        <v>0</v>
      </c>
      <c r="CG22" s="140">
        <f t="shared" si="8"/>
        <v>0</v>
      </c>
      <c r="CH22" s="140">
        <f t="shared" si="8"/>
        <v>0</v>
      </c>
      <c r="CI22" s="140">
        <f t="shared" si="8"/>
        <v>0</v>
      </c>
      <c r="CJ22" s="140">
        <f t="shared" si="8"/>
        <v>0</v>
      </c>
      <c r="CK22" s="140">
        <f t="shared" si="8"/>
        <v>0</v>
      </c>
      <c r="CL22" s="140">
        <f t="shared" si="8"/>
        <v>0</v>
      </c>
      <c r="CM22" s="140">
        <f t="shared" si="8"/>
        <v>0</v>
      </c>
      <c r="CN22" s="140">
        <f t="shared" si="8"/>
        <v>0</v>
      </c>
      <c r="CO22" s="140">
        <f t="shared" si="8"/>
        <v>0</v>
      </c>
      <c r="CP22" s="140">
        <f t="shared" si="8"/>
        <v>0</v>
      </c>
      <c r="CQ22" s="140">
        <f t="shared" si="8"/>
        <v>0</v>
      </c>
      <c r="CR22" s="140">
        <f t="shared" si="8"/>
        <v>0</v>
      </c>
      <c r="CS22" s="140">
        <f t="shared" si="8"/>
        <v>0</v>
      </c>
      <c r="CT22" s="140">
        <f t="shared" si="8"/>
        <v>0</v>
      </c>
      <c r="CU22" s="140">
        <f t="shared" si="8"/>
        <v>0</v>
      </c>
      <c r="CV22" s="140">
        <f t="shared" si="8"/>
        <v>0</v>
      </c>
      <c r="CW22" s="140">
        <f t="shared" si="8"/>
        <v>0</v>
      </c>
      <c r="CX22" s="140">
        <f t="shared" si="8"/>
        <v>0</v>
      </c>
      <c r="CY22" s="140">
        <f t="shared" si="8"/>
        <v>0</v>
      </c>
      <c r="CZ22" s="140">
        <f t="shared" si="8"/>
        <v>0</v>
      </c>
      <c r="DA22" s="140">
        <f t="shared" si="8"/>
        <v>0</v>
      </c>
      <c r="DB22" s="140">
        <f t="shared" si="8"/>
        <v>0</v>
      </c>
      <c r="DC22" s="140">
        <f t="shared" ref="DC22:DX22" si="9">IF(AND(DC20&gt;=$D$18,DC20&lt;=$D$20),1,0)</f>
        <v>0</v>
      </c>
      <c r="DD22" s="140">
        <f t="shared" si="9"/>
        <v>0</v>
      </c>
      <c r="DE22" s="140">
        <f t="shared" si="9"/>
        <v>0</v>
      </c>
      <c r="DF22" s="140">
        <f t="shared" si="9"/>
        <v>0</v>
      </c>
      <c r="DG22" s="140">
        <f t="shared" si="9"/>
        <v>0</v>
      </c>
      <c r="DH22" s="140">
        <f t="shared" si="9"/>
        <v>0</v>
      </c>
      <c r="DI22" s="140">
        <f t="shared" si="9"/>
        <v>0</v>
      </c>
      <c r="DJ22" s="140">
        <f t="shared" si="9"/>
        <v>0</v>
      </c>
      <c r="DK22" s="140">
        <f t="shared" si="9"/>
        <v>0</v>
      </c>
      <c r="DL22" s="140">
        <f t="shared" si="9"/>
        <v>0</v>
      </c>
      <c r="DM22" s="140">
        <f t="shared" si="9"/>
        <v>0</v>
      </c>
      <c r="DN22" s="140">
        <f t="shared" si="9"/>
        <v>0</v>
      </c>
      <c r="DO22" s="140">
        <f t="shared" si="9"/>
        <v>0</v>
      </c>
      <c r="DP22" s="140">
        <f t="shared" si="9"/>
        <v>0</v>
      </c>
      <c r="DQ22" s="140">
        <f t="shared" si="9"/>
        <v>0</v>
      </c>
      <c r="DR22" s="140">
        <f t="shared" si="9"/>
        <v>0</v>
      </c>
      <c r="DS22" s="140">
        <f t="shared" si="9"/>
        <v>0</v>
      </c>
      <c r="DT22" s="140">
        <f t="shared" si="9"/>
        <v>0</v>
      </c>
      <c r="DU22" s="140">
        <f t="shared" si="9"/>
        <v>0</v>
      </c>
      <c r="DV22" s="140">
        <f t="shared" si="9"/>
        <v>0</v>
      </c>
      <c r="DW22" s="140">
        <f t="shared" si="9"/>
        <v>0</v>
      </c>
      <c r="DX22" s="141">
        <f t="shared" si="9"/>
        <v>0</v>
      </c>
      <c r="DZ22" s="139" t="s">
        <v>126</v>
      </c>
      <c r="EA22" s="140">
        <f t="shared" ref="EA22:FF22" si="10">IF(AND(EA20&gt;=$F$18,EA20&lt;=$F$20),1,0)</f>
        <v>1</v>
      </c>
      <c r="EB22" s="140">
        <f t="shared" si="10"/>
        <v>1</v>
      </c>
      <c r="EC22" s="140">
        <f t="shared" si="10"/>
        <v>1</v>
      </c>
      <c r="ED22" s="140">
        <f t="shared" si="10"/>
        <v>1</v>
      </c>
      <c r="EE22" s="140">
        <f t="shared" si="10"/>
        <v>1</v>
      </c>
      <c r="EF22" s="140">
        <f t="shared" si="10"/>
        <v>1</v>
      </c>
      <c r="EG22" s="140">
        <f t="shared" si="10"/>
        <v>1</v>
      </c>
      <c r="EH22" s="140">
        <f t="shared" si="10"/>
        <v>1</v>
      </c>
      <c r="EI22" s="140">
        <f t="shared" si="10"/>
        <v>1</v>
      </c>
      <c r="EJ22" s="140">
        <f t="shared" si="10"/>
        <v>1</v>
      </c>
      <c r="EK22" s="140">
        <f t="shared" si="10"/>
        <v>1</v>
      </c>
      <c r="EL22" s="140">
        <f t="shared" si="10"/>
        <v>1</v>
      </c>
      <c r="EM22" s="140">
        <f t="shared" si="10"/>
        <v>0</v>
      </c>
      <c r="EN22" s="140">
        <f t="shared" si="10"/>
        <v>0</v>
      </c>
      <c r="EO22" s="140">
        <f t="shared" si="10"/>
        <v>0</v>
      </c>
      <c r="EP22" s="140">
        <f t="shared" si="10"/>
        <v>0</v>
      </c>
      <c r="EQ22" s="140">
        <f t="shared" si="10"/>
        <v>0</v>
      </c>
      <c r="ER22" s="140">
        <f t="shared" si="10"/>
        <v>0</v>
      </c>
      <c r="ES22" s="140">
        <f t="shared" si="10"/>
        <v>0</v>
      </c>
      <c r="ET22" s="140">
        <f t="shared" si="10"/>
        <v>0</v>
      </c>
      <c r="EU22" s="140">
        <f t="shared" si="10"/>
        <v>0</v>
      </c>
      <c r="EV22" s="140">
        <f t="shared" si="10"/>
        <v>0</v>
      </c>
      <c r="EW22" s="140">
        <f t="shared" si="10"/>
        <v>0</v>
      </c>
      <c r="EX22" s="140">
        <f t="shared" si="10"/>
        <v>0</v>
      </c>
      <c r="EY22" s="140">
        <f t="shared" si="10"/>
        <v>0</v>
      </c>
      <c r="EZ22" s="140">
        <f t="shared" si="10"/>
        <v>0</v>
      </c>
      <c r="FA22" s="140">
        <f t="shared" si="10"/>
        <v>0</v>
      </c>
      <c r="FB22" s="140">
        <f t="shared" si="10"/>
        <v>0</v>
      </c>
      <c r="FC22" s="140">
        <f t="shared" si="10"/>
        <v>0</v>
      </c>
      <c r="FD22" s="140">
        <f t="shared" si="10"/>
        <v>0</v>
      </c>
      <c r="FE22" s="140">
        <f t="shared" si="10"/>
        <v>0</v>
      </c>
      <c r="FF22" s="140">
        <f t="shared" si="10"/>
        <v>0</v>
      </c>
      <c r="FG22" s="140">
        <f t="shared" ref="FG22:GB22" si="11">IF(AND(FG20&gt;=$F$18,FG20&lt;=$F$20),1,0)</f>
        <v>0</v>
      </c>
      <c r="FH22" s="140">
        <f t="shared" si="11"/>
        <v>0</v>
      </c>
      <c r="FI22" s="140">
        <f t="shared" si="11"/>
        <v>0</v>
      </c>
      <c r="FJ22" s="140">
        <f t="shared" si="11"/>
        <v>0</v>
      </c>
      <c r="FK22" s="140">
        <f t="shared" si="11"/>
        <v>0</v>
      </c>
      <c r="FL22" s="140">
        <f t="shared" si="11"/>
        <v>0</v>
      </c>
      <c r="FM22" s="140">
        <f t="shared" si="11"/>
        <v>0</v>
      </c>
      <c r="FN22" s="140">
        <f t="shared" si="11"/>
        <v>0</v>
      </c>
      <c r="FO22" s="140">
        <f t="shared" si="11"/>
        <v>0</v>
      </c>
      <c r="FP22" s="140">
        <f t="shared" si="11"/>
        <v>0</v>
      </c>
      <c r="FQ22" s="140">
        <f t="shared" si="11"/>
        <v>0</v>
      </c>
      <c r="FR22" s="140">
        <f t="shared" si="11"/>
        <v>0</v>
      </c>
      <c r="FS22" s="140">
        <f t="shared" si="11"/>
        <v>0</v>
      </c>
      <c r="FT22" s="140">
        <f t="shared" si="11"/>
        <v>0</v>
      </c>
      <c r="FU22" s="140">
        <f t="shared" si="11"/>
        <v>0</v>
      </c>
      <c r="FV22" s="140">
        <f t="shared" si="11"/>
        <v>0</v>
      </c>
      <c r="FW22" s="140">
        <f t="shared" si="11"/>
        <v>0</v>
      </c>
      <c r="FX22" s="140">
        <f t="shared" si="11"/>
        <v>0</v>
      </c>
      <c r="FY22" s="140">
        <f t="shared" si="11"/>
        <v>0</v>
      </c>
      <c r="FZ22" s="140">
        <f t="shared" si="11"/>
        <v>0</v>
      </c>
      <c r="GA22" s="140">
        <f t="shared" si="11"/>
        <v>0</v>
      </c>
      <c r="GB22" s="141">
        <f t="shared" si="11"/>
        <v>0</v>
      </c>
    </row>
    <row r="23" spans="1:184" ht="17.25" customHeight="1" x14ac:dyDescent="0.5">
      <c r="A23" s="88"/>
      <c r="B23" s="322" t="s">
        <v>127</v>
      </c>
      <c r="C23" s="89" t="s">
        <v>226</v>
      </c>
      <c r="D23" s="142">
        <f>IF(D11&gt;G11,IFERROR((D11-G11)/D11,0),0)</f>
        <v>3.5000000000000003E-2</v>
      </c>
      <c r="E23" s="142">
        <f>IF(E11&gt;H11,IFERROR((E11-H11)/E11,0),0)</f>
        <v>0.05</v>
      </c>
      <c r="F23" s="142">
        <f>IF(F11&gt;I11,IFERROR((F11-I11)/F11,0),0)</f>
        <v>6.5000000000000002E-2</v>
      </c>
      <c r="G23" s="1">
        <v>99</v>
      </c>
      <c r="H23" s="143">
        <v>99</v>
      </c>
      <c r="I23" s="144">
        <f>J23*2</f>
        <v>0</v>
      </c>
      <c r="J23" s="145">
        <v>0</v>
      </c>
      <c r="K23" s="146">
        <f>J23*0.5</f>
        <v>0</v>
      </c>
      <c r="L23" s="147">
        <f>'Allgemeine Unternehmensdaten'!$E$8</f>
        <v>0.04</v>
      </c>
      <c r="M23" s="148">
        <f>'Allgemeine Unternehmensdaten'!$F$8</f>
        <v>0.03</v>
      </c>
      <c r="N23" s="149">
        <f>'Allgemeine Unternehmensdaten'!$G$8</f>
        <v>0.02</v>
      </c>
      <c r="R23" s="150" t="s">
        <v>128</v>
      </c>
      <c r="S23" s="151">
        <f>'Allgemeine Unternehmensdaten'!$F$7*S22*$E11*$E23*($M23+1)^(S20)/((1+$J23)^(S$20))</f>
        <v>7848</v>
      </c>
      <c r="T23" s="151">
        <f>'Allgemeine Unternehmensdaten'!$F$7*T22*$E11*$E23*($M23+1)^(T20)/((1+$J23)^(T$20))</f>
        <v>8083.4400000000005</v>
      </c>
      <c r="U23" s="151">
        <f>'Allgemeine Unternehmensdaten'!$F$7*U22*$E11*$E23*($M23+1)^(U20)/((1+$J23)^(U$20))</f>
        <v>8325.9431999999997</v>
      </c>
      <c r="V23" s="151">
        <f>'Allgemeine Unternehmensdaten'!$F$7*V22*$E11*$E23*($M23+1)^(V20)/((1+$J23)^(V$20))</f>
        <v>8575.7214960000001</v>
      </c>
      <c r="W23" s="151">
        <f>'Allgemeine Unternehmensdaten'!$F$7*W22*$E11*$E23*($M23+1)^(W20)/((1+$J23)^(W$20))</f>
        <v>8832.9931408799985</v>
      </c>
      <c r="X23" s="151">
        <f>'Allgemeine Unternehmensdaten'!$F$7*X22*$E11*$E23*($M23+1)^(X20)/((1+$J23)^(X$20))</f>
        <v>9097.9829351063981</v>
      </c>
      <c r="Y23" s="151">
        <f>'Allgemeine Unternehmensdaten'!$F$7*Y22*$E11*$E23*($M23+1)^(Y20)/((1+$J23)^(Y$20))</f>
        <v>9370.9224231595908</v>
      </c>
      <c r="Z23" s="151">
        <f>'Allgemeine Unternehmensdaten'!$F$7*Z22*$E11*$E23*($M23+1)^(Z20)/((1+$J23)^(Z$20))</f>
        <v>9652.0500958543798</v>
      </c>
      <c r="AA23" s="151">
        <f>'Allgemeine Unternehmensdaten'!$F$7*AA22*$E11*$E23*($M23+1)^(AA20)/((1+$J23)^(AA$20))</f>
        <v>9941.6115987300091</v>
      </c>
      <c r="AB23" s="151">
        <f>'Allgemeine Unternehmensdaten'!$F$7*AB22*$E11*$E23*($M23+1)^(AB20)/((1+$J23)^(AB$20))</f>
        <v>10239.859946691911</v>
      </c>
      <c r="AC23" s="151">
        <f>'Allgemeine Unternehmensdaten'!$F$7*AC22*$E11*$E23*($M23+1)^(AC20)/((1+$J23)^(AC$20))</f>
        <v>0</v>
      </c>
      <c r="AD23" s="151">
        <f>'Allgemeine Unternehmensdaten'!$F$7*AD22*$E11*$E23*($M23+1)^(AD20)/((1+$J23)^(AD$20))</f>
        <v>0</v>
      </c>
      <c r="AE23" s="151">
        <f>'Allgemeine Unternehmensdaten'!$F$7*AE22*$E11*$E23*($M23+1)^(AE20)/((1+$J23)^(AE$20))</f>
        <v>0</v>
      </c>
      <c r="AF23" s="151">
        <f>'Allgemeine Unternehmensdaten'!$F$7*AF22*$E11*$E23*($M23+1)^(AF20)/((1+$J23)^(AF$20))</f>
        <v>0</v>
      </c>
      <c r="AG23" s="151">
        <f>'Allgemeine Unternehmensdaten'!$F$7*AG22*$E11*$E23*($M23+1)^(AG20)/((1+$J23)^(AG$20))</f>
        <v>0</v>
      </c>
      <c r="AH23" s="151">
        <f>'Allgemeine Unternehmensdaten'!$F$7*AH22*$E11*$E23*($M23+1)^(AH20)/((1+$J23)^(AH$20))</f>
        <v>0</v>
      </c>
      <c r="AI23" s="151">
        <f>'Allgemeine Unternehmensdaten'!$F$7*AI22*$E11*$E23*($M23+1)^(AI20)/((1+$J23)^(AI$20))</f>
        <v>0</v>
      </c>
      <c r="AJ23" s="151">
        <f>'Allgemeine Unternehmensdaten'!$F$7*AJ22*$E11*$E23*($M23+1)^(AJ20)/((1+$J23)^(AJ$20))</f>
        <v>0</v>
      </c>
      <c r="AK23" s="151">
        <f>'Allgemeine Unternehmensdaten'!$F$7*AK22*$E11*$E23*($M23+1)^(AK20)/((1+$J23)^(AK$20))</f>
        <v>0</v>
      </c>
      <c r="AL23" s="151">
        <f>'Allgemeine Unternehmensdaten'!$F$7*AL22*$E11*$E23*($M23+1)^(AL20)/((1+$J23)^(AL$20))</f>
        <v>0</v>
      </c>
      <c r="AM23" s="151">
        <f>'Allgemeine Unternehmensdaten'!$F$7*AM22*$E11*$E23*($M23+1)^(AM20)/((1+$J23)^(AM$20))</f>
        <v>0</v>
      </c>
      <c r="AN23" s="151">
        <f>'Allgemeine Unternehmensdaten'!$F$7*AN22*$E11*$E23*($M23+1)^(AN20)/((1+$J23)^(AN$20))</f>
        <v>0</v>
      </c>
      <c r="AO23" s="151">
        <f>'Allgemeine Unternehmensdaten'!$F$7*AO22*$E11*$E23*($M23+1)^(AO20)/((1+$J23)^(AO$20))</f>
        <v>0</v>
      </c>
      <c r="AP23" s="151">
        <f>'Allgemeine Unternehmensdaten'!$F$7*AP22*$E11*$E23*($M23+1)^(AP20)/((1+$J23)^(AP$20))</f>
        <v>0</v>
      </c>
      <c r="AQ23" s="151">
        <f>'Allgemeine Unternehmensdaten'!$F$7*AQ22*$E11*$E23*($M23+1)^(AQ20)/((1+$J23)^(AQ$20))</f>
        <v>0</v>
      </c>
      <c r="AR23" s="151">
        <f>'Allgemeine Unternehmensdaten'!$F$7*AR22*$E11*$E23*($M23+1)^(AR20)/((1+$J23)^(AR$20))</f>
        <v>0</v>
      </c>
      <c r="AS23" s="151">
        <f>'Allgemeine Unternehmensdaten'!$F$7*AS22*$E11*$E23*($M23+1)^(AS20)/((1+$J23)^(AS$20))</f>
        <v>0</v>
      </c>
      <c r="AT23" s="151">
        <f>'Allgemeine Unternehmensdaten'!$F$7*AT22*$E11*$E23*($M23+1)^(AT20)/((1+$J23)^(AT$20))</f>
        <v>0</v>
      </c>
      <c r="AU23" s="151">
        <f>'Allgemeine Unternehmensdaten'!$F$7*AU22*$E11*$E23*($M23+1)^(AU20)/((1+$J23)^(AU$20))</f>
        <v>0</v>
      </c>
      <c r="AV23" s="151">
        <f>'Allgemeine Unternehmensdaten'!$F$7*AV22*$E11*$E23*($M23+1)^(AV20)/((1+$J23)^(AV$20))</f>
        <v>0</v>
      </c>
      <c r="AW23" s="151">
        <f>'Allgemeine Unternehmensdaten'!$F$7*AW22*$E11*$E23*($M23+1)^(AW20)/((1+$J23)^(AW$20))</f>
        <v>0</v>
      </c>
      <c r="AX23" s="151">
        <f>'Allgemeine Unternehmensdaten'!$F$7*AX22*$E11*$E23*($M23+1)^(AX20)/((1+$J23)^(AX$20))</f>
        <v>0</v>
      </c>
      <c r="AY23" s="151">
        <f>'Allgemeine Unternehmensdaten'!$F$7*AY22*$E11*$E23*($M23+1)^(AY20)/((1+$J23)^(AY$20))</f>
        <v>0</v>
      </c>
      <c r="AZ23" s="151">
        <f>'Allgemeine Unternehmensdaten'!$F$7*AZ22*$E11*$E23*($M23+1)^(AZ20)/((1+$J23)^(AZ$20))</f>
        <v>0</v>
      </c>
      <c r="BA23" s="151">
        <f>'Allgemeine Unternehmensdaten'!$F$7*BA22*$E11*$E23*($M23+1)^(BA20)/((1+$J23)^(BA$20))</f>
        <v>0</v>
      </c>
      <c r="BB23" s="151">
        <f>'Allgemeine Unternehmensdaten'!$F$7*BB22*$E11*$E23*($M23+1)^(BB20)/((1+$J23)^(BB$20))</f>
        <v>0</v>
      </c>
      <c r="BC23" s="151">
        <f>'Allgemeine Unternehmensdaten'!$F$7*BC22*$E11*$E23*($M23+1)^(BC20)/((1+$J23)^(BC$20))</f>
        <v>0</v>
      </c>
      <c r="BD23" s="151">
        <f>'Allgemeine Unternehmensdaten'!$F$7*BD22*$E11*$E23*($M23+1)^(BD20)/((1+$J23)^(BD$20))</f>
        <v>0</v>
      </c>
      <c r="BE23" s="151">
        <f>'Allgemeine Unternehmensdaten'!$F$7*BE22*$E11*$E23*($M23+1)^(BE20)/((1+$J23)^(BE$20))</f>
        <v>0</v>
      </c>
      <c r="BF23" s="151">
        <f>'Allgemeine Unternehmensdaten'!$F$7*BF22*$E11*$E23*($M23+1)^(BF20)/((1+$J23)^(BF$20))</f>
        <v>0</v>
      </c>
      <c r="BG23" s="151">
        <f>'Allgemeine Unternehmensdaten'!$F$7*BG22*$E11*$E23*($M23+1)^(BG20)/((1+$J23)^(BG$20))</f>
        <v>0</v>
      </c>
      <c r="BH23" s="151">
        <f>'Allgemeine Unternehmensdaten'!$F$7*BH22*$E11*$E23*($M23+1)^(BH20)/((1+$J23)^(BH$20))</f>
        <v>0</v>
      </c>
      <c r="BI23" s="151">
        <f>'Allgemeine Unternehmensdaten'!$F$7*BI22*$E11*$E23*($M23+1)^(BI20)/((1+$J23)^(BI$20))</f>
        <v>0</v>
      </c>
      <c r="BJ23" s="151">
        <f>'Allgemeine Unternehmensdaten'!$F$7*BJ22*$E11*$E23*($M23+1)^(BJ20)/((1+$J23)^(BJ$20))</f>
        <v>0</v>
      </c>
      <c r="BK23" s="151">
        <f>'Allgemeine Unternehmensdaten'!$F$7*BK22*$E11*$E23*($M23+1)^(BK20)/((1+$J23)^(BK$20))</f>
        <v>0</v>
      </c>
      <c r="BL23" s="151">
        <f>'Allgemeine Unternehmensdaten'!$F$7*BL22*$E11*$E23*($M23+1)^(BL20)/((1+$J23)^(BL$20))</f>
        <v>0</v>
      </c>
      <c r="BM23" s="151">
        <f>'Allgemeine Unternehmensdaten'!$F$7*BM22*$E11*$E23*($M23+1)^(BM20)/((1+$J23)^(BM$20))</f>
        <v>0</v>
      </c>
      <c r="BN23" s="151">
        <f>'Allgemeine Unternehmensdaten'!$F$7*BN22*$E11*$E23*($M23+1)^(BN20)/((1+$J23)^(BN$20))</f>
        <v>0</v>
      </c>
      <c r="BO23" s="151">
        <f>'Allgemeine Unternehmensdaten'!$F$7*BO22*$E11*$E23*($M23+1)^(BO20)/((1+$J23)^(BO$20))</f>
        <v>0</v>
      </c>
      <c r="BP23" s="151">
        <f>'Allgemeine Unternehmensdaten'!$F$7*BP22*$E11*$E23*($M23+1)^(BP20)/((1+$J23)^(BP$20))</f>
        <v>0</v>
      </c>
      <c r="BQ23" s="151">
        <f>'Allgemeine Unternehmensdaten'!$F$7*BQ22*$E11*$E23*($M23+1)^(BQ20)/((1+$J23)^(BQ$20))</f>
        <v>0</v>
      </c>
      <c r="BR23" s="151">
        <f>'Allgemeine Unternehmensdaten'!$F$7*BR22*$E11*$E23*($M23+1)^(BR20)/((1+$J23)^(BR$20))</f>
        <v>0</v>
      </c>
      <c r="BS23" s="151">
        <f>'Allgemeine Unternehmensdaten'!$F$7*BS22*$E11*$E23*($M23+1)^(BS20)/((1+$J23)^(BS$20))</f>
        <v>0</v>
      </c>
      <c r="BT23" s="151">
        <f>'Allgemeine Unternehmensdaten'!$F$7*BT22*$E11*$E23*($M23+1)^(BT20)/((1+$J23)^(BT$20))</f>
        <v>0</v>
      </c>
      <c r="BV23" s="150" t="s">
        <v>128</v>
      </c>
      <c r="BW23" s="151">
        <f>'Allgemeine Unternehmensdaten'!$E$7*BW22*$D11*$D23*($L23+1)^(BW20)/((1+$I23)^(BW$20))</f>
        <v>4334.3999999999996</v>
      </c>
      <c r="BX23" s="151">
        <f>'Allgemeine Unternehmensdaten'!$E$7*BX22*$D11*$D23*($L23+1)^(BX20)/((1+$I23)^(BX$20))</f>
        <v>4507.7759999999998</v>
      </c>
      <c r="BY23" s="151">
        <f>'Allgemeine Unternehmensdaten'!$E$7*BY22*$D11*$D23*($L23+1)^(BY20)/((1+$I23)^(BY$20))</f>
        <v>4688.0870400000003</v>
      </c>
      <c r="BZ23" s="151">
        <f>'Allgemeine Unternehmensdaten'!$E$7*BZ22*$D11*$D23*($L23+1)^(BZ20)/((1+$I23)^(BZ$20))</f>
        <v>4875.6105215999996</v>
      </c>
      <c r="CA23" s="151">
        <f>'Allgemeine Unternehmensdaten'!$E$7*CA22*$D11*$D23*($L23+1)^(CA20)/((1+$I23)^(CA$20))</f>
        <v>5070.6349424640002</v>
      </c>
      <c r="CB23" s="151">
        <f>'Allgemeine Unternehmensdaten'!$E$7*CB22*$D11*$D23*($L23+1)^(CB20)/((1+$I23)^(CB$20))</f>
        <v>5273.4603401625609</v>
      </c>
      <c r="CC23" s="151">
        <f>'Allgemeine Unternehmensdaten'!$E$7*CC22*$D11*$D23*($L23+1)^(CC20)/((1+$I23)^(CC$20))</f>
        <v>5484.3987537690637</v>
      </c>
      <c r="CD23" s="151">
        <f>'Allgemeine Unternehmensdaten'!$E$7*CD22*$D11*$D23*($L23+1)^(CD20)/((1+$I23)^(CD$20))</f>
        <v>5703.7747039198257</v>
      </c>
      <c r="CE23" s="151">
        <f>'Allgemeine Unternehmensdaten'!$E$7*CE22*$D11*$D23*($L23+1)^(CE20)/((1+$I23)^(CE$20))</f>
        <v>0</v>
      </c>
      <c r="CF23" s="151">
        <f>'Allgemeine Unternehmensdaten'!$E$7*CF22*$D11*$D23*($L23+1)^(CF20)/((1+$I23)^(CF$20))</f>
        <v>0</v>
      </c>
      <c r="CG23" s="151">
        <f>'Allgemeine Unternehmensdaten'!$E$7*CG22*$D11*$D23*($L23+1)^(CG20)/((1+$I23)^(CG$20))</f>
        <v>0</v>
      </c>
      <c r="CH23" s="151">
        <f>'Allgemeine Unternehmensdaten'!$E$7*CH22*$D11*$D23*($L23+1)^(CH20)/((1+$I23)^(CH$20))</f>
        <v>0</v>
      </c>
      <c r="CI23" s="151">
        <f>'Allgemeine Unternehmensdaten'!$E$7*CI22*$D11*$D23*($L23+1)^(CI20)/((1+$I23)^(CI$20))</f>
        <v>0</v>
      </c>
      <c r="CJ23" s="151">
        <f>'Allgemeine Unternehmensdaten'!$E$7*CJ22*$D11*$D23*($L23+1)^(CJ20)/((1+$I23)^(CJ$20))</f>
        <v>0</v>
      </c>
      <c r="CK23" s="151">
        <f>'Allgemeine Unternehmensdaten'!$E$7*CK22*$D11*$D23*($L23+1)^(CK20)/((1+$I23)^(CK$20))</f>
        <v>0</v>
      </c>
      <c r="CL23" s="151">
        <f>'Allgemeine Unternehmensdaten'!$E$7*CL22*$D11*$D23*($L23+1)^(CL20)/((1+$I23)^(CL$20))</f>
        <v>0</v>
      </c>
      <c r="CM23" s="151">
        <f>'Allgemeine Unternehmensdaten'!$E$7*CM22*$D11*$D23*($L23+1)^(CM20)/((1+$I23)^(CM$20))</f>
        <v>0</v>
      </c>
      <c r="CN23" s="151">
        <f>'Allgemeine Unternehmensdaten'!$E$7*CN22*$D11*$D23*($L23+1)^(CN20)/((1+$I23)^(CN$20))</f>
        <v>0</v>
      </c>
      <c r="CO23" s="151">
        <f>'Allgemeine Unternehmensdaten'!$E$7*CO22*$D11*$D23*($L23+1)^(CO20)/((1+$I23)^(CO$20))</f>
        <v>0</v>
      </c>
      <c r="CP23" s="151">
        <f>'Allgemeine Unternehmensdaten'!$E$7*CP22*$D11*$D23*($L23+1)^(CP20)/((1+$I23)^(CP$20))</f>
        <v>0</v>
      </c>
      <c r="CQ23" s="151">
        <f>'Allgemeine Unternehmensdaten'!$E$7*CQ22*$D11*$D23*($L23+1)^(CQ20)/((1+$I23)^(CQ$20))</f>
        <v>0</v>
      </c>
      <c r="CR23" s="151">
        <f>'Allgemeine Unternehmensdaten'!$E$7*CR22*$D11*$D23*($L23+1)^(CR20)/((1+$I23)^(CR$20))</f>
        <v>0</v>
      </c>
      <c r="CS23" s="151">
        <f>'Allgemeine Unternehmensdaten'!$E$7*CS22*$D11*$D23*($L23+1)^(CS20)/((1+$I23)^(CS$20))</f>
        <v>0</v>
      </c>
      <c r="CT23" s="151">
        <f>'Allgemeine Unternehmensdaten'!$E$7*CT22*$D11*$D23*($L23+1)^(CT20)/((1+$I23)^(CT$20))</f>
        <v>0</v>
      </c>
      <c r="CU23" s="151">
        <f>'Allgemeine Unternehmensdaten'!$E$7*CU22*$D11*$D23*($L23+1)^(CU20)/((1+$I23)^(CU$20))</f>
        <v>0</v>
      </c>
      <c r="CV23" s="151">
        <f>'Allgemeine Unternehmensdaten'!$E$7*CV22*$D11*$D23*($L23+1)^(CV20)/((1+$I23)^(CV$20))</f>
        <v>0</v>
      </c>
      <c r="CW23" s="151">
        <f>'Allgemeine Unternehmensdaten'!$E$7*CW22*$D11*$D23*($L23+1)^(CW20)/((1+$I23)^(CW$20))</f>
        <v>0</v>
      </c>
      <c r="CX23" s="151">
        <f>'Allgemeine Unternehmensdaten'!$E$7*CX22*$D11*$D23*($L23+1)^(CX20)/((1+$I23)^(CX$20))</f>
        <v>0</v>
      </c>
      <c r="CY23" s="151">
        <f>'Allgemeine Unternehmensdaten'!$E$7*CY22*$D11*$D23*($L23+1)^(CY20)/((1+$I23)^(CY$20))</f>
        <v>0</v>
      </c>
      <c r="CZ23" s="151">
        <f>'Allgemeine Unternehmensdaten'!$E$7*CZ22*$D11*$D23*($L23+1)^(CZ20)/((1+$I23)^(CZ$20))</f>
        <v>0</v>
      </c>
      <c r="DA23" s="151">
        <f>'Allgemeine Unternehmensdaten'!$E$7*DA22*$D11*$D23*($L23+1)^(DA20)/((1+$I23)^(DA$20))</f>
        <v>0</v>
      </c>
      <c r="DB23" s="151">
        <f>'Allgemeine Unternehmensdaten'!$E$7*DB22*$D11*$D23*($L23+1)^(DB20)/((1+$I23)^(DB$20))</f>
        <v>0</v>
      </c>
      <c r="DC23" s="151">
        <f>'Allgemeine Unternehmensdaten'!$E$7*DC22*$D11*$D23*($L23+1)^(DC20)/((1+$I23)^(DC$20))</f>
        <v>0</v>
      </c>
      <c r="DD23" s="151">
        <f>'Allgemeine Unternehmensdaten'!$E$7*DD22*$D11*$D23*($L23+1)^(DD20)/((1+$I23)^(DD$20))</f>
        <v>0</v>
      </c>
      <c r="DE23" s="151">
        <f>'Allgemeine Unternehmensdaten'!$E$7*DE22*$D11*$D23*($L23+1)^(DE20)/((1+$I23)^(DE$20))</f>
        <v>0</v>
      </c>
      <c r="DF23" s="151">
        <f>'Allgemeine Unternehmensdaten'!$E$7*DF22*$D11*$D23*($L23+1)^(DF20)/((1+$I23)^(DF$20))</f>
        <v>0</v>
      </c>
      <c r="DG23" s="151">
        <f>'Allgemeine Unternehmensdaten'!$E$7*DG22*$D11*$D23*($L23+1)^(DG20)/((1+$I23)^(DG$20))</f>
        <v>0</v>
      </c>
      <c r="DH23" s="151">
        <f>'Allgemeine Unternehmensdaten'!$E$7*DH22*$D11*$D23*($L23+1)^(DH20)/((1+$I23)^(DH$20))</f>
        <v>0</v>
      </c>
      <c r="DI23" s="151">
        <f>'Allgemeine Unternehmensdaten'!$E$7*DI22*$D11*$D23*($L23+1)^(DI20)/((1+$I23)^(DI$20))</f>
        <v>0</v>
      </c>
      <c r="DJ23" s="151">
        <f>'Allgemeine Unternehmensdaten'!$E$7*DJ22*$D11*$D23*($L23+1)^(DJ20)/((1+$I23)^(DJ$20))</f>
        <v>0</v>
      </c>
      <c r="DK23" s="151">
        <f>'Allgemeine Unternehmensdaten'!$E$7*DK22*$D11*$D23*($L23+1)^(DK20)/((1+$I23)^(DK$20))</f>
        <v>0</v>
      </c>
      <c r="DL23" s="151">
        <f>'Allgemeine Unternehmensdaten'!$E$7*DL22*$D11*$D23*($L23+1)^(DL20)/((1+$I23)^(DL$20))</f>
        <v>0</v>
      </c>
      <c r="DM23" s="151">
        <f>'Allgemeine Unternehmensdaten'!$E$7*DM22*$D11*$D23*($L23+1)^(DM20)/((1+$I23)^(DM$20))</f>
        <v>0</v>
      </c>
      <c r="DN23" s="151">
        <f>'Allgemeine Unternehmensdaten'!$E$7*DN22*$D11*$D23*($L23+1)^(DN20)/((1+$I23)^(DN$20))</f>
        <v>0</v>
      </c>
      <c r="DO23" s="151">
        <f>'Allgemeine Unternehmensdaten'!$E$7*DO22*$D11*$D23*($L23+1)^(DO20)/((1+$I23)^(DO$20))</f>
        <v>0</v>
      </c>
      <c r="DP23" s="151">
        <f>'Allgemeine Unternehmensdaten'!$E$7*DP22*$D11*$D23*($L23+1)^(DP20)/((1+$I23)^(DP$20))</f>
        <v>0</v>
      </c>
      <c r="DQ23" s="151">
        <f>'Allgemeine Unternehmensdaten'!$E$7*DQ22*$D11*$D23*($L23+1)^(DQ20)/((1+$I23)^(DQ$20))</f>
        <v>0</v>
      </c>
      <c r="DR23" s="151">
        <f>'Allgemeine Unternehmensdaten'!$E$7*DR22*$D11*$D23*($L23+1)^(DR20)/((1+$I23)^(DR$20))</f>
        <v>0</v>
      </c>
      <c r="DS23" s="151">
        <f>'Allgemeine Unternehmensdaten'!$E$7*DS22*$D11*$D23*($L23+1)^(DS20)/((1+$I23)^(DS$20))</f>
        <v>0</v>
      </c>
      <c r="DT23" s="151">
        <f>'Allgemeine Unternehmensdaten'!$E$7*DT22*$D11*$D23*($L23+1)^(DT20)/((1+$I23)^(DT$20))</f>
        <v>0</v>
      </c>
      <c r="DU23" s="151">
        <f>'Allgemeine Unternehmensdaten'!$E$7*DU22*$D11*$D23*($L23+1)^(DU20)/((1+$I23)^(DU$20))</f>
        <v>0</v>
      </c>
      <c r="DV23" s="151">
        <f>'Allgemeine Unternehmensdaten'!$E$7*DV22*$D11*$D23*($L23+1)^(DV20)/((1+$I23)^(DV$20))</f>
        <v>0</v>
      </c>
      <c r="DW23" s="151">
        <f>'Allgemeine Unternehmensdaten'!$E$7*DW22*$D11*$D23*($L23+1)^(DW20)/((1+$I23)^(DW$20))</f>
        <v>0</v>
      </c>
      <c r="DX23" s="151">
        <f>'Allgemeine Unternehmensdaten'!$E$7*DX22*$D11*$D23*($L23+1)^(DX20)/((1+$I23)^(DX$20))</f>
        <v>0</v>
      </c>
      <c r="DZ23" s="150" t="s">
        <v>128</v>
      </c>
      <c r="EA23" s="151">
        <f>'Allgemeine Unternehmensdaten'!$G$7*EA22*$F11*$F23*($N23+1)^(EA20)/((1+$K23)^(EA$20))</f>
        <v>11700</v>
      </c>
      <c r="EB23" s="151">
        <f>'Allgemeine Unternehmensdaten'!$G$7*EB22*$F11*$F23*($N23+1)^(EB20)/((1+$K23)^(EB$20))</f>
        <v>11934</v>
      </c>
      <c r="EC23" s="151">
        <f>'Allgemeine Unternehmensdaten'!$G$7*EC22*$F11*$F23*($N23+1)^(EC20)/((1+$K23)^(EC$20))</f>
        <v>12172.68</v>
      </c>
      <c r="ED23" s="151">
        <f>'Allgemeine Unternehmensdaten'!$G$7*ED22*$F11*$F23*($N23+1)^(ED20)/((1+$K23)^(ED$20))</f>
        <v>12416.133599999999</v>
      </c>
      <c r="EE23" s="151">
        <f>'Allgemeine Unternehmensdaten'!$G$7*EE22*$F11*$F23*($N23+1)^(EE20)/((1+$K23)^(EE$20))</f>
        <v>12664.456271999999</v>
      </c>
      <c r="EF23" s="151">
        <f>'Allgemeine Unternehmensdaten'!$G$7*EF22*$F11*$F23*($N23+1)^(EF20)/((1+$K23)^(EF$20))</f>
        <v>12917.74539744</v>
      </c>
      <c r="EG23" s="151">
        <f>'Allgemeine Unternehmensdaten'!$G$7*EG22*$F11*$F23*($N23+1)^(EG20)/((1+$K23)^(EG$20))</f>
        <v>13176.100305388802</v>
      </c>
      <c r="EH23" s="151">
        <f>'Allgemeine Unternehmensdaten'!$G$7*EH22*$F11*$F23*($N23+1)^(EH20)/((1+$K23)^(EH$20))</f>
        <v>13439.622311496574</v>
      </c>
      <c r="EI23" s="151">
        <f>'Allgemeine Unternehmensdaten'!$G$7*EI22*$F11*$F23*($N23+1)^(EI20)/((1+$K23)^(EI$20))</f>
        <v>13708.414757726507</v>
      </c>
      <c r="EJ23" s="151">
        <f>'Allgemeine Unternehmensdaten'!$G$7*EJ22*$F11*$F23*($N23+1)^(EJ20)/((1+$K23)^(EJ$20))</f>
        <v>13982.583052881037</v>
      </c>
      <c r="EK23" s="151">
        <f>'Allgemeine Unternehmensdaten'!$G$7*EK22*$F11*$F23*($N23+1)^(EK20)/((1+$K23)^(EK$20))</f>
        <v>14262.234713938658</v>
      </c>
      <c r="EL23" s="151">
        <f>'Allgemeine Unternehmensdaten'!$G$7*EL22*$F11*$F23*($N23+1)^(EL20)/((1+$K23)^(EL$20))</f>
        <v>14547.479408217428</v>
      </c>
      <c r="EM23" s="151">
        <f>'Allgemeine Unternehmensdaten'!$G$7*EM22*$F11*$F23*($N23+1)^(EM20)/((1+$K23)^(EM$20))</f>
        <v>0</v>
      </c>
      <c r="EN23" s="151">
        <f>'Allgemeine Unternehmensdaten'!$G$7*EN22*$F11*$F23*($N23+1)^(EN20)/((1+$K23)^(EN$20))</f>
        <v>0</v>
      </c>
      <c r="EO23" s="151">
        <f>'Allgemeine Unternehmensdaten'!$G$7*EO22*$F11*$F23*($N23+1)^(EO20)/((1+$K23)^(EO$20))</f>
        <v>0</v>
      </c>
      <c r="EP23" s="151">
        <f>'Allgemeine Unternehmensdaten'!$G$7*EP22*$F11*$F23*($N23+1)^(EP20)/((1+$K23)^(EP$20))</f>
        <v>0</v>
      </c>
      <c r="EQ23" s="151">
        <f>'Allgemeine Unternehmensdaten'!$G$7*EQ22*$F11*$F23*($N23+1)^(EQ20)/((1+$K23)^(EQ$20))</f>
        <v>0</v>
      </c>
      <c r="ER23" s="151">
        <f>'Allgemeine Unternehmensdaten'!$G$7*ER22*$F11*$F23*($N23+1)^(ER20)/((1+$K23)^(ER$20))</f>
        <v>0</v>
      </c>
      <c r="ES23" s="151">
        <f>'Allgemeine Unternehmensdaten'!$G$7*ES22*$F11*$F23*($N23+1)^(ES20)/((1+$K23)^(ES$20))</f>
        <v>0</v>
      </c>
      <c r="ET23" s="151">
        <f>'Allgemeine Unternehmensdaten'!$G$7*ET22*$F11*$F23*($N23+1)^(ET20)/((1+$K23)^(ET$20))</f>
        <v>0</v>
      </c>
      <c r="EU23" s="151">
        <f>'Allgemeine Unternehmensdaten'!$G$7*EU22*$F11*$F23*($N23+1)^(EU20)/((1+$K23)^(EU$20))</f>
        <v>0</v>
      </c>
      <c r="EV23" s="151">
        <f>'Allgemeine Unternehmensdaten'!$G$7*EV22*$F11*$F23*($N23+1)^(EV20)/((1+$K23)^(EV$20))</f>
        <v>0</v>
      </c>
      <c r="EW23" s="151">
        <f>'Allgemeine Unternehmensdaten'!$G$7*EW22*$F11*$F23*($N23+1)^(EW20)/((1+$K23)^(EW$20))</f>
        <v>0</v>
      </c>
      <c r="EX23" s="151">
        <f>'Allgemeine Unternehmensdaten'!$G$7*EX22*$F11*$F23*($N23+1)^(EX20)/((1+$K23)^(EX$20))</f>
        <v>0</v>
      </c>
      <c r="EY23" s="151">
        <f>'Allgemeine Unternehmensdaten'!$G$7*EY22*$F11*$F23*($N23+1)^(EY20)/((1+$K23)^(EY$20))</f>
        <v>0</v>
      </c>
      <c r="EZ23" s="151">
        <f>'Allgemeine Unternehmensdaten'!$G$7*EZ22*$F11*$F23*($N23+1)^(EZ20)/((1+$K23)^(EZ$20))</f>
        <v>0</v>
      </c>
      <c r="FA23" s="151">
        <f>'Allgemeine Unternehmensdaten'!$G$7*FA22*$F11*$F23*($N23+1)^(FA20)/((1+$K23)^(FA$20))</f>
        <v>0</v>
      </c>
      <c r="FB23" s="151">
        <f>'Allgemeine Unternehmensdaten'!$G$7*FB22*$F11*$F23*($N23+1)^(FB20)/((1+$K23)^(FB$20))</f>
        <v>0</v>
      </c>
      <c r="FC23" s="151">
        <f>'Allgemeine Unternehmensdaten'!$G$7*FC22*$F11*$F23*($N23+1)^(FC20)/((1+$K23)^(FC$20))</f>
        <v>0</v>
      </c>
      <c r="FD23" s="151">
        <f>'Allgemeine Unternehmensdaten'!$G$7*FD22*$F11*$F23*($N23+1)^(FD20)/((1+$K23)^(FD$20))</f>
        <v>0</v>
      </c>
      <c r="FE23" s="151">
        <f>'Allgemeine Unternehmensdaten'!$G$7*FE22*$F11*$F23*($N23+1)^(FE20)/((1+$K23)^(FE$20))</f>
        <v>0</v>
      </c>
      <c r="FF23" s="151">
        <f>'Allgemeine Unternehmensdaten'!$G$7*FF22*$F11*$F23*($N23+1)^(FF20)/((1+$K23)^(FF$20))</f>
        <v>0</v>
      </c>
      <c r="FG23" s="151">
        <f>'Allgemeine Unternehmensdaten'!$G$7*FG22*$F11*$F23*($N23+1)^(FG20)/((1+$K23)^(FG$20))</f>
        <v>0</v>
      </c>
      <c r="FH23" s="151">
        <f>'Allgemeine Unternehmensdaten'!$G$7*FH22*$F11*$F23*($N23+1)^(FH20)/((1+$K23)^(FH$20))</f>
        <v>0</v>
      </c>
      <c r="FI23" s="151">
        <f>'Allgemeine Unternehmensdaten'!$G$7*FI22*$F11*$F23*($N23+1)^(FI20)/((1+$K23)^(FI$20))</f>
        <v>0</v>
      </c>
      <c r="FJ23" s="151">
        <f>'Allgemeine Unternehmensdaten'!$G$7*FJ22*$F11*$F23*($N23+1)^(FJ20)/((1+$K23)^(FJ$20))</f>
        <v>0</v>
      </c>
      <c r="FK23" s="151">
        <f>'Allgemeine Unternehmensdaten'!$G$7*FK22*$F11*$F23*($N23+1)^(FK20)/((1+$K23)^(FK$20))</f>
        <v>0</v>
      </c>
      <c r="FL23" s="151">
        <f>'Allgemeine Unternehmensdaten'!$G$7*FL22*$F11*$F23*($N23+1)^(FL20)/((1+$K23)^(FL$20))</f>
        <v>0</v>
      </c>
      <c r="FM23" s="151">
        <f>'Allgemeine Unternehmensdaten'!$G$7*FM22*$F11*$F23*($N23+1)^(FM20)/((1+$K23)^(FM$20))</f>
        <v>0</v>
      </c>
      <c r="FN23" s="151">
        <f>'Allgemeine Unternehmensdaten'!$G$7*FN22*$F11*$F23*($N23+1)^(FN20)/((1+$K23)^(FN$20))</f>
        <v>0</v>
      </c>
      <c r="FO23" s="151">
        <f>'Allgemeine Unternehmensdaten'!$G$7*FO22*$F11*$F23*($N23+1)^(FO20)/((1+$K23)^(FO$20))</f>
        <v>0</v>
      </c>
      <c r="FP23" s="151">
        <f>'Allgemeine Unternehmensdaten'!$G$7*FP22*$F11*$F23*($N23+1)^(FP20)/((1+$K23)^(FP$20))</f>
        <v>0</v>
      </c>
      <c r="FQ23" s="151">
        <f>'Allgemeine Unternehmensdaten'!$G$7*FQ22*$F11*$F23*($N23+1)^(FQ20)/((1+$K23)^(FQ$20))</f>
        <v>0</v>
      </c>
      <c r="FR23" s="151">
        <f>'Allgemeine Unternehmensdaten'!$G$7*FR22*$F11*$F23*($N23+1)^(FR20)/((1+$K23)^(FR$20))</f>
        <v>0</v>
      </c>
      <c r="FS23" s="151">
        <f>'Allgemeine Unternehmensdaten'!$G$7*FS22*$F11*$F23*($N23+1)^(FS20)/((1+$K23)^(FS$20))</f>
        <v>0</v>
      </c>
      <c r="FT23" s="151">
        <f>'Allgemeine Unternehmensdaten'!$G$7*FT22*$F11*$F23*($N23+1)^(FT20)/((1+$K23)^(FT$20))</f>
        <v>0</v>
      </c>
      <c r="FU23" s="151">
        <f>'Allgemeine Unternehmensdaten'!$G$7*FU22*$F11*$F23*($N23+1)^(FU20)/((1+$K23)^(FU$20))</f>
        <v>0</v>
      </c>
      <c r="FV23" s="151">
        <f>'Allgemeine Unternehmensdaten'!$G$7*FV22*$F11*$F23*($N23+1)^(FV20)/((1+$K23)^(FV$20))</f>
        <v>0</v>
      </c>
      <c r="FW23" s="151">
        <f>'Allgemeine Unternehmensdaten'!$G$7*FW22*$F11*$F23*($N23+1)^(FW20)/((1+$K23)^(FW$20))</f>
        <v>0</v>
      </c>
      <c r="FX23" s="151">
        <f>'Allgemeine Unternehmensdaten'!$G$7*FX22*$F11*$F23*($N23+1)^(FX20)/((1+$K23)^(FX$20))</f>
        <v>0</v>
      </c>
      <c r="FY23" s="151">
        <f>'Allgemeine Unternehmensdaten'!$G$7*FY22*$F11*$F23*($N23+1)^(FY20)/((1+$K23)^(FY$20))</f>
        <v>0</v>
      </c>
      <c r="FZ23" s="151">
        <f>'Allgemeine Unternehmensdaten'!$G$7*FZ22*$F11*$F23*($N23+1)^(FZ20)/((1+$K23)^(FZ$20))</f>
        <v>0</v>
      </c>
      <c r="GA23" s="151">
        <f>'Allgemeine Unternehmensdaten'!$G$7*GA22*$F11*$F23*($N23+1)^(GA20)/((1+$K23)^(GA$20))</f>
        <v>0</v>
      </c>
      <c r="GB23" s="151">
        <f>'Allgemeine Unternehmensdaten'!$G$7*GB22*$F11*$F23*($N23+1)^(GB20)/((1+$K23)^(GB$20))</f>
        <v>0</v>
      </c>
    </row>
    <row r="24" spans="1:184" ht="17.25" customHeight="1" x14ac:dyDescent="0.5">
      <c r="A24" s="88"/>
      <c r="B24" s="322"/>
      <c r="C24" s="101" t="s">
        <v>129</v>
      </c>
      <c r="D24" s="152"/>
      <c r="E24" s="152"/>
      <c r="F24" s="153"/>
      <c r="G24" s="1">
        <v>99</v>
      </c>
      <c r="H24" s="143">
        <v>99</v>
      </c>
      <c r="I24" s="154">
        <v>0</v>
      </c>
      <c r="J24" s="155">
        <v>0</v>
      </c>
      <c r="K24" s="156">
        <v>0</v>
      </c>
      <c r="L24" s="147">
        <f>'Allgemeine Unternehmensdaten'!E8</f>
        <v>0.04</v>
      </c>
      <c r="M24" s="147">
        <f>'Allgemeine Unternehmensdaten'!F8</f>
        <v>0.03</v>
      </c>
      <c r="N24" s="157">
        <f>'Allgemeine Unternehmensdaten'!G8</f>
        <v>0.02</v>
      </c>
      <c r="R24" s="158" t="str">
        <f>$C$24</f>
        <v>Eigennutzung Strom in kWh/Jahr</v>
      </c>
      <c r="S24" s="151">
        <f>S$22*$E24*'Allgemeine Unternehmensdaten'!$F$37*(1+$M24)^(S$20)/((1+$J24)^(S$20))</f>
        <v>0</v>
      </c>
      <c r="T24" s="151">
        <f>T$22*$E24*'Allgemeine Unternehmensdaten'!$F$37*(1+$M24)^(T$20)/((1+$J24)^(T$20))</f>
        <v>0</v>
      </c>
      <c r="U24" s="151">
        <f>U$22*$E24*'Allgemeine Unternehmensdaten'!$F$37*(1+$M24)^(U$20)/((1+$J24)^(U$20))</f>
        <v>0</v>
      </c>
      <c r="V24" s="151">
        <f>V$22*$E24*'Allgemeine Unternehmensdaten'!$F$37*(1+$M24)^(V$20)/((1+$J24)^(V$20))</f>
        <v>0</v>
      </c>
      <c r="W24" s="151">
        <f>W$22*$E24*'Allgemeine Unternehmensdaten'!$F$37*(1+$M24)^(W$20)/((1+$J24)^(W$20))</f>
        <v>0</v>
      </c>
      <c r="X24" s="151">
        <f>X$22*$E24*'Allgemeine Unternehmensdaten'!$F$37*(1+$M24)^(X$20)/((1+$J24)^(X$20))</f>
        <v>0</v>
      </c>
      <c r="Y24" s="151">
        <f>Y$22*$E24*'Allgemeine Unternehmensdaten'!$F$37*(1+$M24)^(Y$20)/((1+$J24)^(Y$20))</f>
        <v>0</v>
      </c>
      <c r="Z24" s="151">
        <f>Z$22*$E24*'Allgemeine Unternehmensdaten'!$F$37*(1+$M24)^(Z$20)/((1+$J24)^(Z$20))</f>
        <v>0</v>
      </c>
      <c r="AA24" s="151">
        <f>AA$22*$E24*'Allgemeine Unternehmensdaten'!$F$37*(1+$M24)^(AA$20)/((1+$J24)^(AA$20))</f>
        <v>0</v>
      </c>
      <c r="AB24" s="151">
        <f>AB$22*$E24*'Allgemeine Unternehmensdaten'!$F$37*(1+$M24)^(AB$20)/((1+$J24)^(AB$20))</f>
        <v>0</v>
      </c>
      <c r="AC24" s="151">
        <f>AC$22*$E24*'Allgemeine Unternehmensdaten'!$F$37*(1+$M24)^(AC$20)/((1+$J24)^(AC$20))</f>
        <v>0</v>
      </c>
      <c r="AD24" s="151">
        <f>AD$22*$E24*'Allgemeine Unternehmensdaten'!$F$37*(1+$M24)^(AD$20)/((1+$J24)^(AD$20))</f>
        <v>0</v>
      </c>
      <c r="AE24" s="151">
        <f>AE$22*$E24*'Allgemeine Unternehmensdaten'!$F$37*(1+$M24)^(AE$20)/((1+$J24)^(AE$20))</f>
        <v>0</v>
      </c>
      <c r="AF24" s="151">
        <f>AF$22*$E24*'Allgemeine Unternehmensdaten'!$F$37*(1+$M24)^(AF$20)/((1+$J24)^(AF$20))</f>
        <v>0</v>
      </c>
      <c r="AG24" s="151">
        <f>AG$22*$E24*'Allgemeine Unternehmensdaten'!$F$37*(1+$M24)^(AG$20)/((1+$J24)^(AG$20))</f>
        <v>0</v>
      </c>
      <c r="AH24" s="151">
        <f>AH$22*$E24*'Allgemeine Unternehmensdaten'!$F$37*(1+$M24)^(AH$20)/((1+$J24)^(AH$20))</f>
        <v>0</v>
      </c>
      <c r="AI24" s="151">
        <f>AI$22*$E24*'Allgemeine Unternehmensdaten'!$F$37*(1+$M24)^(AI$20)/((1+$J24)^(AI$20))</f>
        <v>0</v>
      </c>
      <c r="AJ24" s="151">
        <f>AJ$22*$E24*'Allgemeine Unternehmensdaten'!$F$37*(1+$M24)^(AJ$20)/((1+$J24)^(AJ$20))</f>
        <v>0</v>
      </c>
      <c r="AK24" s="151">
        <f>AK$22*$E24*'Allgemeine Unternehmensdaten'!$F$37*(1+$M24)^(AK$20)/((1+$J24)^(AK$20))</f>
        <v>0</v>
      </c>
      <c r="AL24" s="151">
        <f>AL$22*$E24*'Allgemeine Unternehmensdaten'!$F$37*(1+$M24)^(AL$20)/((1+$J24)^(AL$20))</f>
        <v>0</v>
      </c>
      <c r="AM24" s="151">
        <f>AM$22*$E24*'Allgemeine Unternehmensdaten'!$F$37*(1+$M24)^(AM$20)/((1+$J24)^(AM$20))</f>
        <v>0</v>
      </c>
      <c r="AN24" s="151">
        <f>AN$22*$E24*'Allgemeine Unternehmensdaten'!$F$37*(1+$M24)^(AN$20)/((1+$J24)^(AN$20))</f>
        <v>0</v>
      </c>
      <c r="AO24" s="151">
        <f>AO$22*$E24*'Allgemeine Unternehmensdaten'!$F$37*(1+$M24)^(AO$20)/((1+$J24)^(AO$20))</f>
        <v>0</v>
      </c>
      <c r="AP24" s="151">
        <f>AP$22*$E24*'Allgemeine Unternehmensdaten'!$F$37*(1+$M24)^(AP$20)/((1+$J24)^(AP$20))</f>
        <v>0</v>
      </c>
      <c r="AQ24" s="151">
        <f>AQ$22*$E24*'Allgemeine Unternehmensdaten'!$F$37*(1+$M24)^(AQ$20)/((1+$J24)^(AQ$20))</f>
        <v>0</v>
      </c>
      <c r="AR24" s="151">
        <f>AR$22*$E24*'Allgemeine Unternehmensdaten'!$F$37*(1+$M24)^(AR$20)/((1+$J24)^(AR$20))</f>
        <v>0</v>
      </c>
      <c r="AS24" s="151">
        <f>AS$22*$E24*'Allgemeine Unternehmensdaten'!$F$37*(1+$M24)^(AS$20)/((1+$J24)^(AS$20))</f>
        <v>0</v>
      </c>
      <c r="AT24" s="151">
        <f>AT$22*$E24*'Allgemeine Unternehmensdaten'!$F$37*(1+$M24)^(AT$20)/((1+$J24)^(AT$20))</f>
        <v>0</v>
      </c>
      <c r="AU24" s="151">
        <f>AU$22*$E24*'Allgemeine Unternehmensdaten'!$F$37*(1+$M24)^(AU$20)/((1+$J24)^(AU$20))</f>
        <v>0</v>
      </c>
      <c r="AV24" s="151">
        <f>AV$22*$E24*'Allgemeine Unternehmensdaten'!$F$37*(1+$M24)^(AV$20)/((1+$J24)^(AV$20))</f>
        <v>0</v>
      </c>
      <c r="AW24" s="151">
        <f>AW$22*$E24*'Allgemeine Unternehmensdaten'!$F$37*(1+$M24)^(AW$20)/((1+$J24)^(AW$20))</f>
        <v>0</v>
      </c>
      <c r="AX24" s="151">
        <f>AX$22*$E24*'Allgemeine Unternehmensdaten'!$F$37*(1+$M24)^(AX$20)/((1+$J24)^(AX$20))</f>
        <v>0</v>
      </c>
      <c r="AY24" s="151">
        <f>AY$22*$E24*'Allgemeine Unternehmensdaten'!$F$37*(1+$M24)^(AY$20)/((1+$J24)^(AY$20))</f>
        <v>0</v>
      </c>
      <c r="AZ24" s="151">
        <f>AZ$22*$E24*'Allgemeine Unternehmensdaten'!$F$37*(1+$M24)^(AZ$20)/((1+$J24)^(AZ$20))</f>
        <v>0</v>
      </c>
      <c r="BA24" s="151">
        <f>BA$22*$E24*'Allgemeine Unternehmensdaten'!$F$37*(1+$M24)^(BA$20)/((1+$J24)^(BA$20))</f>
        <v>0</v>
      </c>
      <c r="BB24" s="151">
        <f>BB$22*$E24*'Allgemeine Unternehmensdaten'!$F$37*(1+$M24)^(BB$20)/((1+$J24)^(BB$20))</f>
        <v>0</v>
      </c>
      <c r="BC24" s="151">
        <f>BC$22*$E24*'Allgemeine Unternehmensdaten'!$F$37*(1+$M24)^(BC$20)/((1+$J24)^(BC$20))</f>
        <v>0</v>
      </c>
      <c r="BD24" s="151">
        <f>BD$22*$E24*'Allgemeine Unternehmensdaten'!$F$37*(1+$M24)^(BD$20)/((1+$J24)^(BD$20))</f>
        <v>0</v>
      </c>
      <c r="BE24" s="151">
        <f>BE$22*$E24*'Allgemeine Unternehmensdaten'!$F$37*(1+$M24)^(BE$20)/((1+$J24)^(BE$20))</f>
        <v>0</v>
      </c>
      <c r="BF24" s="151">
        <f>BF$22*$E24*'Allgemeine Unternehmensdaten'!$F$37*(1+$M24)^(BF$20)/((1+$J24)^(BF$20))</f>
        <v>0</v>
      </c>
      <c r="BG24" s="151">
        <f>BG$22*$E24*'Allgemeine Unternehmensdaten'!$F$37*(1+$M24)^(BG$20)/((1+$J24)^(BG$20))</f>
        <v>0</v>
      </c>
      <c r="BH24" s="151">
        <f>BH$22*$E24*'Allgemeine Unternehmensdaten'!$F$37*(1+$M24)^(BH$20)/((1+$J24)^(BH$20))</f>
        <v>0</v>
      </c>
      <c r="BI24" s="151">
        <f>BI$22*$E24*'Allgemeine Unternehmensdaten'!$F$37*(1+$M24)^(BI$20)/((1+$J24)^(BI$20))</f>
        <v>0</v>
      </c>
      <c r="BJ24" s="151">
        <f>BJ$22*$E24*'Allgemeine Unternehmensdaten'!$F$37*(1+$M24)^(BJ$20)/((1+$J24)^(BJ$20))</f>
        <v>0</v>
      </c>
      <c r="BK24" s="151">
        <f>BK$22*$E24*'Allgemeine Unternehmensdaten'!$F$37*(1+$M24)^(BK$20)/((1+$J24)^(BK$20))</f>
        <v>0</v>
      </c>
      <c r="BL24" s="151">
        <f>BL$22*$E24*'Allgemeine Unternehmensdaten'!$F$37*(1+$M24)^(BL$20)/((1+$J24)^(BL$20))</f>
        <v>0</v>
      </c>
      <c r="BM24" s="151">
        <f>BM$22*$E24*'Allgemeine Unternehmensdaten'!$F$37*(1+$M24)^(BM$20)/((1+$J24)^(BM$20))</f>
        <v>0</v>
      </c>
      <c r="BN24" s="151">
        <f>BN$22*$E24*'Allgemeine Unternehmensdaten'!$F$37*(1+$M24)^(BN$20)/((1+$J24)^(BN$20))</f>
        <v>0</v>
      </c>
      <c r="BO24" s="151">
        <f>BO$22*$E24*'Allgemeine Unternehmensdaten'!$F$37*(1+$M24)^(BO$20)/((1+$J24)^(BO$20))</f>
        <v>0</v>
      </c>
      <c r="BP24" s="151">
        <f>BP$22*$E24*'Allgemeine Unternehmensdaten'!$F$37*(1+$M24)^(BP$20)/((1+$J24)^(BP$20))</f>
        <v>0</v>
      </c>
      <c r="BQ24" s="151">
        <f>BQ$22*$E24*'Allgemeine Unternehmensdaten'!$F$37*(1+$M24)^(BQ$20)/((1+$J24)^(BQ$20))</f>
        <v>0</v>
      </c>
      <c r="BR24" s="151">
        <f>BR$22*$E24*'Allgemeine Unternehmensdaten'!$F$37*(1+$M24)^(BR$20)/((1+$J24)^(BR$20))</f>
        <v>0</v>
      </c>
      <c r="BS24" s="151">
        <f>BS$22*$E24*'Allgemeine Unternehmensdaten'!$F$37*(1+$M24)^(BS$20)/((1+$J24)^(BS$20))</f>
        <v>0</v>
      </c>
      <c r="BT24" s="151">
        <f>BT$22*$E24*'Allgemeine Unternehmensdaten'!$F$37*(1+$M24)^(BT$20)/((1+$J24)^(BT$20))</f>
        <v>0</v>
      </c>
      <c r="BV24" s="158" t="str">
        <f>$C$24</f>
        <v>Eigennutzung Strom in kWh/Jahr</v>
      </c>
      <c r="BW24" s="151">
        <f>BW$22*$D24*'Allgemeine Unternehmensdaten'!$E$37*(1+$L24)^(BW$20)/((1+$I24)^(BW$20))</f>
        <v>0</v>
      </c>
      <c r="BX24" s="151">
        <f>BX$22*$D24*'Allgemeine Unternehmensdaten'!$E$37*(1+$L24)^(BX$20)/((1+$I24)^(BX$20))</f>
        <v>0</v>
      </c>
      <c r="BY24" s="151">
        <f>BY$22*$D24*'Allgemeine Unternehmensdaten'!$E$37*(1+$L24)^(BY$20)/((1+$I24)^(BY$20))</f>
        <v>0</v>
      </c>
      <c r="BZ24" s="151">
        <f>BZ$22*$D24*'Allgemeine Unternehmensdaten'!$E$37*(1+$L24)^(BZ$20)/((1+$I24)^(BZ$20))</f>
        <v>0</v>
      </c>
      <c r="CA24" s="151">
        <f>CA$22*$D24*'Allgemeine Unternehmensdaten'!$E$37*(1+$L24)^(CA$20)/((1+$I24)^(CA$20))</f>
        <v>0</v>
      </c>
      <c r="CB24" s="151">
        <f>CB$22*$D24*'Allgemeine Unternehmensdaten'!$E$37*(1+$L24)^(CB$20)/((1+$I24)^(CB$20))</f>
        <v>0</v>
      </c>
      <c r="CC24" s="151">
        <f>CC$22*$D24*'Allgemeine Unternehmensdaten'!$E$37*(1+$L24)^(CC$20)/((1+$I24)^(CC$20))</f>
        <v>0</v>
      </c>
      <c r="CD24" s="151">
        <f>CD$22*$D24*'Allgemeine Unternehmensdaten'!$E$37*(1+$L24)^(CD$20)/((1+$I24)^(CD$20))</f>
        <v>0</v>
      </c>
      <c r="CE24" s="151">
        <f>CE$22*$D24*'Allgemeine Unternehmensdaten'!$E$37*(1+$L24)^(CE$20)/((1+$I24)^(CE$20))</f>
        <v>0</v>
      </c>
      <c r="CF24" s="151">
        <f>CF$22*$D24*'Allgemeine Unternehmensdaten'!$E$37*(1+$L24)^(CF$20)/((1+$I24)^(CF$20))</f>
        <v>0</v>
      </c>
      <c r="CG24" s="151">
        <f>CG$22*$D24*'Allgemeine Unternehmensdaten'!$E$37*(1+$L24)^(CG$20)/((1+$I24)^(CG$20))</f>
        <v>0</v>
      </c>
      <c r="CH24" s="151">
        <f>CH$22*$D24*'Allgemeine Unternehmensdaten'!$E$37*(1+$L24)^(CH$20)/((1+$I24)^(CH$20))</f>
        <v>0</v>
      </c>
      <c r="CI24" s="151">
        <f>CI$22*$D24*'Allgemeine Unternehmensdaten'!$E$37*(1+$L24)^(CI$20)/((1+$I24)^(CI$20))</f>
        <v>0</v>
      </c>
      <c r="CJ24" s="151">
        <f>CJ$22*$D24*'Allgemeine Unternehmensdaten'!$E$37*(1+$L24)^(CJ$20)/((1+$I24)^(CJ$20))</f>
        <v>0</v>
      </c>
      <c r="CK24" s="151">
        <f>CK$22*$D24*'Allgemeine Unternehmensdaten'!$E$37*(1+$L24)^(CK$20)/((1+$I24)^(CK$20))</f>
        <v>0</v>
      </c>
      <c r="CL24" s="151">
        <f>CL$22*$D24*'Allgemeine Unternehmensdaten'!$E$37*(1+$L24)^(CL$20)/((1+$I24)^(CL$20))</f>
        <v>0</v>
      </c>
      <c r="CM24" s="151">
        <f>CM$22*$D24*'Allgemeine Unternehmensdaten'!$E$37*(1+$L24)^(CM$20)/((1+$I24)^(CM$20))</f>
        <v>0</v>
      </c>
      <c r="CN24" s="151">
        <f>CN$22*$D24*'Allgemeine Unternehmensdaten'!$E$37*(1+$L24)^(CN$20)/((1+$I24)^(CN$20))</f>
        <v>0</v>
      </c>
      <c r="CO24" s="151">
        <f>CO$22*$D24*'Allgemeine Unternehmensdaten'!$E$37*(1+$L24)^(CO$20)/((1+$I24)^(CO$20))</f>
        <v>0</v>
      </c>
      <c r="CP24" s="151">
        <f>CP$22*$D24*'Allgemeine Unternehmensdaten'!$E$37*(1+$L24)^(CP$20)/((1+$I24)^(CP$20))</f>
        <v>0</v>
      </c>
      <c r="CQ24" s="151">
        <f>CQ$22*$D24*'Allgemeine Unternehmensdaten'!$E$37*(1+$L24)^(CQ$20)/((1+$I24)^(CQ$20))</f>
        <v>0</v>
      </c>
      <c r="CR24" s="151">
        <f>CR$22*$D24*'Allgemeine Unternehmensdaten'!$E$37*(1+$L24)^(CR$20)/((1+$I24)^(CR$20))</f>
        <v>0</v>
      </c>
      <c r="CS24" s="151">
        <f>CS$22*$D24*'Allgemeine Unternehmensdaten'!$E$37*(1+$L24)^(CS$20)/((1+$I24)^(CS$20))</f>
        <v>0</v>
      </c>
      <c r="CT24" s="151">
        <f>CT$22*$D24*'Allgemeine Unternehmensdaten'!$E$37*(1+$L24)^(CT$20)/((1+$I24)^(CT$20))</f>
        <v>0</v>
      </c>
      <c r="CU24" s="151">
        <f>CU$22*$D24*'Allgemeine Unternehmensdaten'!$E$37*(1+$L24)^(CU$20)/((1+$I24)^(CU$20))</f>
        <v>0</v>
      </c>
      <c r="CV24" s="151">
        <f>CV$22*$D24*'Allgemeine Unternehmensdaten'!$E$37*(1+$L24)^(CV$20)/((1+$I24)^(CV$20))</f>
        <v>0</v>
      </c>
      <c r="CW24" s="151">
        <f>CW$22*$D24*'Allgemeine Unternehmensdaten'!$E$37*(1+$L24)^(CW$20)/((1+$I24)^(CW$20))</f>
        <v>0</v>
      </c>
      <c r="CX24" s="151">
        <f>CX$22*$D24*'Allgemeine Unternehmensdaten'!$E$37*(1+$L24)^(CX$20)/((1+$I24)^(CX$20))</f>
        <v>0</v>
      </c>
      <c r="CY24" s="151">
        <f>CY$22*$D24*'Allgemeine Unternehmensdaten'!$E$37*(1+$L24)^(CY$20)/((1+$I24)^(CY$20))</f>
        <v>0</v>
      </c>
      <c r="CZ24" s="151">
        <f>CZ$22*$D24*'Allgemeine Unternehmensdaten'!$E$37*(1+$L24)^(CZ$20)/((1+$I24)^(CZ$20))</f>
        <v>0</v>
      </c>
      <c r="DA24" s="151">
        <f>DA$22*$D24*'Allgemeine Unternehmensdaten'!$E$37*(1+$L24)^(DA$20)/((1+$I24)^(DA$20))</f>
        <v>0</v>
      </c>
      <c r="DB24" s="151">
        <f>DB$22*$D24*'Allgemeine Unternehmensdaten'!$E$37*(1+$L24)^(DB$20)/((1+$I24)^(DB$20))</f>
        <v>0</v>
      </c>
      <c r="DC24" s="151">
        <f>DC$22*$D24*'Allgemeine Unternehmensdaten'!$E$37*(1+$L24)^(DC$20)/((1+$I24)^(DC$20))</f>
        <v>0</v>
      </c>
      <c r="DD24" s="151">
        <f>DD$22*$D24*'Allgemeine Unternehmensdaten'!$E$37*(1+$L24)^(DD$20)/((1+$I24)^(DD$20))</f>
        <v>0</v>
      </c>
      <c r="DE24" s="151">
        <f>DE$22*$D24*'Allgemeine Unternehmensdaten'!$E$37*(1+$L24)^(DE$20)/((1+$I24)^(DE$20))</f>
        <v>0</v>
      </c>
      <c r="DF24" s="151">
        <f>DF$22*$D24*'Allgemeine Unternehmensdaten'!$E$37*(1+$L24)^(DF$20)/((1+$I24)^(DF$20))</f>
        <v>0</v>
      </c>
      <c r="DG24" s="151">
        <f>DG$22*$D24*'Allgemeine Unternehmensdaten'!$E$37*(1+$L24)^(DG$20)/((1+$I24)^(DG$20))</f>
        <v>0</v>
      </c>
      <c r="DH24" s="151">
        <f>DH$22*$D24*'Allgemeine Unternehmensdaten'!$E$37*(1+$L24)^(DH$20)/((1+$I24)^(DH$20))</f>
        <v>0</v>
      </c>
      <c r="DI24" s="151">
        <f>DI$22*$D24*'Allgemeine Unternehmensdaten'!$E$37*(1+$L24)^(DI$20)/((1+$I24)^(DI$20))</f>
        <v>0</v>
      </c>
      <c r="DJ24" s="151">
        <f>DJ$22*$D24*'Allgemeine Unternehmensdaten'!$E$37*(1+$L24)^(DJ$20)/((1+$I24)^(DJ$20))</f>
        <v>0</v>
      </c>
      <c r="DK24" s="151">
        <f>DK$22*$D24*'Allgemeine Unternehmensdaten'!$E$37*(1+$L24)^(DK$20)/((1+$I24)^(DK$20))</f>
        <v>0</v>
      </c>
      <c r="DL24" s="151">
        <f>DL$22*$D24*'Allgemeine Unternehmensdaten'!$E$37*(1+$L24)^(DL$20)/((1+$I24)^(DL$20))</f>
        <v>0</v>
      </c>
      <c r="DM24" s="151">
        <f>DM$22*$D24*'Allgemeine Unternehmensdaten'!$E$37*(1+$L24)^(DM$20)/((1+$I24)^(DM$20))</f>
        <v>0</v>
      </c>
      <c r="DN24" s="151">
        <f>DN$22*$D24*'Allgemeine Unternehmensdaten'!$E$37*(1+$L24)^(DN$20)/((1+$I24)^(DN$20))</f>
        <v>0</v>
      </c>
      <c r="DO24" s="151">
        <f>DO$22*$D24*'Allgemeine Unternehmensdaten'!$E$37*(1+$L24)^(DO$20)/((1+$I24)^(DO$20))</f>
        <v>0</v>
      </c>
      <c r="DP24" s="151">
        <f>DP$22*$D24*'Allgemeine Unternehmensdaten'!$E$37*(1+$L24)^(DP$20)/((1+$I24)^(DP$20))</f>
        <v>0</v>
      </c>
      <c r="DQ24" s="151">
        <f>DQ$22*$D24*'Allgemeine Unternehmensdaten'!$E$37*(1+$L24)^(DQ$20)/((1+$I24)^(DQ$20))</f>
        <v>0</v>
      </c>
      <c r="DR24" s="151">
        <f>DR$22*$D24*'Allgemeine Unternehmensdaten'!$E$37*(1+$L24)^(DR$20)/((1+$I24)^(DR$20))</f>
        <v>0</v>
      </c>
      <c r="DS24" s="151">
        <f>DS$22*$D24*'Allgemeine Unternehmensdaten'!$E$37*(1+$L24)^(DS$20)/((1+$I24)^(DS$20))</f>
        <v>0</v>
      </c>
      <c r="DT24" s="151">
        <f>DT$22*$D24*'Allgemeine Unternehmensdaten'!$E$37*(1+$L24)^(DT$20)/((1+$I24)^(DT$20))</f>
        <v>0</v>
      </c>
      <c r="DU24" s="151">
        <f>DU$22*$D24*'Allgemeine Unternehmensdaten'!$E$37*(1+$L24)^(DU$20)/((1+$I24)^(DU$20))</f>
        <v>0</v>
      </c>
      <c r="DV24" s="151">
        <f>DV$22*$D24*'Allgemeine Unternehmensdaten'!$E$37*(1+$L24)^(DV$20)/((1+$I24)^(DV$20))</f>
        <v>0</v>
      </c>
      <c r="DW24" s="151">
        <f>DW$22*$D24*'Allgemeine Unternehmensdaten'!$E$37*(1+$L24)^(DW$20)/((1+$I24)^(DW$20))</f>
        <v>0</v>
      </c>
      <c r="DX24" s="151">
        <f>DX$22*$D24*'Allgemeine Unternehmensdaten'!$E$37*(1+$L24)^(DX$20)/((1+$I24)^(DX$20))</f>
        <v>0</v>
      </c>
      <c r="DZ24" s="158" t="str">
        <f>$C$24</f>
        <v>Eigennutzung Strom in kWh/Jahr</v>
      </c>
      <c r="EA24" s="151">
        <f>EA$22*$F24*'Allgemeine Unternehmensdaten'!$G$37*(1+$N24)^(EA$20)/((1+$K24)^(EA$20))</f>
        <v>0</v>
      </c>
      <c r="EB24" s="151">
        <f>EB$22*$F24*'Allgemeine Unternehmensdaten'!$G$37*(1+$N24)^(EB$20)/((1+$K24)^(EB$20))</f>
        <v>0</v>
      </c>
      <c r="EC24" s="151">
        <f>EC$22*$F24*'Allgemeine Unternehmensdaten'!$G$37*(1+$N24)^(EC$20)/((1+$K24)^(EC$20))</f>
        <v>0</v>
      </c>
      <c r="ED24" s="151">
        <f>ED$22*$F24*'Allgemeine Unternehmensdaten'!$G$37*(1+$N24)^(ED$20)/((1+$K24)^(ED$20))</f>
        <v>0</v>
      </c>
      <c r="EE24" s="151">
        <f>EE$22*$F24*'Allgemeine Unternehmensdaten'!$G$37*(1+$N24)^(EE$20)/((1+$K24)^(EE$20))</f>
        <v>0</v>
      </c>
      <c r="EF24" s="151">
        <f>EF$22*$F24*'Allgemeine Unternehmensdaten'!$G$37*(1+$N24)^(EF$20)/((1+$K24)^(EF$20))</f>
        <v>0</v>
      </c>
      <c r="EG24" s="151">
        <f>EG$22*$F24*'Allgemeine Unternehmensdaten'!$G$37*(1+$N24)^(EG$20)/((1+$K24)^(EG$20))</f>
        <v>0</v>
      </c>
      <c r="EH24" s="151">
        <f>EH$22*$F24*'Allgemeine Unternehmensdaten'!$G$37*(1+$N24)^(EH$20)/((1+$K24)^(EH$20))</f>
        <v>0</v>
      </c>
      <c r="EI24" s="151">
        <f>EI$22*$F24*'Allgemeine Unternehmensdaten'!$G$37*(1+$N24)^(EI$20)/((1+$K24)^(EI$20))</f>
        <v>0</v>
      </c>
      <c r="EJ24" s="151">
        <f>EJ$22*$F24*'Allgemeine Unternehmensdaten'!$G$37*(1+$N24)^(EJ$20)/((1+$K24)^(EJ$20))</f>
        <v>0</v>
      </c>
      <c r="EK24" s="151">
        <f>EK$22*$F24*'Allgemeine Unternehmensdaten'!$G$37*(1+$N24)^(EK$20)/((1+$K24)^(EK$20))</f>
        <v>0</v>
      </c>
      <c r="EL24" s="151">
        <f>EL$22*$F24*'Allgemeine Unternehmensdaten'!$G$37*(1+$N24)^(EL$20)/((1+$K24)^(EL$20))</f>
        <v>0</v>
      </c>
      <c r="EM24" s="151">
        <f>EM$22*$F24*'Allgemeine Unternehmensdaten'!$G$37*(1+$N24)^(EM$20)/((1+$K24)^(EM$20))</f>
        <v>0</v>
      </c>
      <c r="EN24" s="151">
        <f>EN$22*$F24*'Allgemeine Unternehmensdaten'!$G$37*(1+$N24)^(EN$20)/((1+$K24)^(EN$20))</f>
        <v>0</v>
      </c>
      <c r="EO24" s="151">
        <f>EO$22*$F24*'Allgemeine Unternehmensdaten'!$G$37*(1+$N24)^(EO$20)/((1+$K24)^(EO$20))</f>
        <v>0</v>
      </c>
      <c r="EP24" s="151">
        <f>EP$22*$F24*'Allgemeine Unternehmensdaten'!$G$37*(1+$N24)^(EP$20)/((1+$K24)^(EP$20))</f>
        <v>0</v>
      </c>
      <c r="EQ24" s="151">
        <f>EQ$22*$F24*'Allgemeine Unternehmensdaten'!$G$37*(1+$N24)^(EQ$20)/((1+$K24)^(EQ$20))</f>
        <v>0</v>
      </c>
      <c r="ER24" s="151">
        <f>ER$22*$F24*'Allgemeine Unternehmensdaten'!$G$37*(1+$N24)^(ER$20)/((1+$K24)^(ER$20))</f>
        <v>0</v>
      </c>
      <c r="ES24" s="151">
        <f>ES$22*$F24*'Allgemeine Unternehmensdaten'!$G$37*(1+$N24)^(ES$20)/((1+$K24)^(ES$20))</f>
        <v>0</v>
      </c>
      <c r="ET24" s="151">
        <f>ET$22*$F24*'Allgemeine Unternehmensdaten'!$G$37*(1+$N24)^(ET$20)/((1+$K24)^(ET$20))</f>
        <v>0</v>
      </c>
      <c r="EU24" s="151">
        <f>EU$22*$F24*'Allgemeine Unternehmensdaten'!$G$37*(1+$N24)^(EU$20)/((1+$K24)^(EU$20))</f>
        <v>0</v>
      </c>
      <c r="EV24" s="151">
        <f>EV$22*$F24*'Allgemeine Unternehmensdaten'!$G$37*(1+$N24)^(EV$20)/((1+$K24)^(EV$20))</f>
        <v>0</v>
      </c>
      <c r="EW24" s="151">
        <f>EW$22*$F24*'Allgemeine Unternehmensdaten'!$G$37*(1+$N24)^(EW$20)/((1+$K24)^(EW$20))</f>
        <v>0</v>
      </c>
      <c r="EX24" s="151">
        <f>EX$22*$F24*'Allgemeine Unternehmensdaten'!$G$37*(1+$N24)^(EX$20)/((1+$K24)^(EX$20))</f>
        <v>0</v>
      </c>
      <c r="EY24" s="151">
        <f>EY$22*$F24*'Allgemeine Unternehmensdaten'!$G$37*(1+$N24)^(EY$20)/((1+$K24)^(EY$20))</f>
        <v>0</v>
      </c>
      <c r="EZ24" s="151">
        <f>EZ$22*$F24*'Allgemeine Unternehmensdaten'!$G$37*(1+$N24)^(EZ$20)/((1+$K24)^(EZ$20))</f>
        <v>0</v>
      </c>
      <c r="FA24" s="151">
        <f>FA$22*$F24*'Allgemeine Unternehmensdaten'!$G$37*(1+$N24)^(FA$20)/((1+$K24)^(FA$20))</f>
        <v>0</v>
      </c>
      <c r="FB24" s="151">
        <f>FB$22*$F24*'Allgemeine Unternehmensdaten'!$G$37*(1+$N24)^(FB$20)/((1+$K24)^(FB$20))</f>
        <v>0</v>
      </c>
      <c r="FC24" s="151">
        <f>FC$22*$F24*'Allgemeine Unternehmensdaten'!$G$37*(1+$N24)^(FC$20)/((1+$K24)^(FC$20))</f>
        <v>0</v>
      </c>
      <c r="FD24" s="151">
        <f>FD$22*$F24*'Allgemeine Unternehmensdaten'!$G$37*(1+$N24)^(FD$20)/((1+$K24)^(FD$20))</f>
        <v>0</v>
      </c>
      <c r="FE24" s="151">
        <f>FE$22*$F24*'Allgemeine Unternehmensdaten'!$G$37*(1+$N24)^(FE$20)/((1+$K24)^(FE$20))</f>
        <v>0</v>
      </c>
      <c r="FF24" s="151">
        <f>FF$22*$F24*'Allgemeine Unternehmensdaten'!$G$37*(1+$N24)^(FF$20)/((1+$K24)^(FF$20))</f>
        <v>0</v>
      </c>
      <c r="FG24" s="151">
        <f>FG$22*$F24*'Allgemeine Unternehmensdaten'!$G$37*(1+$N24)^(FG$20)/((1+$K24)^(FG$20))</f>
        <v>0</v>
      </c>
      <c r="FH24" s="151">
        <f>FH$22*$F24*'Allgemeine Unternehmensdaten'!$G$37*(1+$N24)^(FH$20)/((1+$K24)^(FH$20))</f>
        <v>0</v>
      </c>
      <c r="FI24" s="151">
        <f>FI$22*$F24*'Allgemeine Unternehmensdaten'!$G$37*(1+$N24)^(FI$20)/((1+$K24)^(FI$20))</f>
        <v>0</v>
      </c>
      <c r="FJ24" s="151">
        <f>FJ$22*$F24*'Allgemeine Unternehmensdaten'!$G$37*(1+$N24)^(FJ$20)/((1+$K24)^(FJ$20))</f>
        <v>0</v>
      </c>
      <c r="FK24" s="151">
        <f>FK$22*$F24*'Allgemeine Unternehmensdaten'!$G$37*(1+$N24)^(FK$20)/((1+$K24)^(FK$20))</f>
        <v>0</v>
      </c>
      <c r="FL24" s="151">
        <f>FL$22*$F24*'Allgemeine Unternehmensdaten'!$G$37*(1+$N24)^(FL$20)/((1+$K24)^(FL$20))</f>
        <v>0</v>
      </c>
      <c r="FM24" s="151">
        <f>FM$22*$F24*'Allgemeine Unternehmensdaten'!$G$37*(1+$N24)^(FM$20)/((1+$K24)^(FM$20))</f>
        <v>0</v>
      </c>
      <c r="FN24" s="151">
        <f>FN$22*$F24*'Allgemeine Unternehmensdaten'!$G$37*(1+$N24)^(FN$20)/((1+$K24)^(FN$20))</f>
        <v>0</v>
      </c>
      <c r="FO24" s="151">
        <f>FO$22*$F24*'Allgemeine Unternehmensdaten'!$G$37*(1+$N24)^(FO$20)/((1+$K24)^(FO$20))</f>
        <v>0</v>
      </c>
      <c r="FP24" s="151">
        <f>FP$22*$F24*'Allgemeine Unternehmensdaten'!$G$37*(1+$N24)^(FP$20)/((1+$K24)^(FP$20))</f>
        <v>0</v>
      </c>
      <c r="FQ24" s="151">
        <f>FQ$22*$F24*'Allgemeine Unternehmensdaten'!$G$37*(1+$N24)^(FQ$20)/((1+$K24)^(FQ$20))</f>
        <v>0</v>
      </c>
      <c r="FR24" s="151">
        <f>FR$22*$F24*'Allgemeine Unternehmensdaten'!$G$37*(1+$N24)^(FR$20)/((1+$K24)^(FR$20))</f>
        <v>0</v>
      </c>
      <c r="FS24" s="151">
        <f>FS$22*$F24*'Allgemeine Unternehmensdaten'!$G$37*(1+$N24)^(FS$20)/((1+$K24)^(FS$20))</f>
        <v>0</v>
      </c>
      <c r="FT24" s="151">
        <f>FT$22*$F24*'Allgemeine Unternehmensdaten'!$G$37*(1+$N24)^(FT$20)/((1+$K24)^(FT$20))</f>
        <v>0</v>
      </c>
      <c r="FU24" s="151">
        <f>FU$22*$F24*'Allgemeine Unternehmensdaten'!$G$37*(1+$N24)^(FU$20)/((1+$K24)^(FU$20))</f>
        <v>0</v>
      </c>
      <c r="FV24" s="151">
        <f>FV$22*$F24*'Allgemeine Unternehmensdaten'!$G$37*(1+$N24)^(FV$20)/((1+$K24)^(FV$20))</f>
        <v>0</v>
      </c>
      <c r="FW24" s="151">
        <f>FW$22*$F24*'Allgemeine Unternehmensdaten'!$G$37*(1+$N24)^(FW$20)/((1+$K24)^(FW$20))</f>
        <v>0</v>
      </c>
      <c r="FX24" s="151">
        <f>FX$22*$F24*'Allgemeine Unternehmensdaten'!$G$37*(1+$N24)^(FX$20)/((1+$K24)^(FX$20))</f>
        <v>0</v>
      </c>
      <c r="FY24" s="151">
        <f>FY$22*$F24*'Allgemeine Unternehmensdaten'!$G$37*(1+$N24)^(FY$20)/((1+$K24)^(FY$20))</f>
        <v>0</v>
      </c>
      <c r="FZ24" s="151">
        <f>FZ$22*$F24*'Allgemeine Unternehmensdaten'!$G$37*(1+$N24)^(FZ$20)/((1+$K24)^(FZ$20))</f>
        <v>0</v>
      </c>
      <c r="GA24" s="151">
        <f>GA$22*$F24*'Allgemeine Unternehmensdaten'!$G$37*(1+$N24)^(GA$20)/((1+$K24)^(GA$20))</f>
        <v>0</v>
      </c>
      <c r="GB24" s="151">
        <f>GB$22*$F24*'Allgemeine Unternehmensdaten'!$G$37*(1+$N24)^(GB$20)/((1+$K24)^(GB$20))</f>
        <v>0</v>
      </c>
    </row>
    <row r="25" spans="1:184" ht="17.25" customHeight="1" x14ac:dyDescent="0.5">
      <c r="A25" s="88"/>
      <c r="B25" s="322"/>
      <c r="C25" s="101" t="s">
        <v>130</v>
      </c>
      <c r="D25" s="152"/>
      <c r="E25" s="152"/>
      <c r="F25" s="153"/>
      <c r="G25" s="1">
        <v>99</v>
      </c>
      <c r="H25" s="143">
        <v>99</v>
      </c>
      <c r="I25" s="159">
        <v>0</v>
      </c>
      <c r="J25" s="155">
        <v>0</v>
      </c>
      <c r="K25" s="160">
        <v>0</v>
      </c>
      <c r="L25" s="147">
        <f>'Allgemeine Unternehmensdaten'!G34</f>
        <v>0.01</v>
      </c>
      <c r="M25" s="148">
        <f>'Allgemeine Unternehmensdaten'!F34</f>
        <v>0.02</v>
      </c>
      <c r="N25" s="149">
        <f>'Allgemeine Unternehmensdaten'!E34</f>
        <v>0.03</v>
      </c>
      <c r="R25" s="158" t="str">
        <f>$C$25</f>
        <v>Einspeisung Strom in kWh/Jahr</v>
      </c>
      <c r="S25" s="151">
        <f>S$22*$E25*'Allgemeine Unternehmensdaten'!$F$33*(1+$M25)^(S$20)/((1+$J25)^(S$20))</f>
        <v>0</v>
      </c>
      <c r="T25" s="151">
        <f>T$22*$E25*'Allgemeine Unternehmensdaten'!$F$33*(1+$M25)^(T$20)/((1+$J25)^(T$20))</f>
        <v>0</v>
      </c>
      <c r="U25" s="151">
        <f>U$22*$E25*'Allgemeine Unternehmensdaten'!$F$33*(1+$M25)^(U$20)/((1+$J25)^(U$20))</f>
        <v>0</v>
      </c>
      <c r="V25" s="151">
        <f>V$22*$E25*'Allgemeine Unternehmensdaten'!$F$33*(1+$M25)^(V$20)/((1+$J25)^(V$20))</f>
        <v>0</v>
      </c>
      <c r="W25" s="151">
        <f>W$22*$E25*'Allgemeine Unternehmensdaten'!$F$33*(1+$M25)^(W$20)/((1+$J25)^(W$20))</f>
        <v>0</v>
      </c>
      <c r="X25" s="151">
        <f>X$22*$E25*'Allgemeine Unternehmensdaten'!$F$33*(1+$M25)^(X$20)/((1+$J25)^(X$20))</f>
        <v>0</v>
      </c>
      <c r="Y25" s="151">
        <f>Y$22*$E25*'Allgemeine Unternehmensdaten'!$F$33*(1+$M25)^(Y$20)/((1+$J25)^(Y$20))</f>
        <v>0</v>
      </c>
      <c r="Z25" s="151">
        <f>Z$22*$E25*'Allgemeine Unternehmensdaten'!$F$33*(1+$M25)^(Z$20)/((1+$J25)^(Z$20))</f>
        <v>0</v>
      </c>
      <c r="AA25" s="151">
        <f>AA$22*$E25*'Allgemeine Unternehmensdaten'!$F$33*(1+$M25)^(AA$20)/((1+$J25)^(AA$20))</f>
        <v>0</v>
      </c>
      <c r="AB25" s="151">
        <f>AB$22*$E25*'Allgemeine Unternehmensdaten'!$F$33*(1+$M25)^(AB$20)/((1+$J25)^(AB$20))</f>
        <v>0</v>
      </c>
      <c r="AC25" s="151">
        <f>AC$22*$E25*'Allgemeine Unternehmensdaten'!$F$33*(1+$M25)^(AC$20)/((1+$J25)^(AC$20))</f>
        <v>0</v>
      </c>
      <c r="AD25" s="151">
        <f>AD$22*$E25*'Allgemeine Unternehmensdaten'!$F$33*(1+$M25)^(AD$20)/((1+$J25)^(AD$20))</f>
        <v>0</v>
      </c>
      <c r="AE25" s="151">
        <f>AE$22*$E25*'Allgemeine Unternehmensdaten'!$F$33*(1+$M25)^(AE$20)/((1+$J25)^(AE$20))</f>
        <v>0</v>
      </c>
      <c r="AF25" s="151">
        <f>AF$22*$E25*'Allgemeine Unternehmensdaten'!$F$33*(1+$M25)^(AF$20)/((1+$J25)^(AF$20))</f>
        <v>0</v>
      </c>
      <c r="AG25" s="151">
        <f>AG$22*$E25*'Allgemeine Unternehmensdaten'!$F$33*(1+$M25)^(AG$20)/((1+$J25)^(AG$20))</f>
        <v>0</v>
      </c>
      <c r="AH25" s="151">
        <f>AH$22*$E25*'Allgemeine Unternehmensdaten'!$F$33*(1+$M25)^(AH$20)/((1+$J25)^(AH$20))</f>
        <v>0</v>
      </c>
      <c r="AI25" s="151">
        <f>AI$22*$E25*'Allgemeine Unternehmensdaten'!$F$33*(1+$M25)^(AI$20)/((1+$J25)^(AI$20))</f>
        <v>0</v>
      </c>
      <c r="AJ25" s="151">
        <f>AJ$22*$E25*'Allgemeine Unternehmensdaten'!$F$33*(1+$M25)^(AJ$20)/((1+$J25)^(AJ$20))</f>
        <v>0</v>
      </c>
      <c r="AK25" s="151">
        <f>AK$22*$E25*'Allgemeine Unternehmensdaten'!$F$33*(1+$M25)^(AK$20)/((1+$J25)^(AK$20))</f>
        <v>0</v>
      </c>
      <c r="AL25" s="151">
        <f>AL$22*$E25*'Allgemeine Unternehmensdaten'!$F$33*(1+$M25)^(AL$20)/((1+$J25)^(AL$20))</f>
        <v>0</v>
      </c>
      <c r="AM25" s="151">
        <f>AM$22*$E25*'Allgemeine Unternehmensdaten'!$F$33*(1+$M25)^(AM$20)/((1+$J25)^(AM$20))</f>
        <v>0</v>
      </c>
      <c r="AN25" s="151">
        <f>AN$22*$E25*'Allgemeine Unternehmensdaten'!$F$33*(1+$M25)^(AN$20)/((1+$J25)^(AN$20))</f>
        <v>0</v>
      </c>
      <c r="AO25" s="151">
        <f>AO$22*$E25*'Allgemeine Unternehmensdaten'!$F$33*(1+$M25)^(AO$20)/((1+$J25)^(AO$20))</f>
        <v>0</v>
      </c>
      <c r="AP25" s="151">
        <f>AP$22*$E25*'Allgemeine Unternehmensdaten'!$F$33*(1+$M25)^(AP$20)/((1+$J25)^(AP$20))</f>
        <v>0</v>
      </c>
      <c r="AQ25" s="151">
        <f>AQ$22*$E25*'Allgemeine Unternehmensdaten'!$F$33*(1+$M25)^(AQ$20)/((1+$J25)^(AQ$20))</f>
        <v>0</v>
      </c>
      <c r="AR25" s="151">
        <f>AR$22*$E25*'Allgemeine Unternehmensdaten'!$F$33*(1+$M25)^(AR$20)/((1+$J25)^(AR$20))</f>
        <v>0</v>
      </c>
      <c r="AS25" s="151">
        <f>AS$22*$E25*'Allgemeine Unternehmensdaten'!$F$33*(1+$M25)^(AS$20)/((1+$J25)^(AS$20))</f>
        <v>0</v>
      </c>
      <c r="AT25" s="151">
        <f>AT$22*$E25*'Allgemeine Unternehmensdaten'!$F$33*(1+$M25)^(AT$20)/((1+$J25)^(AT$20))</f>
        <v>0</v>
      </c>
      <c r="AU25" s="151">
        <f>AU$22*$E25*'Allgemeine Unternehmensdaten'!$F$33*(1+$M25)^(AU$20)/((1+$J25)^(AU$20))</f>
        <v>0</v>
      </c>
      <c r="AV25" s="151">
        <f>AV$22*$E25*'Allgemeine Unternehmensdaten'!$F$33*(1+$M25)^(AV$20)/((1+$J25)^(AV$20))</f>
        <v>0</v>
      </c>
      <c r="AW25" s="151">
        <f>AW$22*$E25*'Allgemeine Unternehmensdaten'!$F$33*(1+$M25)^(AW$20)/((1+$J25)^(AW$20))</f>
        <v>0</v>
      </c>
      <c r="AX25" s="151">
        <f>AX$22*$E25*'Allgemeine Unternehmensdaten'!$F$33*(1+$M25)^(AX$20)/((1+$J25)^(AX$20))</f>
        <v>0</v>
      </c>
      <c r="AY25" s="151">
        <f>AY$22*$E25*'Allgemeine Unternehmensdaten'!$F$33*(1+$M25)^(AY$20)/((1+$J25)^(AY$20))</f>
        <v>0</v>
      </c>
      <c r="AZ25" s="151">
        <f>AZ$22*$E25*'Allgemeine Unternehmensdaten'!$F$33*(1+$M25)^(AZ$20)/((1+$J25)^(AZ$20))</f>
        <v>0</v>
      </c>
      <c r="BA25" s="151">
        <f>BA$22*$E25*'Allgemeine Unternehmensdaten'!$F$33*(1+$M25)^(BA$20)/((1+$J25)^(BA$20))</f>
        <v>0</v>
      </c>
      <c r="BB25" s="151">
        <f>BB$22*$E25*'Allgemeine Unternehmensdaten'!$F$33*(1+$M25)^(BB$20)/((1+$J25)^(BB$20))</f>
        <v>0</v>
      </c>
      <c r="BC25" s="151">
        <f>BC$22*$E25*'Allgemeine Unternehmensdaten'!$F$33*(1+$M25)^(BC$20)/((1+$J25)^(BC$20))</f>
        <v>0</v>
      </c>
      <c r="BD25" s="151">
        <f>BD$22*$E25*'Allgemeine Unternehmensdaten'!$F$33*(1+$M25)^(BD$20)/((1+$J25)^(BD$20))</f>
        <v>0</v>
      </c>
      <c r="BE25" s="151">
        <f>BE$22*$E25*'Allgemeine Unternehmensdaten'!$F$33*(1+$M25)^(BE$20)/((1+$J25)^(BE$20))</f>
        <v>0</v>
      </c>
      <c r="BF25" s="151">
        <f>BF$22*$E25*'Allgemeine Unternehmensdaten'!$F$33*(1+$M25)^(BF$20)/((1+$J25)^(BF$20))</f>
        <v>0</v>
      </c>
      <c r="BG25" s="151">
        <f>BG$22*$E25*'Allgemeine Unternehmensdaten'!$F$33*(1+$M25)^(BG$20)/((1+$J25)^(BG$20))</f>
        <v>0</v>
      </c>
      <c r="BH25" s="151">
        <f>BH$22*$E25*'Allgemeine Unternehmensdaten'!$F$33*(1+$M25)^(BH$20)/((1+$J25)^(BH$20))</f>
        <v>0</v>
      </c>
      <c r="BI25" s="151">
        <f>BI$22*$E25*'Allgemeine Unternehmensdaten'!$F$33*(1+$M25)^(BI$20)/((1+$J25)^(BI$20))</f>
        <v>0</v>
      </c>
      <c r="BJ25" s="151">
        <f>BJ$22*$E25*'Allgemeine Unternehmensdaten'!$F$33*(1+$M25)^(BJ$20)/((1+$J25)^(BJ$20))</f>
        <v>0</v>
      </c>
      <c r="BK25" s="151">
        <f>BK$22*$E25*'Allgemeine Unternehmensdaten'!$F$33*(1+$M25)^(BK$20)/((1+$J25)^(BK$20))</f>
        <v>0</v>
      </c>
      <c r="BL25" s="151">
        <f>BL$22*$E25*'Allgemeine Unternehmensdaten'!$F$33*(1+$M25)^(BL$20)/((1+$J25)^(BL$20))</f>
        <v>0</v>
      </c>
      <c r="BM25" s="151">
        <f>BM$22*$E25*'Allgemeine Unternehmensdaten'!$F$33*(1+$M25)^(BM$20)/((1+$J25)^(BM$20))</f>
        <v>0</v>
      </c>
      <c r="BN25" s="151">
        <f>BN$22*$E25*'Allgemeine Unternehmensdaten'!$F$33*(1+$M25)^(BN$20)/((1+$J25)^(BN$20))</f>
        <v>0</v>
      </c>
      <c r="BO25" s="151">
        <f>BO$22*$E25*'Allgemeine Unternehmensdaten'!$F$33*(1+$M25)^(BO$20)/((1+$J25)^(BO$20))</f>
        <v>0</v>
      </c>
      <c r="BP25" s="151">
        <f>BP$22*$E25*'Allgemeine Unternehmensdaten'!$F$33*(1+$M25)^(BP$20)/((1+$J25)^(BP$20))</f>
        <v>0</v>
      </c>
      <c r="BQ25" s="151">
        <f>BQ$22*$E25*'Allgemeine Unternehmensdaten'!$F$33*(1+$M25)^(BQ$20)/((1+$J25)^(BQ$20))</f>
        <v>0</v>
      </c>
      <c r="BR25" s="151">
        <f>BR$22*$E25*'Allgemeine Unternehmensdaten'!$F$33*(1+$M25)^(BR$20)/((1+$J25)^(BR$20))</f>
        <v>0</v>
      </c>
      <c r="BS25" s="151">
        <f>BS$22*$E25*'Allgemeine Unternehmensdaten'!$F$33*(1+$M25)^(BS$20)/((1+$J25)^(BS$20))</f>
        <v>0</v>
      </c>
      <c r="BT25" s="151">
        <f>BT$22*$E25*'Allgemeine Unternehmensdaten'!$F$33*(1+$M25)^(BT$20)/((1+$J25)^(BT$20))</f>
        <v>0</v>
      </c>
      <c r="BV25" s="158" t="str">
        <f>$C$25</f>
        <v>Einspeisung Strom in kWh/Jahr</v>
      </c>
      <c r="BW25" s="151">
        <f>BW$22*$D25*'Allgemeine Unternehmensdaten'!$E$33*(1+$L25)^(BW$20)/((1+$I25)^(BW$20))</f>
        <v>0</v>
      </c>
      <c r="BX25" s="151">
        <f>BX$22*$D25*'Allgemeine Unternehmensdaten'!$E$33*(1+$L25)^(BX$20)/((1+$I25)^(BX$20))</f>
        <v>0</v>
      </c>
      <c r="BY25" s="151">
        <f>BY$22*$D25*'Allgemeine Unternehmensdaten'!$E$33*(1+$L25)^(BY$20)/((1+$I25)^(BY$20))</f>
        <v>0</v>
      </c>
      <c r="BZ25" s="151">
        <f>BZ$22*$D25*'Allgemeine Unternehmensdaten'!$E$33*(1+$L25)^(BZ$20)/((1+$I25)^(BZ$20))</f>
        <v>0</v>
      </c>
      <c r="CA25" s="151">
        <f>CA$22*$D25*'Allgemeine Unternehmensdaten'!$E$33*(1+$L25)^(CA$20)/((1+$I25)^(CA$20))</f>
        <v>0</v>
      </c>
      <c r="CB25" s="151">
        <f>CB$22*$D25*'Allgemeine Unternehmensdaten'!$E$33*(1+$L25)^(CB$20)/((1+$I25)^(CB$20))</f>
        <v>0</v>
      </c>
      <c r="CC25" s="151">
        <f>CC$22*$D25*'Allgemeine Unternehmensdaten'!$E$33*(1+$L25)^(CC$20)/((1+$I25)^(CC$20))</f>
        <v>0</v>
      </c>
      <c r="CD25" s="151">
        <f>CD$22*$D25*'Allgemeine Unternehmensdaten'!$E$33*(1+$L25)^(CD$20)/((1+$I25)^(CD$20))</f>
        <v>0</v>
      </c>
      <c r="CE25" s="151">
        <f>CE$22*$D25*'Allgemeine Unternehmensdaten'!$E$33*(1+$L25)^(CE$20)/((1+$I25)^(CE$20))</f>
        <v>0</v>
      </c>
      <c r="CF25" s="151">
        <f>CF$22*$D25*'Allgemeine Unternehmensdaten'!$E$33*(1+$L25)^(CF$20)/((1+$I25)^(CF$20))</f>
        <v>0</v>
      </c>
      <c r="CG25" s="151">
        <f>CG$22*$D25*'Allgemeine Unternehmensdaten'!$E$33*(1+$L25)^(CG$20)/((1+$I25)^(CG$20))</f>
        <v>0</v>
      </c>
      <c r="CH25" s="151">
        <f>CH$22*$D25*'Allgemeine Unternehmensdaten'!$E$33*(1+$L25)^(CH$20)/((1+$I25)^(CH$20))</f>
        <v>0</v>
      </c>
      <c r="CI25" s="151">
        <f>CI$22*$D25*'Allgemeine Unternehmensdaten'!$E$33*(1+$L25)^(CI$20)/((1+$I25)^(CI$20))</f>
        <v>0</v>
      </c>
      <c r="CJ25" s="151">
        <f>CJ$22*$D25*'Allgemeine Unternehmensdaten'!$E$33*(1+$L25)^(CJ$20)/((1+$I25)^(CJ$20))</f>
        <v>0</v>
      </c>
      <c r="CK25" s="151">
        <f>CK$22*$D25*'Allgemeine Unternehmensdaten'!$E$33*(1+$L25)^(CK$20)/((1+$I25)^(CK$20))</f>
        <v>0</v>
      </c>
      <c r="CL25" s="151">
        <f>CL$22*$D25*'Allgemeine Unternehmensdaten'!$E$33*(1+$L25)^(CL$20)/((1+$I25)^(CL$20))</f>
        <v>0</v>
      </c>
      <c r="CM25" s="151">
        <f>CM$22*$D25*'Allgemeine Unternehmensdaten'!$E$33*(1+$L25)^(CM$20)/((1+$I25)^(CM$20))</f>
        <v>0</v>
      </c>
      <c r="CN25" s="151">
        <f>CN$22*$D25*'Allgemeine Unternehmensdaten'!$E$33*(1+$L25)^(CN$20)/((1+$I25)^(CN$20))</f>
        <v>0</v>
      </c>
      <c r="CO25" s="151">
        <f>CO$22*$D25*'Allgemeine Unternehmensdaten'!$E$33*(1+$L25)^(CO$20)/((1+$I25)^(CO$20))</f>
        <v>0</v>
      </c>
      <c r="CP25" s="151">
        <f>CP$22*$D25*'Allgemeine Unternehmensdaten'!$E$33*(1+$L25)^(CP$20)/((1+$I25)^(CP$20))</f>
        <v>0</v>
      </c>
      <c r="CQ25" s="151">
        <f>CQ$22*$D25*'Allgemeine Unternehmensdaten'!$E$33*(1+$L25)^(CQ$20)/((1+$I25)^(CQ$20))</f>
        <v>0</v>
      </c>
      <c r="CR25" s="151">
        <f>CR$22*$D25*'Allgemeine Unternehmensdaten'!$E$33*(1+$L25)^(CR$20)/((1+$I25)^(CR$20))</f>
        <v>0</v>
      </c>
      <c r="CS25" s="151">
        <f>CS$22*$D25*'Allgemeine Unternehmensdaten'!$E$33*(1+$L25)^(CS$20)/((1+$I25)^(CS$20))</f>
        <v>0</v>
      </c>
      <c r="CT25" s="151">
        <f>CT$22*$D25*'Allgemeine Unternehmensdaten'!$E$33*(1+$L25)^(CT$20)/((1+$I25)^(CT$20))</f>
        <v>0</v>
      </c>
      <c r="CU25" s="151">
        <f>CU$22*$D25*'Allgemeine Unternehmensdaten'!$E$33*(1+$L25)^(CU$20)/((1+$I25)^(CU$20))</f>
        <v>0</v>
      </c>
      <c r="CV25" s="151">
        <f>CV$22*$D25*'Allgemeine Unternehmensdaten'!$E$33*(1+$L25)^(CV$20)/((1+$I25)^(CV$20))</f>
        <v>0</v>
      </c>
      <c r="CW25" s="151">
        <f>CW$22*$D25*'Allgemeine Unternehmensdaten'!$E$33*(1+$L25)^(CW$20)/((1+$I25)^(CW$20))</f>
        <v>0</v>
      </c>
      <c r="CX25" s="151">
        <f>CX$22*$D25*'Allgemeine Unternehmensdaten'!$E$33*(1+$L25)^(CX$20)/((1+$I25)^(CX$20))</f>
        <v>0</v>
      </c>
      <c r="CY25" s="151">
        <f>CY$22*$D25*'Allgemeine Unternehmensdaten'!$E$33*(1+$L25)^(CY$20)/((1+$I25)^(CY$20))</f>
        <v>0</v>
      </c>
      <c r="CZ25" s="151">
        <f>CZ$22*$D25*'Allgemeine Unternehmensdaten'!$E$33*(1+$L25)^(CZ$20)/((1+$I25)^(CZ$20))</f>
        <v>0</v>
      </c>
      <c r="DA25" s="151">
        <f>DA$22*$D25*'Allgemeine Unternehmensdaten'!$E$33*(1+$L25)^(DA$20)/((1+$I25)^(DA$20))</f>
        <v>0</v>
      </c>
      <c r="DB25" s="151">
        <f>DB$22*$D25*'Allgemeine Unternehmensdaten'!$E$33*(1+$L25)^(DB$20)/((1+$I25)^(DB$20))</f>
        <v>0</v>
      </c>
      <c r="DC25" s="151">
        <f>DC$22*$D25*'Allgemeine Unternehmensdaten'!$E$33*(1+$L25)^(DC$20)/((1+$I25)^(DC$20))</f>
        <v>0</v>
      </c>
      <c r="DD25" s="151">
        <f>DD$22*$D25*'Allgemeine Unternehmensdaten'!$E$33*(1+$L25)^(DD$20)/((1+$I25)^(DD$20))</f>
        <v>0</v>
      </c>
      <c r="DE25" s="151">
        <f>DE$22*$D25*'Allgemeine Unternehmensdaten'!$E$33*(1+$L25)^(DE$20)/((1+$I25)^(DE$20))</f>
        <v>0</v>
      </c>
      <c r="DF25" s="151">
        <f>DF$22*$D25*'Allgemeine Unternehmensdaten'!$E$33*(1+$L25)^(DF$20)/((1+$I25)^(DF$20))</f>
        <v>0</v>
      </c>
      <c r="DG25" s="151">
        <f>DG$22*$D25*'Allgemeine Unternehmensdaten'!$E$33*(1+$L25)^(DG$20)/((1+$I25)^(DG$20))</f>
        <v>0</v>
      </c>
      <c r="DH25" s="151">
        <f>DH$22*$D25*'Allgemeine Unternehmensdaten'!$E$33*(1+$L25)^(DH$20)/((1+$I25)^(DH$20))</f>
        <v>0</v>
      </c>
      <c r="DI25" s="151">
        <f>DI$22*$D25*'Allgemeine Unternehmensdaten'!$E$33*(1+$L25)^(DI$20)/((1+$I25)^(DI$20))</f>
        <v>0</v>
      </c>
      <c r="DJ25" s="151">
        <f>DJ$22*$D25*'Allgemeine Unternehmensdaten'!$E$33*(1+$L25)^(DJ$20)/((1+$I25)^(DJ$20))</f>
        <v>0</v>
      </c>
      <c r="DK25" s="151">
        <f>DK$22*$D25*'Allgemeine Unternehmensdaten'!$E$33*(1+$L25)^(DK$20)/((1+$I25)^(DK$20))</f>
        <v>0</v>
      </c>
      <c r="DL25" s="151">
        <f>DL$22*$D25*'Allgemeine Unternehmensdaten'!$E$33*(1+$L25)^(DL$20)/((1+$I25)^(DL$20))</f>
        <v>0</v>
      </c>
      <c r="DM25" s="151">
        <f>DM$22*$D25*'Allgemeine Unternehmensdaten'!$E$33*(1+$L25)^(DM$20)/((1+$I25)^(DM$20))</f>
        <v>0</v>
      </c>
      <c r="DN25" s="151">
        <f>DN$22*$D25*'Allgemeine Unternehmensdaten'!$E$33*(1+$L25)^(DN$20)/((1+$I25)^(DN$20))</f>
        <v>0</v>
      </c>
      <c r="DO25" s="151">
        <f>DO$22*$D25*'Allgemeine Unternehmensdaten'!$E$33*(1+$L25)^(DO$20)/((1+$I25)^(DO$20))</f>
        <v>0</v>
      </c>
      <c r="DP25" s="151">
        <f>DP$22*$D25*'Allgemeine Unternehmensdaten'!$E$33*(1+$L25)^(DP$20)/((1+$I25)^(DP$20))</f>
        <v>0</v>
      </c>
      <c r="DQ25" s="151">
        <f>DQ$22*$D25*'Allgemeine Unternehmensdaten'!$E$33*(1+$L25)^(DQ$20)/((1+$I25)^(DQ$20))</f>
        <v>0</v>
      </c>
      <c r="DR25" s="151">
        <f>DR$22*$D25*'Allgemeine Unternehmensdaten'!$E$33*(1+$L25)^(DR$20)/((1+$I25)^(DR$20))</f>
        <v>0</v>
      </c>
      <c r="DS25" s="151">
        <f>DS$22*$D25*'Allgemeine Unternehmensdaten'!$E$33*(1+$L25)^(DS$20)/((1+$I25)^(DS$20))</f>
        <v>0</v>
      </c>
      <c r="DT25" s="151">
        <f>DT$22*$D25*'Allgemeine Unternehmensdaten'!$E$33*(1+$L25)^(DT$20)/((1+$I25)^(DT$20))</f>
        <v>0</v>
      </c>
      <c r="DU25" s="151">
        <f>DU$22*$D25*'Allgemeine Unternehmensdaten'!$E$33*(1+$L25)^(DU$20)/((1+$I25)^(DU$20))</f>
        <v>0</v>
      </c>
      <c r="DV25" s="151">
        <f>DV$22*$D25*'Allgemeine Unternehmensdaten'!$E$33*(1+$L25)^(DV$20)/((1+$I25)^(DV$20))</f>
        <v>0</v>
      </c>
      <c r="DW25" s="151">
        <f>DW$22*$D25*'Allgemeine Unternehmensdaten'!$E$33*(1+$L25)^(DW$20)/((1+$I25)^(DW$20))</f>
        <v>0</v>
      </c>
      <c r="DX25" s="151">
        <f>DX$22*$D25*'Allgemeine Unternehmensdaten'!$E$33*(1+$L25)^(DX$20)/((1+$I25)^(DX$20))</f>
        <v>0</v>
      </c>
      <c r="DZ25" s="158" t="str">
        <f>$C$25</f>
        <v>Einspeisung Strom in kWh/Jahr</v>
      </c>
      <c r="EA25" s="151">
        <f>EA$22*$F25*'Allgemeine Unternehmensdaten'!$G$33*(1+$N25)^(EA$20)/((1+$K25)^(EA$20))</f>
        <v>0</v>
      </c>
      <c r="EB25" s="151">
        <f>EB$22*$F25*'Allgemeine Unternehmensdaten'!$G$33*(1+$N25)^(EB$20)/((1+$K25)^(EB$20))</f>
        <v>0</v>
      </c>
      <c r="EC25" s="151">
        <f>EC$22*$F25*'Allgemeine Unternehmensdaten'!$G$33*(1+$N25)^(EC$20)/((1+$K25)^(EC$20))</f>
        <v>0</v>
      </c>
      <c r="ED25" s="151">
        <f>ED$22*$F25*'Allgemeine Unternehmensdaten'!$G$33*(1+$N25)^(ED$20)/((1+$K25)^(ED$20))</f>
        <v>0</v>
      </c>
      <c r="EE25" s="151">
        <f>EE$22*$F25*'Allgemeine Unternehmensdaten'!$G$33*(1+$N25)^(EE$20)/((1+$K25)^(EE$20))</f>
        <v>0</v>
      </c>
      <c r="EF25" s="151">
        <f>EF$22*$F25*'Allgemeine Unternehmensdaten'!$G$33*(1+$N25)^(EF$20)/((1+$K25)^(EF$20))</f>
        <v>0</v>
      </c>
      <c r="EG25" s="151">
        <f>EG$22*$F25*'Allgemeine Unternehmensdaten'!$G$33*(1+$N25)^(EG$20)/((1+$K25)^(EG$20))</f>
        <v>0</v>
      </c>
      <c r="EH25" s="151">
        <f>EH$22*$F25*'Allgemeine Unternehmensdaten'!$G$33*(1+$N25)^(EH$20)/((1+$K25)^(EH$20))</f>
        <v>0</v>
      </c>
      <c r="EI25" s="151">
        <f>EI$22*$F25*'Allgemeine Unternehmensdaten'!$G$33*(1+$N25)^(EI$20)/((1+$K25)^(EI$20))</f>
        <v>0</v>
      </c>
      <c r="EJ25" s="151">
        <f>EJ$22*$F25*'Allgemeine Unternehmensdaten'!$G$33*(1+$N25)^(EJ$20)/((1+$K25)^(EJ$20))</f>
        <v>0</v>
      </c>
      <c r="EK25" s="151">
        <f>EK$22*$F25*'Allgemeine Unternehmensdaten'!$G$33*(1+$N25)^(EK$20)/((1+$K25)^(EK$20))</f>
        <v>0</v>
      </c>
      <c r="EL25" s="151">
        <f>EL$22*$F25*'Allgemeine Unternehmensdaten'!$G$33*(1+$N25)^(EL$20)/((1+$K25)^(EL$20))</f>
        <v>0</v>
      </c>
      <c r="EM25" s="151">
        <f>EM$22*$F25*'Allgemeine Unternehmensdaten'!$G$33*(1+$N25)^(EM$20)/((1+$K25)^(EM$20))</f>
        <v>0</v>
      </c>
      <c r="EN25" s="151">
        <f>EN$22*$F25*'Allgemeine Unternehmensdaten'!$G$33*(1+$N25)^(EN$20)/((1+$K25)^(EN$20))</f>
        <v>0</v>
      </c>
      <c r="EO25" s="151">
        <f>EO$22*$F25*'Allgemeine Unternehmensdaten'!$G$33*(1+$N25)^(EO$20)/((1+$K25)^(EO$20))</f>
        <v>0</v>
      </c>
      <c r="EP25" s="151">
        <f>EP$22*$F25*'Allgemeine Unternehmensdaten'!$G$33*(1+$N25)^(EP$20)/((1+$K25)^(EP$20))</f>
        <v>0</v>
      </c>
      <c r="EQ25" s="151">
        <f>EQ$22*$F25*'Allgemeine Unternehmensdaten'!$G$33*(1+$N25)^(EQ$20)/((1+$K25)^(EQ$20))</f>
        <v>0</v>
      </c>
      <c r="ER25" s="151">
        <f>ER$22*$F25*'Allgemeine Unternehmensdaten'!$G$33*(1+$N25)^(ER$20)/((1+$K25)^(ER$20))</f>
        <v>0</v>
      </c>
      <c r="ES25" s="151">
        <f>ES$22*$F25*'Allgemeine Unternehmensdaten'!$G$33*(1+$N25)^(ES$20)/((1+$K25)^(ES$20))</f>
        <v>0</v>
      </c>
      <c r="ET25" s="151">
        <f>ET$22*$F25*'Allgemeine Unternehmensdaten'!$G$33*(1+$N25)^(ET$20)/((1+$K25)^(ET$20))</f>
        <v>0</v>
      </c>
      <c r="EU25" s="151">
        <f>EU$22*$F25*'Allgemeine Unternehmensdaten'!$G$33*(1+$N25)^(EU$20)/((1+$K25)^(EU$20))</f>
        <v>0</v>
      </c>
      <c r="EV25" s="151">
        <f>EV$22*$F25*'Allgemeine Unternehmensdaten'!$G$33*(1+$N25)^(EV$20)/((1+$K25)^(EV$20))</f>
        <v>0</v>
      </c>
      <c r="EW25" s="151">
        <f>EW$22*$F25*'Allgemeine Unternehmensdaten'!$G$33*(1+$N25)^(EW$20)/((1+$K25)^(EW$20))</f>
        <v>0</v>
      </c>
      <c r="EX25" s="151">
        <f>EX$22*$F25*'Allgemeine Unternehmensdaten'!$G$33*(1+$N25)^(EX$20)/((1+$K25)^(EX$20))</f>
        <v>0</v>
      </c>
      <c r="EY25" s="151">
        <f>EY$22*$F25*'Allgemeine Unternehmensdaten'!$G$33*(1+$N25)^(EY$20)/((1+$K25)^(EY$20))</f>
        <v>0</v>
      </c>
      <c r="EZ25" s="151">
        <f>EZ$22*$F25*'Allgemeine Unternehmensdaten'!$G$33*(1+$N25)^(EZ$20)/((1+$K25)^(EZ$20))</f>
        <v>0</v>
      </c>
      <c r="FA25" s="151">
        <f>FA$22*$F25*'Allgemeine Unternehmensdaten'!$G$33*(1+$N25)^(FA$20)/((1+$K25)^(FA$20))</f>
        <v>0</v>
      </c>
      <c r="FB25" s="151">
        <f>FB$22*$F25*'Allgemeine Unternehmensdaten'!$G$33*(1+$N25)^(FB$20)/((1+$K25)^(FB$20))</f>
        <v>0</v>
      </c>
      <c r="FC25" s="151">
        <f>FC$22*$F25*'Allgemeine Unternehmensdaten'!$G$33*(1+$N25)^(FC$20)/((1+$K25)^(FC$20))</f>
        <v>0</v>
      </c>
      <c r="FD25" s="151">
        <f>FD$22*$F25*'Allgemeine Unternehmensdaten'!$G$33*(1+$N25)^(FD$20)/((1+$K25)^(FD$20))</f>
        <v>0</v>
      </c>
      <c r="FE25" s="151">
        <f>FE$22*$F25*'Allgemeine Unternehmensdaten'!$G$33*(1+$N25)^(FE$20)/((1+$K25)^(FE$20))</f>
        <v>0</v>
      </c>
      <c r="FF25" s="151">
        <f>FF$22*$F25*'Allgemeine Unternehmensdaten'!$G$33*(1+$N25)^(FF$20)/((1+$K25)^(FF$20))</f>
        <v>0</v>
      </c>
      <c r="FG25" s="151">
        <f>FG$22*$F25*'Allgemeine Unternehmensdaten'!$G$33*(1+$N25)^(FG$20)/((1+$K25)^(FG$20))</f>
        <v>0</v>
      </c>
      <c r="FH25" s="151">
        <f>FH$22*$F25*'Allgemeine Unternehmensdaten'!$G$33*(1+$N25)^(FH$20)/((1+$K25)^(FH$20))</f>
        <v>0</v>
      </c>
      <c r="FI25" s="151">
        <f>FI$22*$F25*'Allgemeine Unternehmensdaten'!$G$33*(1+$N25)^(FI$20)/((1+$K25)^(FI$20))</f>
        <v>0</v>
      </c>
      <c r="FJ25" s="151">
        <f>FJ$22*$F25*'Allgemeine Unternehmensdaten'!$G$33*(1+$N25)^(FJ$20)/((1+$K25)^(FJ$20))</f>
        <v>0</v>
      </c>
      <c r="FK25" s="151">
        <f>FK$22*$F25*'Allgemeine Unternehmensdaten'!$G$33*(1+$N25)^(FK$20)/((1+$K25)^(FK$20))</f>
        <v>0</v>
      </c>
      <c r="FL25" s="151">
        <f>FL$22*$F25*'Allgemeine Unternehmensdaten'!$G$33*(1+$N25)^(FL$20)/((1+$K25)^(FL$20))</f>
        <v>0</v>
      </c>
      <c r="FM25" s="151">
        <f>FM$22*$F25*'Allgemeine Unternehmensdaten'!$G$33*(1+$N25)^(FM$20)/((1+$K25)^(FM$20))</f>
        <v>0</v>
      </c>
      <c r="FN25" s="151">
        <f>FN$22*$F25*'Allgemeine Unternehmensdaten'!$G$33*(1+$N25)^(FN$20)/((1+$K25)^(FN$20))</f>
        <v>0</v>
      </c>
      <c r="FO25" s="151">
        <f>FO$22*$F25*'Allgemeine Unternehmensdaten'!$G$33*(1+$N25)^(FO$20)/((1+$K25)^(FO$20))</f>
        <v>0</v>
      </c>
      <c r="FP25" s="151">
        <f>FP$22*$F25*'Allgemeine Unternehmensdaten'!$G$33*(1+$N25)^(FP$20)/((1+$K25)^(FP$20))</f>
        <v>0</v>
      </c>
      <c r="FQ25" s="151">
        <f>FQ$22*$F25*'Allgemeine Unternehmensdaten'!$G$33*(1+$N25)^(FQ$20)/((1+$K25)^(FQ$20))</f>
        <v>0</v>
      </c>
      <c r="FR25" s="151">
        <f>FR$22*$F25*'Allgemeine Unternehmensdaten'!$G$33*(1+$N25)^(FR$20)/((1+$K25)^(FR$20))</f>
        <v>0</v>
      </c>
      <c r="FS25" s="151">
        <f>FS$22*$F25*'Allgemeine Unternehmensdaten'!$G$33*(1+$N25)^(FS$20)/((1+$K25)^(FS$20))</f>
        <v>0</v>
      </c>
      <c r="FT25" s="151">
        <f>FT$22*$F25*'Allgemeine Unternehmensdaten'!$G$33*(1+$N25)^(FT$20)/((1+$K25)^(FT$20))</f>
        <v>0</v>
      </c>
      <c r="FU25" s="151">
        <f>FU$22*$F25*'Allgemeine Unternehmensdaten'!$G$33*(1+$N25)^(FU$20)/((1+$K25)^(FU$20))</f>
        <v>0</v>
      </c>
      <c r="FV25" s="151">
        <f>FV$22*$F25*'Allgemeine Unternehmensdaten'!$G$33*(1+$N25)^(FV$20)/((1+$K25)^(FV$20))</f>
        <v>0</v>
      </c>
      <c r="FW25" s="151">
        <f>FW$22*$F25*'Allgemeine Unternehmensdaten'!$G$33*(1+$N25)^(FW$20)/((1+$K25)^(FW$20))</f>
        <v>0</v>
      </c>
      <c r="FX25" s="151">
        <f>FX$22*$F25*'Allgemeine Unternehmensdaten'!$G$33*(1+$N25)^(FX$20)/((1+$K25)^(FX$20))</f>
        <v>0</v>
      </c>
      <c r="FY25" s="151">
        <f>FY$22*$F25*'Allgemeine Unternehmensdaten'!$G$33*(1+$N25)^(FY$20)/((1+$K25)^(FY$20))</f>
        <v>0</v>
      </c>
      <c r="FZ25" s="151">
        <f>FZ$22*$F25*'Allgemeine Unternehmensdaten'!$G$33*(1+$N25)^(FZ$20)/((1+$K25)^(FZ$20))</f>
        <v>0</v>
      </c>
      <c r="GA25" s="151">
        <f>GA$22*$F25*'Allgemeine Unternehmensdaten'!$G$33*(1+$N25)^(GA$20)/((1+$K25)^(GA$20))</f>
        <v>0</v>
      </c>
      <c r="GB25" s="151">
        <f>GB$22*$F25*'Allgemeine Unternehmensdaten'!$G$33*(1+$N25)^(GB$20)/((1+$K25)^(GB$20))</f>
        <v>0</v>
      </c>
    </row>
    <row r="26" spans="1:184" ht="17.25" customHeight="1" x14ac:dyDescent="0.5">
      <c r="B26" s="322"/>
      <c r="C26" s="101" t="s">
        <v>227</v>
      </c>
      <c r="D26" s="161">
        <f t="shared" ref="D26:F27" si="12">IF(D12&gt;G12,IFERROR((D12-G12)/D12,0),0)</f>
        <v>0</v>
      </c>
      <c r="E26" s="161">
        <f t="shared" si="12"/>
        <v>0</v>
      </c>
      <c r="F26" s="161">
        <f t="shared" si="12"/>
        <v>0</v>
      </c>
      <c r="G26" s="1">
        <v>99</v>
      </c>
      <c r="H26" s="143">
        <v>99</v>
      </c>
      <c r="I26" s="162">
        <v>0</v>
      </c>
      <c r="J26" s="155">
        <v>0</v>
      </c>
      <c r="K26" s="163">
        <v>0</v>
      </c>
      <c r="L26" s="164">
        <f>'Allgemeine Unternehmensdaten'!$E$14</f>
        <v>0.04</v>
      </c>
      <c r="M26" s="165">
        <f>'Allgemeine Unternehmensdaten'!$F$14</f>
        <v>0.03</v>
      </c>
      <c r="N26" s="166">
        <f>'Allgemeine Unternehmensdaten'!$G$14</f>
        <v>0.02</v>
      </c>
      <c r="R26" s="150" t="s">
        <v>131</v>
      </c>
      <c r="S26" s="151">
        <f>'Allgemeine Unternehmensdaten'!$F$13*S$22*$E12*$E26*($M26+1)^(S$20)/((1+$J26)^(S$20))</f>
        <v>0</v>
      </c>
      <c r="T26" s="151">
        <f>'Allgemeine Unternehmensdaten'!$F$13*T$22*$E12*$E26*($M26+1)^(T$20)/((1+$J26)^(T$20))</f>
        <v>0</v>
      </c>
      <c r="U26" s="151">
        <f>'Allgemeine Unternehmensdaten'!$F$13*U$22*$E12*$E26*($M26+1)^(U$20)/((1+$J26)^(U$20))</f>
        <v>0</v>
      </c>
      <c r="V26" s="151">
        <f>'Allgemeine Unternehmensdaten'!$F$13*V$22*$E12*$E26*($M26+1)^(V$20)/((1+$J26)^(V$20))</f>
        <v>0</v>
      </c>
      <c r="W26" s="151">
        <f>'Allgemeine Unternehmensdaten'!$F$13*W$22*$E12*$E26*($M26+1)^(W$20)/((1+$J26)^(W$20))</f>
        <v>0</v>
      </c>
      <c r="X26" s="151">
        <f>'Allgemeine Unternehmensdaten'!$F$13*X$22*$E12*$E26*($M26+1)^(X$20)/((1+$J26)^(X$20))</f>
        <v>0</v>
      </c>
      <c r="Y26" s="151">
        <f>'Allgemeine Unternehmensdaten'!$F$13*Y$22*$E12*$E26*($M26+1)^(Y$20)/((1+$J26)^(Y$20))</f>
        <v>0</v>
      </c>
      <c r="Z26" s="151">
        <f>'Allgemeine Unternehmensdaten'!$F$13*Z$22*$E12*$E26*($M26+1)^(Z$20)/((1+$J26)^(Z$20))</f>
        <v>0</v>
      </c>
      <c r="AA26" s="151">
        <f>'Allgemeine Unternehmensdaten'!$F$13*AA$22*$E12*$E26*($M26+1)^(AA$20)/((1+$J26)^(AA$20))</f>
        <v>0</v>
      </c>
      <c r="AB26" s="151">
        <f>'Allgemeine Unternehmensdaten'!$F$13*AB$22*$E12*$E26*($M26+1)^(AB$20)/((1+$J26)^(AB$20))</f>
        <v>0</v>
      </c>
      <c r="AC26" s="151">
        <f>'Allgemeine Unternehmensdaten'!$F$13*AC$22*$E12*$E26*($M26+1)^(AC$20)/((1+$J26)^(AC$20))</f>
        <v>0</v>
      </c>
      <c r="AD26" s="151">
        <f>'Allgemeine Unternehmensdaten'!$F$13*AD$22*$E12*$E26*($M26+1)^(AD$20)/((1+$J26)^(AD$20))</f>
        <v>0</v>
      </c>
      <c r="AE26" s="151">
        <f>'Allgemeine Unternehmensdaten'!$F$13*AE$22*$E12*$E26*($M26+1)^(AE$20)/((1+$J26)^(AE$20))</f>
        <v>0</v>
      </c>
      <c r="AF26" s="151">
        <f>'Allgemeine Unternehmensdaten'!$F$13*AF$22*$E12*$E26*($M26+1)^(AF$20)/((1+$J26)^(AF$20))</f>
        <v>0</v>
      </c>
      <c r="AG26" s="151">
        <f>'Allgemeine Unternehmensdaten'!$F$13*AG$22*$E12*$E26*($M26+1)^(AG$20)/((1+$J26)^(AG$20))</f>
        <v>0</v>
      </c>
      <c r="AH26" s="151">
        <f>'Allgemeine Unternehmensdaten'!$F$13*AH$22*$E12*$E26*($M26+1)^(AH$20)/((1+$J26)^(AH$20))</f>
        <v>0</v>
      </c>
      <c r="AI26" s="151">
        <f>'Allgemeine Unternehmensdaten'!$F$13*AI$22*$E12*$E26*($M26+1)^(AI$20)/((1+$J26)^(AI$20))</f>
        <v>0</v>
      </c>
      <c r="AJ26" s="151">
        <f>'Allgemeine Unternehmensdaten'!$F$13*AJ$22*$E12*$E26*($M26+1)^(AJ$20)/((1+$J26)^(AJ$20))</f>
        <v>0</v>
      </c>
      <c r="AK26" s="151">
        <f>'Allgemeine Unternehmensdaten'!$F$13*AK$22*$E12*$E26*($M26+1)^(AK$20)/((1+$J26)^(AK$20))</f>
        <v>0</v>
      </c>
      <c r="AL26" s="151">
        <f>'Allgemeine Unternehmensdaten'!$F$13*AL$22*$E12*$E26*($M26+1)^(AL$20)/((1+$J26)^(AL$20))</f>
        <v>0</v>
      </c>
      <c r="AM26" s="151">
        <f>'Allgemeine Unternehmensdaten'!$F$13*AM$22*$E12*$E26*($M26+1)^(AM$20)/((1+$J26)^(AM$20))</f>
        <v>0</v>
      </c>
      <c r="AN26" s="151">
        <f>'Allgemeine Unternehmensdaten'!$F$13*AN$22*$E12*$E26*($M26+1)^(AN$20)/((1+$J26)^(AN$20))</f>
        <v>0</v>
      </c>
      <c r="AO26" s="151">
        <f>'Allgemeine Unternehmensdaten'!$F$13*AO$22*$E12*$E26*($M26+1)^(AO$20)/((1+$J26)^(AO$20))</f>
        <v>0</v>
      </c>
      <c r="AP26" s="151">
        <f>'Allgemeine Unternehmensdaten'!$F$13*AP$22*$E12*$E26*($M26+1)^(AP$20)/((1+$J26)^(AP$20))</f>
        <v>0</v>
      </c>
      <c r="AQ26" s="151">
        <f>'Allgemeine Unternehmensdaten'!$F$13*AQ$22*$E12*$E26*($M26+1)^(AQ$20)/((1+$J26)^(AQ$20))</f>
        <v>0</v>
      </c>
      <c r="AR26" s="151">
        <f>'Allgemeine Unternehmensdaten'!$F$13*AR$22*$E12*$E26*($M26+1)^(AR$20)/((1+$J26)^(AR$20))</f>
        <v>0</v>
      </c>
      <c r="AS26" s="151">
        <f>'Allgemeine Unternehmensdaten'!$F$13*AS$22*$E12*$E26*($M26+1)^(AS$20)/((1+$J26)^(AS$20))</f>
        <v>0</v>
      </c>
      <c r="AT26" s="151">
        <f>'Allgemeine Unternehmensdaten'!$F$13*AT$22*$E12*$E26*($M26+1)^(AT$20)/((1+$J26)^(AT$20))</f>
        <v>0</v>
      </c>
      <c r="AU26" s="151">
        <f>'Allgemeine Unternehmensdaten'!$F$13*AU$22*$E12*$E26*($M26+1)^(AU$20)/((1+$J26)^(AU$20))</f>
        <v>0</v>
      </c>
      <c r="AV26" s="151">
        <f>'Allgemeine Unternehmensdaten'!$F$13*AV$22*$E12*$E26*($M26+1)^(AV$20)/((1+$J26)^(AV$20))</f>
        <v>0</v>
      </c>
      <c r="AW26" s="151">
        <f>'Allgemeine Unternehmensdaten'!$F$13*AW$22*$E12*$E26*($M26+1)^(AW$20)/((1+$J26)^(AW$20))</f>
        <v>0</v>
      </c>
      <c r="AX26" s="151">
        <f>'Allgemeine Unternehmensdaten'!$F$13*AX$22*$E12*$E26*($M26+1)^(AX$20)/((1+$J26)^(AX$20))</f>
        <v>0</v>
      </c>
      <c r="AY26" s="151">
        <f>'Allgemeine Unternehmensdaten'!$F$13*AY$22*$E12*$E26*($M26+1)^(AY$20)/((1+$J26)^(AY$20))</f>
        <v>0</v>
      </c>
      <c r="AZ26" s="151">
        <f>'Allgemeine Unternehmensdaten'!$F$13*AZ$22*$E12*$E26*($M26+1)^(AZ$20)/((1+$J26)^(AZ$20))</f>
        <v>0</v>
      </c>
      <c r="BA26" s="151">
        <f>'Allgemeine Unternehmensdaten'!$F$13*BA$22*$E12*$E26*($M26+1)^(BA$20)/((1+$J26)^(BA$20))</f>
        <v>0</v>
      </c>
      <c r="BB26" s="151">
        <f>'Allgemeine Unternehmensdaten'!$F$13*BB$22*$E12*$E26*($M26+1)^(BB$20)/((1+$J26)^(BB$20))</f>
        <v>0</v>
      </c>
      <c r="BC26" s="151">
        <f>'Allgemeine Unternehmensdaten'!$F$13*BC$22*$E12*$E26*($M26+1)^(BC$20)/((1+$J26)^(BC$20))</f>
        <v>0</v>
      </c>
      <c r="BD26" s="151">
        <f>'Allgemeine Unternehmensdaten'!$F$13*BD$22*$E12*$E26*($M26+1)^(BD$20)/((1+$J26)^(BD$20))</f>
        <v>0</v>
      </c>
      <c r="BE26" s="151">
        <f>'Allgemeine Unternehmensdaten'!$F$13*BE$22*$E12*$E26*($M26+1)^(BE$20)/((1+$J26)^(BE$20))</f>
        <v>0</v>
      </c>
      <c r="BF26" s="151">
        <f>'Allgemeine Unternehmensdaten'!$F$13*BF$22*$E12*$E26*($M26+1)^(BF$20)/((1+$J26)^(BF$20))</f>
        <v>0</v>
      </c>
      <c r="BG26" s="151">
        <f>'Allgemeine Unternehmensdaten'!$F$13*BG$22*$E12*$E26*($M26+1)^(BG$20)/((1+$J26)^(BG$20))</f>
        <v>0</v>
      </c>
      <c r="BH26" s="151">
        <f>'Allgemeine Unternehmensdaten'!$F$13*BH$22*$E12*$E26*($M26+1)^(BH$20)/((1+$J26)^(BH$20))</f>
        <v>0</v>
      </c>
      <c r="BI26" s="151">
        <f>'Allgemeine Unternehmensdaten'!$F$13*BI$22*$E12*$E26*($M26+1)^(BI$20)/((1+$J26)^(BI$20))</f>
        <v>0</v>
      </c>
      <c r="BJ26" s="151">
        <f>'Allgemeine Unternehmensdaten'!$F$13*BJ$22*$E12*$E26*($M26+1)^(BJ$20)/((1+$J26)^(BJ$20))</f>
        <v>0</v>
      </c>
      <c r="BK26" s="151">
        <f>'Allgemeine Unternehmensdaten'!$F$13*BK$22*$E12*$E26*($M26+1)^(BK$20)/((1+$J26)^(BK$20))</f>
        <v>0</v>
      </c>
      <c r="BL26" s="151">
        <f>'Allgemeine Unternehmensdaten'!$F$13*BL$22*$E12*$E26*($M26+1)^(BL$20)/((1+$J26)^(BL$20))</f>
        <v>0</v>
      </c>
      <c r="BM26" s="151">
        <f>'Allgemeine Unternehmensdaten'!$F$13*BM$22*$E12*$E26*($M26+1)^(BM$20)/((1+$J26)^(BM$20))</f>
        <v>0</v>
      </c>
      <c r="BN26" s="151">
        <f>'Allgemeine Unternehmensdaten'!$F$13*BN$22*$E12*$E26*($M26+1)^(BN$20)/((1+$J26)^(BN$20))</f>
        <v>0</v>
      </c>
      <c r="BO26" s="151">
        <f>'Allgemeine Unternehmensdaten'!$F$13*BO$22*$E12*$E26*($M26+1)^(BO$20)/((1+$J26)^(BO$20))</f>
        <v>0</v>
      </c>
      <c r="BP26" s="151">
        <f>'Allgemeine Unternehmensdaten'!$F$13*BP$22*$E12*$E26*($M26+1)^(BP$20)/((1+$J26)^(BP$20))</f>
        <v>0</v>
      </c>
      <c r="BQ26" s="151">
        <f>'Allgemeine Unternehmensdaten'!$F$13*BQ$22*$E12*$E26*($M26+1)^(BQ$20)/((1+$J26)^(BQ$20))</f>
        <v>0</v>
      </c>
      <c r="BR26" s="151">
        <f>'Allgemeine Unternehmensdaten'!$F$13*BR$22*$E12*$E26*($M26+1)^(BR$20)/((1+$J26)^(BR$20))</f>
        <v>0</v>
      </c>
      <c r="BS26" s="151">
        <f>'Allgemeine Unternehmensdaten'!$F$13*BS$22*$E12*$E26*($M26+1)^(BS$20)/((1+$J26)^(BS$20))</f>
        <v>0</v>
      </c>
      <c r="BT26" s="151">
        <f>'Allgemeine Unternehmensdaten'!$F$13*BT$22*$E12*$E26*($M26+1)^(BT$20)/((1+$J26)^(BT$20))</f>
        <v>0</v>
      </c>
      <c r="BV26" s="150" t="s">
        <v>131</v>
      </c>
      <c r="BW26" s="151">
        <f>'Allgemeine Unternehmensdaten'!$E$13*BW$22*$D12*$D26*($L26+1)^(BW$20)/((1+$I26)^(BW$20))</f>
        <v>0</v>
      </c>
      <c r="BX26" s="151">
        <f>'Allgemeine Unternehmensdaten'!$E$13*BX$22*$D12*$D26*($L26+1)^(BX$20)/((1+$I26)^(BX$20))</f>
        <v>0</v>
      </c>
      <c r="BY26" s="151">
        <f>'Allgemeine Unternehmensdaten'!$E$13*BY$22*$D12*$D26*($L26+1)^(BY$20)/((1+$I26)^(BY$20))</f>
        <v>0</v>
      </c>
      <c r="BZ26" s="151">
        <f>'Allgemeine Unternehmensdaten'!$E$13*BZ$22*$D12*$D26*($L26+1)^(BZ$20)/((1+$I26)^(BZ$20))</f>
        <v>0</v>
      </c>
      <c r="CA26" s="151">
        <f>'Allgemeine Unternehmensdaten'!$E$13*CA$22*$D12*$D26*($L26+1)^(CA$20)/((1+$I26)^(CA$20))</f>
        <v>0</v>
      </c>
      <c r="CB26" s="151">
        <f>'Allgemeine Unternehmensdaten'!$E$13*CB$22*$D12*$D26*($L26+1)^(CB$20)/((1+$I26)^(CB$20))</f>
        <v>0</v>
      </c>
      <c r="CC26" s="151">
        <f>'Allgemeine Unternehmensdaten'!$E$13*CC$22*$D12*$D26*($L26+1)^(CC$20)/((1+$I26)^(CC$20))</f>
        <v>0</v>
      </c>
      <c r="CD26" s="151">
        <f>'Allgemeine Unternehmensdaten'!$E$13*CD$22*$D12*$D26*($L26+1)^(CD$20)/((1+$I26)^(CD$20))</f>
        <v>0</v>
      </c>
      <c r="CE26" s="151">
        <f>'Allgemeine Unternehmensdaten'!$E$13*CE$22*$D12*$D26*($L26+1)^(CE$20)/((1+$I26)^(CE$20))</f>
        <v>0</v>
      </c>
      <c r="CF26" s="151">
        <f>'Allgemeine Unternehmensdaten'!$E$13*CF$22*$D12*$D26*($L26+1)^(CF$20)/((1+$I26)^(CF$20))</f>
        <v>0</v>
      </c>
      <c r="CG26" s="151">
        <f>'Allgemeine Unternehmensdaten'!$E$13*CG$22*$D12*$D26*($L26+1)^(CG$20)/((1+$I26)^(CG$20))</f>
        <v>0</v>
      </c>
      <c r="CH26" s="151">
        <f>'Allgemeine Unternehmensdaten'!$E$13*CH$22*$D12*$D26*($L26+1)^(CH$20)/((1+$I26)^(CH$20))</f>
        <v>0</v>
      </c>
      <c r="CI26" s="151">
        <f>'Allgemeine Unternehmensdaten'!$E$13*CI$22*$D12*$D26*($L26+1)^(CI$20)/((1+$I26)^(CI$20))</f>
        <v>0</v>
      </c>
      <c r="CJ26" s="151">
        <f>'Allgemeine Unternehmensdaten'!$E$13*CJ$22*$D12*$D26*($L26+1)^(CJ$20)/((1+$I26)^(CJ$20))</f>
        <v>0</v>
      </c>
      <c r="CK26" s="151">
        <f>'Allgemeine Unternehmensdaten'!$E$13*CK$22*$D12*$D26*($L26+1)^(CK$20)/((1+$I26)^(CK$20))</f>
        <v>0</v>
      </c>
      <c r="CL26" s="151">
        <f>'Allgemeine Unternehmensdaten'!$E$13*CL$22*$D12*$D26*($L26+1)^(CL$20)/((1+$I26)^(CL$20))</f>
        <v>0</v>
      </c>
      <c r="CM26" s="151">
        <f>'Allgemeine Unternehmensdaten'!$E$13*CM$22*$D12*$D26*($L26+1)^(CM$20)/((1+$I26)^(CM$20))</f>
        <v>0</v>
      </c>
      <c r="CN26" s="151">
        <f>'Allgemeine Unternehmensdaten'!$E$13*CN$22*$D12*$D26*($L26+1)^(CN$20)/((1+$I26)^(CN$20))</f>
        <v>0</v>
      </c>
      <c r="CO26" s="151">
        <f>'Allgemeine Unternehmensdaten'!$E$13*CO$22*$D12*$D26*($L26+1)^(CO$20)/((1+$I26)^(CO$20))</f>
        <v>0</v>
      </c>
      <c r="CP26" s="151">
        <f>'Allgemeine Unternehmensdaten'!$E$13*CP$22*$D12*$D26*($L26+1)^(CP$20)/((1+$I26)^(CP$20))</f>
        <v>0</v>
      </c>
      <c r="CQ26" s="151">
        <f>'Allgemeine Unternehmensdaten'!$E$13*CQ$22*$D12*$D26*($L26+1)^(CQ$20)/((1+$I26)^(CQ$20))</f>
        <v>0</v>
      </c>
      <c r="CR26" s="151">
        <f>'Allgemeine Unternehmensdaten'!$E$13*CR$22*$D12*$D26*($L26+1)^(CR$20)/((1+$I26)^(CR$20))</f>
        <v>0</v>
      </c>
      <c r="CS26" s="151">
        <f>'Allgemeine Unternehmensdaten'!$E$13*CS$22*$D12*$D26*($L26+1)^(CS$20)/((1+$I26)^(CS$20))</f>
        <v>0</v>
      </c>
      <c r="CT26" s="151">
        <f>'Allgemeine Unternehmensdaten'!$E$13*CT$22*$D12*$D26*($L26+1)^(CT$20)/((1+$I26)^(CT$20))</f>
        <v>0</v>
      </c>
      <c r="CU26" s="151">
        <f>'Allgemeine Unternehmensdaten'!$E$13*CU$22*$D12*$D26*($L26+1)^(CU$20)/((1+$I26)^(CU$20))</f>
        <v>0</v>
      </c>
      <c r="CV26" s="151">
        <f>'Allgemeine Unternehmensdaten'!$E$13*CV$22*$D12*$D26*($L26+1)^(CV$20)/((1+$I26)^(CV$20))</f>
        <v>0</v>
      </c>
      <c r="CW26" s="151">
        <f>'Allgemeine Unternehmensdaten'!$E$13*CW$22*$D12*$D26*($L26+1)^(CW$20)/((1+$I26)^(CW$20))</f>
        <v>0</v>
      </c>
      <c r="CX26" s="151">
        <f>'Allgemeine Unternehmensdaten'!$E$13*CX$22*$D12*$D26*($L26+1)^(CX$20)/((1+$I26)^(CX$20))</f>
        <v>0</v>
      </c>
      <c r="CY26" s="151">
        <f>'Allgemeine Unternehmensdaten'!$E$13*CY$22*$D12*$D26*($L26+1)^(CY$20)/((1+$I26)^(CY$20))</f>
        <v>0</v>
      </c>
      <c r="CZ26" s="151">
        <f>'Allgemeine Unternehmensdaten'!$E$13*CZ$22*$D12*$D26*($L26+1)^(CZ$20)/((1+$I26)^(CZ$20))</f>
        <v>0</v>
      </c>
      <c r="DA26" s="151">
        <f>'Allgemeine Unternehmensdaten'!$E$13*DA$22*$D12*$D26*($L26+1)^(DA$20)/((1+$I26)^(DA$20))</f>
        <v>0</v>
      </c>
      <c r="DB26" s="151">
        <f>'Allgemeine Unternehmensdaten'!$E$13*DB$22*$D12*$D26*($L26+1)^(DB$20)/((1+$I26)^(DB$20))</f>
        <v>0</v>
      </c>
      <c r="DC26" s="151">
        <f>'Allgemeine Unternehmensdaten'!$E$13*DC$22*$D12*$D26*($L26+1)^(DC$20)/((1+$I26)^(DC$20))</f>
        <v>0</v>
      </c>
      <c r="DD26" s="151">
        <f>'Allgemeine Unternehmensdaten'!$E$13*DD$22*$D12*$D26*($L26+1)^(DD$20)/((1+$I26)^(DD$20))</f>
        <v>0</v>
      </c>
      <c r="DE26" s="151">
        <f>'Allgemeine Unternehmensdaten'!$E$13*DE$22*$D12*$D26*($L26+1)^(DE$20)/((1+$I26)^(DE$20))</f>
        <v>0</v>
      </c>
      <c r="DF26" s="151">
        <f>'Allgemeine Unternehmensdaten'!$E$13*DF$22*$D12*$D26*($L26+1)^(DF$20)/((1+$I26)^(DF$20))</f>
        <v>0</v>
      </c>
      <c r="DG26" s="151">
        <f>'Allgemeine Unternehmensdaten'!$E$13*DG$22*$D12*$D26*($L26+1)^(DG$20)/((1+$I26)^(DG$20))</f>
        <v>0</v>
      </c>
      <c r="DH26" s="151">
        <f>'Allgemeine Unternehmensdaten'!$E$13*DH$22*$D12*$D26*($L26+1)^(DH$20)/((1+$I26)^(DH$20))</f>
        <v>0</v>
      </c>
      <c r="DI26" s="151">
        <f>'Allgemeine Unternehmensdaten'!$E$13*DI$22*$D12*$D26*($L26+1)^(DI$20)/((1+$I26)^(DI$20))</f>
        <v>0</v>
      </c>
      <c r="DJ26" s="151">
        <f>'Allgemeine Unternehmensdaten'!$E$13*DJ$22*$D12*$D26*($L26+1)^(DJ$20)/((1+$I26)^(DJ$20))</f>
        <v>0</v>
      </c>
      <c r="DK26" s="151">
        <f>'Allgemeine Unternehmensdaten'!$E$13*DK$22*$D12*$D26*($L26+1)^(DK$20)/((1+$I26)^(DK$20))</f>
        <v>0</v>
      </c>
      <c r="DL26" s="151">
        <f>'Allgemeine Unternehmensdaten'!$E$13*DL$22*$D12*$D26*($L26+1)^(DL$20)/((1+$I26)^(DL$20))</f>
        <v>0</v>
      </c>
      <c r="DM26" s="151">
        <f>'Allgemeine Unternehmensdaten'!$E$13*DM$22*$D12*$D26*($L26+1)^(DM$20)/((1+$I26)^(DM$20))</f>
        <v>0</v>
      </c>
      <c r="DN26" s="151">
        <f>'Allgemeine Unternehmensdaten'!$E$13*DN$22*$D12*$D26*($L26+1)^(DN$20)/((1+$I26)^(DN$20))</f>
        <v>0</v>
      </c>
      <c r="DO26" s="151">
        <f>'Allgemeine Unternehmensdaten'!$E$13*DO$22*$D12*$D26*($L26+1)^(DO$20)/((1+$I26)^(DO$20))</f>
        <v>0</v>
      </c>
      <c r="DP26" s="151">
        <f>'Allgemeine Unternehmensdaten'!$E$13*DP$22*$D12*$D26*($L26+1)^(DP$20)/((1+$I26)^(DP$20))</f>
        <v>0</v>
      </c>
      <c r="DQ26" s="151">
        <f>'Allgemeine Unternehmensdaten'!$E$13*DQ$22*$D12*$D26*($L26+1)^(DQ$20)/((1+$I26)^(DQ$20))</f>
        <v>0</v>
      </c>
      <c r="DR26" s="151">
        <f>'Allgemeine Unternehmensdaten'!$E$13*DR$22*$D12*$D26*($L26+1)^(DR$20)/((1+$I26)^(DR$20))</f>
        <v>0</v>
      </c>
      <c r="DS26" s="151">
        <f>'Allgemeine Unternehmensdaten'!$E$13*DS$22*$D12*$D26*($L26+1)^(DS$20)/((1+$I26)^(DS$20))</f>
        <v>0</v>
      </c>
      <c r="DT26" s="151">
        <f>'Allgemeine Unternehmensdaten'!$E$13*DT$22*$D12*$D26*($L26+1)^(DT$20)/((1+$I26)^(DT$20))</f>
        <v>0</v>
      </c>
      <c r="DU26" s="151">
        <f>'Allgemeine Unternehmensdaten'!$E$13*DU$22*$D12*$D26*($L26+1)^(DU$20)/((1+$I26)^(DU$20))</f>
        <v>0</v>
      </c>
      <c r="DV26" s="151">
        <f>'Allgemeine Unternehmensdaten'!$E$13*DV$22*$D12*$D26*($L26+1)^(DV$20)/((1+$I26)^(DV$20))</f>
        <v>0</v>
      </c>
      <c r="DW26" s="151">
        <f>'Allgemeine Unternehmensdaten'!$E$13*DW$22*$D12*$D26*($L26+1)^(DW$20)/((1+$I26)^(DW$20))</f>
        <v>0</v>
      </c>
      <c r="DX26" s="151">
        <f>'Allgemeine Unternehmensdaten'!$E$13*DX$22*$D12*$D26*($L26+1)^(DX$20)/((1+$I26)^(DX$20))</f>
        <v>0</v>
      </c>
      <c r="DZ26" s="150" t="s">
        <v>131</v>
      </c>
      <c r="EA26" s="151">
        <f>'Allgemeine Unternehmensdaten'!$G$13*EA$22*$F12*$F26*($N26+1)^(EA$20)/((1+$K26)^(EA$20))</f>
        <v>0</v>
      </c>
      <c r="EB26" s="151">
        <f>'Allgemeine Unternehmensdaten'!$G$13*EB$22*$F12*$F26*($N26+1)^(EB$20)/((1+$K26)^(EB$20))</f>
        <v>0</v>
      </c>
      <c r="EC26" s="151">
        <f>'Allgemeine Unternehmensdaten'!$G$13*EC$22*$F12*$F26*($N26+1)^(EC$20)/((1+$K26)^(EC$20))</f>
        <v>0</v>
      </c>
      <c r="ED26" s="151">
        <f>'Allgemeine Unternehmensdaten'!$G$13*ED$22*$F12*$F26*($N26+1)^(ED$20)/((1+$K26)^(ED$20))</f>
        <v>0</v>
      </c>
      <c r="EE26" s="151">
        <f>'Allgemeine Unternehmensdaten'!$G$13*EE$22*$F12*$F26*($N26+1)^(EE$20)/((1+$K26)^(EE$20))</f>
        <v>0</v>
      </c>
      <c r="EF26" s="151">
        <f>'Allgemeine Unternehmensdaten'!$G$13*EF$22*$F12*$F26*($N26+1)^(EF$20)/((1+$K26)^(EF$20))</f>
        <v>0</v>
      </c>
      <c r="EG26" s="151">
        <f>'Allgemeine Unternehmensdaten'!$G$13*EG$22*$F12*$F26*($N26+1)^(EG$20)/((1+$K26)^(EG$20))</f>
        <v>0</v>
      </c>
      <c r="EH26" s="151">
        <f>'Allgemeine Unternehmensdaten'!$G$13*EH$22*$F12*$F26*($N26+1)^(EH$20)/((1+$K26)^(EH$20))</f>
        <v>0</v>
      </c>
      <c r="EI26" s="151">
        <f>'Allgemeine Unternehmensdaten'!$G$13*EI$22*$F12*$F26*($N26+1)^(EI$20)/((1+$K26)^(EI$20))</f>
        <v>0</v>
      </c>
      <c r="EJ26" s="151">
        <f>'Allgemeine Unternehmensdaten'!$G$13*EJ$22*$F12*$F26*($N26+1)^(EJ$20)/((1+$K26)^(EJ$20))</f>
        <v>0</v>
      </c>
      <c r="EK26" s="151">
        <f>'Allgemeine Unternehmensdaten'!$G$13*EK$22*$F12*$F26*($N26+1)^(EK$20)/((1+$K26)^(EK$20))</f>
        <v>0</v>
      </c>
      <c r="EL26" s="151">
        <f>'Allgemeine Unternehmensdaten'!$G$13*EL$22*$F12*$F26*($N26+1)^(EL$20)/((1+$K26)^(EL$20))</f>
        <v>0</v>
      </c>
      <c r="EM26" s="151">
        <f>'Allgemeine Unternehmensdaten'!$G$13*EM$22*$F12*$F26*($N26+1)^(EM$20)/((1+$K26)^(EM$20))</f>
        <v>0</v>
      </c>
      <c r="EN26" s="151">
        <f>'Allgemeine Unternehmensdaten'!$G$13*EN$22*$F12*$F26*($N26+1)^(EN$20)/((1+$K26)^(EN$20))</f>
        <v>0</v>
      </c>
      <c r="EO26" s="151">
        <f>'Allgemeine Unternehmensdaten'!$G$13*EO$22*$F12*$F26*($N26+1)^(EO$20)/((1+$K26)^(EO$20))</f>
        <v>0</v>
      </c>
      <c r="EP26" s="151">
        <f>'Allgemeine Unternehmensdaten'!$G$13*EP$22*$F12*$F26*($N26+1)^(EP$20)/((1+$K26)^(EP$20))</f>
        <v>0</v>
      </c>
      <c r="EQ26" s="151">
        <f>'Allgemeine Unternehmensdaten'!$G$13*EQ$22*$F12*$F26*($N26+1)^(EQ$20)/((1+$K26)^(EQ$20))</f>
        <v>0</v>
      </c>
      <c r="ER26" s="151">
        <f>'Allgemeine Unternehmensdaten'!$G$13*ER$22*$F12*$F26*($N26+1)^(ER$20)/((1+$K26)^(ER$20))</f>
        <v>0</v>
      </c>
      <c r="ES26" s="151">
        <f>'Allgemeine Unternehmensdaten'!$G$13*ES$22*$F12*$F26*($N26+1)^(ES$20)/((1+$K26)^(ES$20))</f>
        <v>0</v>
      </c>
      <c r="ET26" s="151">
        <f>'Allgemeine Unternehmensdaten'!$G$13*ET$22*$F12*$F26*($N26+1)^(ET$20)/((1+$K26)^(ET$20))</f>
        <v>0</v>
      </c>
      <c r="EU26" s="151">
        <f>'Allgemeine Unternehmensdaten'!$G$13*EU$22*$F12*$F26*($N26+1)^(EU$20)/((1+$K26)^(EU$20))</f>
        <v>0</v>
      </c>
      <c r="EV26" s="151">
        <f>'Allgemeine Unternehmensdaten'!$G$13*EV$22*$F12*$F26*($N26+1)^(EV$20)/((1+$K26)^(EV$20))</f>
        <v>0</v>
      </c>
      <c r="EW26" s="151">
        <f>'Allgemeine Unternehmensdaten'!$G$13*EW$22*$F12*$F26*($N26+1)^(EW$20)/((1+$K26)^(EW$20))</f>
        <v>0</v>
      </c>
      <c r="EX26" s="151">
        <f>'Allgemeine Unternehmensdaten'!$G$13*EX$22*$F12*$F26*($N26+1)^(EX$20)/((1+$K26)^(EX$20))</f>
        <v>0</v>
      </c>
      <c r="EY26" s="151">
        <f>'Allgemeine Unternehmensdaten'!$G$13*EY$22*$F12*$F26*($N26+1)^(EY$20)/((1+$K26)^(EY$20))</f>
        <v>0</v>
      </c>
      <c r="EZ26" s="151">
        <f>'Allgemeine Unternehmensdaten'!$G$13*EZ$22*$F12*$F26*($N26+1)^(EZ$20)/((1+$K26)^(EZ$20))</f>
        <v>0</v>
      </c>
      <c r="FA26" s="151">
        <f>'Allgemeine Unternehmensdaten'!$G$13*FA$22*$F12*$F26*($N26+1)^(FA$20)/((1+$K26)^(FA$20))</f>
        <v>0</v>
      </c>
      <c r="FB26" s="151">
        <f>'Allgemeine Unternehmensdaten'!$G$13*FB$22*$F12*$F26*($N26+1)^(FB$20)/((1+$K26)^(FB$20))</f>
        <v>0</v>
      </c>
      <c r="FC26" s="151">
        <f>'Allgemeine Unternehmensdaten'!$G$13*FC$22*$F12*$F26*($N26+1)^(FC$20)/((1+$K26)^(FC$20))</f>
        <v>0</v>
      </c>
      <c r="FD26" s="151">
        <f>'Allgemeine Unternehmensdaten'!$G$13*FD$22*$F12*$F26*($N26+1)^(FD$20)/((1+$K26)^(FD$20))</f>
        <v>0</v>
      </c>
      <c r="FE26" s="151">
        <f>'Allgemeine Unternehmensdaten'!$G$13*FE$22*$F12*$F26*($N26+1)^(FE$20)/((1+$K26)^(FE$20))</f>
        <v>0</v>
      </c>
      <c r="FF26" s="151">
        <f>'Allgemeine Unternehmensdaten'!$G$13*FF$22*$F12*$F26*($N26+1)^(FF$20)/((1+$K26)^(FF$20))</f>
        <v>0</v>
      </c>
      <c r="FG26" s="151">
        <f>'Allgemeine Unternehmensdaten'!$G$13*FG$22*$F12*$F26*($N26+1)^(FG$20)/((1+$K26)^(FG$20))</f>
        <v>0</v>
      </c>
      <c r="FH26" s="151">
        <f>'Allgemeine Unternehmensdaten'!$G$13*FH$22*$F12*$F26*($N26+1)^(FH$20)/((1+$K26)^(FH$20))</f>
        <v>0</v>
      </c>
      <c r="FI26" s="151">
        <f>'Allgemeine Unternehmensdaten'!$G$13*FI$22*$F12*$F26*($N26+1)^(FI$20)/((1+$K26)^(FI$20))</f>
        <v>0</v>
      </c>
      <c r="FJ26" s="151">
        <f>'Allgemeine Unternehmensdaten'!$G$13*FJ$22*$F12*$F26*($N26+1)^(FJ$20)/((1+$K26)^(FJ$20))</f>
        <v>0</v>
      </c>
      <c r="FK26" s="151">
        <f>'Allgemeine Unternehmensdaten'!$G$13*FK$22*$F12*$F26*($N26+1)^(FK$20)/((1+$K26)^(FK$20))</f>
        <v>0</v>
      </c>
      <c r="FL26" s="151">
        <f>'Allgemeine Unternehmensdaten'!$G$13*FL$22*$F12*$F26*($N26+1)^(FL$20)/((1+$K26)^(FL$20))</f>
        <v>0</v>
      </c>
      <c r="FM26" s="151">
        <f>'Allgemeine Unternehmensdaten'!$G$13*FM$22*$F12*$F26*($N26+1)^(FM$20)/((1+$K26)^(FM$20))</f>
        <v>0</v>
      </c>
      <c r="FN26" s="151">
        <f>'Allgemeine Unternehmensdaten'!$G$13*FN$22*$F12*$F26*($N26+1)^(FN$20)/((1+$K26)^(FN$20))</f>
        <v>0</v>
      </c>
      <c r="FO26" s="151">
        <f>'Allgemeine Unternehmensdaten'!$G$13*FO$22*$F12*$F26*($N26+1)^(FO$20)/((1+$K26)^(FO$20))</f>
        <v>0</v>
      </c>
      <c r="FP26" s="151">
        <f>'Allgemeine Unternehmensdaten'!$G$13*FP$22*$F12*$F26*($N26+1)^(FP$20)/((1+$K26)^(FP$20))</f>
        <v>0</v>
      </c>
      <c r="FQ26" s="151">
        <f>'Allgemeine Unternehmensdaten'!$G$13*FQ$22*$F12*$F26*($N26+1)^(FQ$20)/((1+$K26)^(FQ$20))</f>
        <v>0</v>
      </c>
      <c r="FR26" s="151">
        <f>'Allgemeine Unternehmensdaten'!$G$13*FR$22*$F12*$F26*($N26+1)^(FR$20)/((1+$K26)^(FR$20))</f>
        <v>0</v>
      </c>
      <c r="FS26" s="151">
        <f>'Allgemeine Unternehmensdaten'!$G$13*FS$22*$F12*$F26*($N26+1)^(FS$20)/((1+$K26)^(FS$20))</f>
        <v>0</v>
      </c>
      <c r="FT26" s="151">
        <f>'Allgemeine Unternehmensdaten'!$G$13*FT$22*$F12*$F26*($N26+1)^(FT$20)/((1+$K26)^(FT$20))</f>
        <v>0</v>
      </c>
      <c r="FU26" s="151">
        <f>'Allgemeine Unternehmensdaten'!$G$13*FU$22*$F12*$F26*($N26+1)^(FU$20)/((1+$K26)^(FU$20))</f>
        <v>0</v>
      </c>
      <c r="FV26" s="151">
        <f>'Allgemeine Unternehmensdaten'!$G$13*FV$22*$F12*$F26*($N26+1)^(FV$20)/((1+$K26)^(FV$20))</f>
        <v>0</v>
      </c>
      <c r="FW26" s="151">
        <f>'Allgemeine Unternehmensdaten'!$G$13*FW$22*$F12*$F26*($N26+1)^(FW$20)/((1+$K26)^(FW$20))</f>
        <v>0</v>
      </c>
      <c r="FX26" s="151">
        <f>'Allgemeine Unternehmensdaten'!$G$13*FX$22*$F12*$F26*($N26+1)^(FX$20)/((1+$K26)^(FX$20))</f>
        <v>0</v>
      </c>
      <c r="FY26" s="151">
        <f>'Allgemeine Unternehmensdaten'!$G$13*FY$22*$F12*$F26*($N26+1)^(FY$20)/((1+$K26)^(FY$20))</f>
        <v>0</v>
      </c>
      <c r="FZ26" s="151">
        <f>'Allgemeine Unternehmensdaten'!$G$13*FZ$22*$F12*$F26*($N26+1)^(FZ$20)/((1+$K26)^(FZ$20))</f>
        <v>0</v>
      </c>
      <c r="GA26" s="151">
        <f>'Allgemeine Unternehmensdaten'!$G$13*GA$22*$F12*$F26*($N26+1)^(GA$20)/((1+$K26)^(GA$20))</f>
        <v>0</v>
      </c>
      <c r="GB26" s="151">
        <f>'Allgemeine Unternehmensdaten'!$G$13*GB$22*$F12*$F26*($N26+1)^(GB$20)/((1+$K26)^(GB$20))</f>
        <v>0</v>
      </c>
    </row>
    <row r="27" spans="1:184" ht="17.25" customHeight="1" x14ac:dyDescent="0.5">
      <c r="A27" s="88"/>
      <c r="B27" s="322"/>
      <c r="C27" s="167" t="str">
        <f>"Einsparung "&amp;'Allgemeine Unternehmensdaten'!C30&amp;" in %"</f>
        <v>Einsparung Flexibler Kostenfaktor in %</v>
      </c>
      <c r="D27" s="161">
        <f t="shared" si="12"/>
        <v>0</v>
      </c>
      <c r="E27" s="161">
        <f t="shared" si="12"/>
        <v>0</v>
      </c>
      <c r="F27" s="161">
        <f t="shared" si="12"/>
        <v>0</v>
      </c>
      <c r="G27" s="1">
        <v>99</v>
      </c>
      <c r="H27" s="143">
        <v>99</v>
      </c>
      <c r="I27" s="154">
        <v>0</v>
      </c>
      <c r="J27" s="155">
        <v>0</v>
      </c>
      <c r="K27" s="156">
        <v>0</v>
      </c>
      <c r="L27" s="168">
        <f>L23</f>
        <v>0.04</v>
      </c>
      <c r="M27" s="165">
        <f>M23</f>
        <v>0.03</v>
      </c>
      <c r="N27" s="166">
        <f>N23</f>
        <v>0.02</v>
      </c>
      <c r="R27" s="158" t="str">
        <f>"Einspaarung "&amp;'Allgemeine Unternehmensdaten'!C30&amp; "in Euro"</f>
        <v>Einspaarung Flexibler Kostenfaktorin Euro</v>
      </c>
      <c r="S27" s="151">
        <f>'Allgemeine Unternehmensdaten'!$E$30*S$22*$E13*$E27*($M27+1)^(S$20)/((1+$J27)^(S$20))</f>
        <v>0</v>
      </c>
      <c r="T27" s="151">
        <f>'Allgemeine Unternehmensdaten'!$E$30*T$22*$E13*$E27*($M27+1)^(T$20)/((1+$J27)^(T$20))</f>
        <v>0</v>
      </c>
      <c r="U27" s="151">
        <f>'Allgemeine Unternehmensdaten'!$E$30*U$22*$E13*$E27*($M27+1)^(U$20)/((1+$J27)^(U$20))</f>
        <v>0</v>
      </c>
      <c r="V27" s="151">
        <f>'Allgemeine Unternehmensdaten'!$E$30*V$22*$E13*$E27*($M27+1)^(V$20)/((1+$J27)^(V$20))</f>
        <v>0</v>
      </c>
      <c r="W27" s="151">
        <f>'Allgemeine Unternehmensdaten'!$E$30*W$22*$E13*$E27*($M27+1)^(W$20)/((1+$J27)^(W$20))</f>
        <v>0</v>
      </c>
      <c r="X27" s="151">
        <f>'Allgemeine Unternehmensdaten'!$E$30*X$22*$E13*$E27*($M27+1)^(X$20)/((1+$J27)^(X$20))</f>
        <v>0</v>
      </c>
      <c r="Y27" s="151">
        <f>'Allgemeine Unternehmensdaten'!$E$30*Y$22*$E13*$E27*($M27+1)^(Y$20)/((1+$J27)^(Y$20))</f>
        <v>0</v>
      </c>
      <c r="Z27" s="151">
        <f>'Allgemeine Unternehmensdaten'!$E$30*Z$22*$E13*$E27*($M27+1)^(Z$20)/((1+$J27)^(Z$20))</f>
        <v>0</v>
      </c>
      <c r="AA27" s="151">
        <f>'Allgemeine Unternehmensdaten'!$E$30*AA$22*$E13*$E27*($M27+1)^(AA$20)/((1+$J27)^(AA$20))</f>
        <v>0</v>
      </c>
      <c r="AB27" s="151">
        <f>'Allgemeine Unternehmensdaten'!$E$30*AB$22*$E13*$E27*($M27+1)^(AB$20)/((1+$J27)^(AB$20))</f>
        <v>0</v>
      </c>
      <c r="AC27" s="151">
        <f>'Allgemeine Unternehmensdaten'!$E$30*AC$22*$E13*$E27*($M27+1)^(AC$20)/((1+$J27)^(AC$20))</f>
        <v>0</v>
      </c>
      <c r="AD27" s="151">
        <f>'Allgemeine Unternehmensdaten'!$E$30*AD$22*$E13*$E27*($M27+1)^(AD$20)/((1+$J27)^(AD$20))</f>
        <v>0</v>
      </c>
      <c r="AE27" s="151">
        <f>'Allgemeine Unternehmensdaten'!$E$30*AE$22*$E13*$E27*($M27+1)^(AE$20)/((1+$J27)^(AE$20))</f>
        <v>0</v>
      </c>
      <c r="AF27" s="151">
        <f>'Allgemeine Unternehmensdaten'!$E$30*AF$22*$E13*$E27*($M27+1)^(AF$20)/((1+$J27)^(AF$20))</f>
        <v>0</v>
      </c>
      <c r="AG27" s="151">
        <f>'Allgemeine Unternehmensdaten'!$E$30*AG$22*$E13*$E27*($M27+1)^(AG$20)/((1+$J27)^(AG$20))</f>
        <v>0</v>
      </c>
      <c r="AH27" s="151">
        <f>'Allgemeine Unternehmensdaten'!$E$30*AH$22*$E13*$E27*($M27+1)^(AH$20)/((1+$J27)^(AH$20))</f>
        <v>0</v>
      </c>
      <c r="AI27" s="151">
        <f>'Allgemeine Unternehmensdaten'!$E$30*AI$22*$E13*$E27*($M27+1)^(AI$20)/((1+$J27)^(AI$20))</f>
        <v>0</v>
      </c>
      <c r="AJ27" s="151">
        <f>'Allgemeine Unternehmensdaten'!$E$30*AJ$22*$E13*$E27*($M27+1)^(AJ$20)/((1+$J27)^(AJ$20))</f>
        <v>0</v>
      </c>
      <c r="AK27" s="151">
        <f>'Allgemeine Unternehmensdaten'!$E$30*AK$22*$E13*$E27*($M27+1)^(AK$20)/((1+$J27)^(AK$20))</f>
        <v>0</v>
      </c>
      <c r="AL27" s="151">
        <f>'Allgemeine Unternehmensdaten'!$E$30*AL$22*$E13*$E27*($M27+1)^(AL$20)/((1+$J27)^(AL$20))</f>
        <v>0</v>
      </c>
      <c r="AM27" s="151">
        <f>'Allgemeine Unternehmensdaten'!$E$30*AM$22*$E13*$E27*($M27+1)^(AM$20)/((1+$J27)^(AM$20))</f>
        <v>0</v>
      </c>
      <c r="AN27" s="151">
        <f>'Allgemeine Unternehmensdaten'!$E$30*AN$22*$E13*$E27*($M27+1)^(AN$20)/((1+$J27)^(AN$20))</f>
        <v>0</v>
      </c>
      <c r="AO27" s="151">
        <f>'Allgemeine Unternehmensdaten'!$E$30*AO$22*$E13*$E27*($M27+1)^(AO$20)/((1+$J27)^(AO$20))</f>
        <v>0</v>
      </c>
      <c r="AP27" s="151">
        <f>'Allgemeine Unternehmensdaten'!$E$30*AP$22*$E13*$E27*($M27+1)^(AP$20)/((1+$J27)^(AP$20))</f>
        <v>0</v>
      </c>
      <c r="AQ27" s="151">
        <f>'Allgemeine Unternehmensdaten'!$E$30*AQ$22*$E13*$E27*($M27+1)^(AQ$20)/((1+$J27)^(AQ$20))</f>
        <v>0</v>
      </c>
      <c r="AR27" s="151">
        <f>'Allgemeine Unternehmensdaten'!$E$30*AR$22*$E13*$E27*($M27+1)^(AR$20)/((1+$J27)^(AR$20))</f>
        <v>0</v>
      </c>
      <c r="AS27" s="151">
        <f>'Allgemeine Unternehmensdaten'!$E$30*AS$22*$E13*$E27*($M27+1)^(AS$20)/((1+$J27)^(AS$20))</f>
        <v>0</v>
      </c>
      <c r="AT27" s="151">
        <f>'Allgemeine Unternehmensdaten'!$E$30*AT$22*$E13*$E27*($M27+1)^(AT$20)/((1+$J27)^(AT$20))</f>
        <v>0</v>
      </c>
      <c r="AU27" s="151">
        <f>'Allgemeine Unternehmensdaten'!$E$30*AU$22*$E13*$E27*($M27+1)^(AU$20)/((1+$J27)^(AU$20))</f>
        <v>0</v>
      </c>
      <c r="AV27" s="151">
        <f>'Allgemeine Unternehmensdaten'!$E$30*AV$22*$E13*$E27*($M27+1)^(AV$20)/((1+$J27)^(AV$20))</f>
        <v>0</v>
      </c>
      <c r="AW27" s="151">
        <f>'Allgemeine Unternehmensdaten'!$E$30*AW$22*$E13*$E27*($M27+1)^(AW$20)/((1+$J27)^(AW$20))</f>
        <v>0</v>
      </c>
      <c r="AX27" s="151">
        <f>'Allgemeine Unternehmensdaten'!$E$30*AX$22*$E13*$E27*($M27+1)^(AX$20)/((1+$J27)^(AX$20))</f>
        <v>0</v>
      </c>
      <c r="AY27" s="151">
        <f>'Allgemeine Unternehmensdaten'!$E$30*AY$22*$E13*$E27*($M27+1)^(AY$20)/((1+$J27)^(AY$20))</f>
        <v>0</v>
      </c>
      <c r="AZ27" s="151">
        <f>'Allgemeine Unternehmensdaten'!$E$30*AZ$22*$E13*$E27*($M27+1)^(AZ$20)/((1+$J27)^(AZ$20))</f>
        <v>0</v>
      </c>
      <c r="BA27" s="151">
        <f>'Allgemeine Unternehmensdaten'!$E$30*BA$22*$E13*$E27*($M27+1)^(BA$20)/((1+$J27)^(BA$20))</f>
        <v>0</v>
      </c>
      <c r="BB27" s="151">
        <f>'Allgemeine Unternehmensdaten'!$E$30*BB$22*$E13*$E27*($M27+1)^(BB$20)/((1+$J27)^(BB$20))</f>
        <v>0</v>
      </c>
      <c r="BC27" s="151">
        <f>'Allgemeine Unternehmensdaten'!$E$30*BC$22*$E13*$E27*($M27+1)^(BC$20)/((1+$J27)^(BC$20))</f>
        <v>0</v>
      </c>
      <c r="BD27" s="151">
        <f>'Allgemeine Unternehmensdaten'!$E$30*BD$22*$E13*$E27*($M27+1)^(BD$20)/((1+$J27)^(BD$20))</f>
        <v>0</v>
      </c>
      <c r="BE27" s="151">
        <f>'Allgemeine Unternehmensdaten'!$E$30*BE$22*$E13*$E27*($M27+1)^(BE$20)/((1+$J27)^(BE$20))</f>
        <v>0</v>
      </c>
      <c r="BF27" s="151">
        <f>'Allgemeine Unternehmensdaten'!$E$30*BF$22*$E13*$E27*($M27+1)^(BF$20)/((1+$J27)^(BF$20))</f>
        <v>0</v>
      </c>
      <c r="BG27" s="151">
        <f>'Allgemeine Unternehmensdaten'!$E$30*BG$22*$E13*$E27*($M27+1)^(BG$20)/((1+$J27)^(BG$20))</f>
        <v>0</v>
      </c>
      <c r="BH27" s="151">
        <f>'Allgemeine Unternehmensdaten'!$E$30*BH$22*$E13*$E27*($M27+1)^(BH$20)/((1+$J27)^(BH$20))</f>
        <v>0</v>
      </c>
      <c r="BI27" s="151">
        <f>'Allgemeine Unternehmensdaten'!$E$30*BI$22*$E13*$E27*($M27+1)^(BI$20)/((1+$J27)^(BI$20))</f>
        <v>0</v>
      </c>
      <c r="BJ27" s="151">
        <f>'Allgemeine Unternehmensdaten'!$E$30*BJ$22*$E13*$E27*($M27+1)^(BJ$20)/((1+$J27)^(BJ$20))</f>
        <v>0</v>
      </c>
      <c r="BK27" s="151">
        <f>'Allgemeine Unternehmensdaten'!$E$30*BK$22*$E13*$E27*($M27+1)^(BK$20)/((1+$J27)^(BK$20))</f>
        <v>0</v>
      </c>
      <c r="BL27" s="151">
        <f>'Allgemeine Unternehmensdaten'!$E$30*BL$22*$E13*$E27*($M27+1)^(BL$20)/((1+$J27)^(BL$20))</f>
        <v>0</v>
      </c>
      <c r="BM27" s="151">
        <f>'Allgemeine Unternehmensdaten'!$E$30*BM$22*$E13*$E27*($M27+1)^(BM$20)/((1+$J27)^(BM$20))</f>
        <v>0</v>
      </c>
      <c r="BN27" s="151">
        <f>'Allgemeine Unternehmensdaten'!$E$30*BN$22*$E13*$E27*($M27+1)^(BN$20)/((1+$J27)^(BN$20))</f>
        <v>0</v>
      </c>
      <c r="BO27" s="151">
        <f>'Allgemeine Unternehmensdaten'!$E$30*BO$22*$E13*$E27*($M27+1)^(BO$20)/((1+$J27)^(BO$20))</f>
        <v>0</v>
      </c>
      <c r="BP27" s="151">
        <f>'Allgemeine Unternehmensdaten'!$E$30*BP$22*$E13*$E27*($M27+1)^(BP$20)/((1+$J27)^(BP$20))</f>
        <v>0</v>
      </c>
      <c r="BQ27" s="151">
        <f>'Allgemeine Unternehmensdaten'!$E$30*BQ$22*$E13*$E27*($M27+1)^(BQ$20)/((1+$J27)^(BQ$20))</f>
        <v>0</v>
      </c>
      <c r="BR27" s="151">
        <f>'Allgemeine Unternehmensdaten'!$E$30*BR$22*$E13*$E27*($M27+1)^(BR$20)/((1+$J27)^(BR$20))</f>
        <v>0</v>
      </c>
      <c r="BS27" s="151">
        <f>'Allgemeine Unternehmensdaten'!$E$30*BS$22*$E13*$E27*($M27+1)^(BS$20)/((1+$J27)^(BS$20))</f>
        <v>0</v>
      </c>
      <c r="BT27" s="151">
        <f>'Allgemeine Unternehmensdaten'!$E$30*BT$22*$E13*$E27*($M27+1)^(BT$20)/((1+$J27)^(BT$20))</f>
        <v>0</v>
      </c>
      <c r="BV27" s="158" t="str">
        <f>R27</f>
        <v>Einspaarung Flexibler Kostenfaktorin Euro</v>
      </c>
      <c r="BW27" s="151">
        <f>'Allgemeine Unternehmensdaten'!$E$30*BW$22*$D13*$D27*($L27+1)^(BW$20)/((1+$I27)^(BW$20))</f>
        <v>0</v>
      </c>
      <c r="BX27" s="151">
        <f>'Allgemeine Unternehmensdaten'!$E$30*BX$22*$D13*$D27*($L27+1)^(BX$20)/((1+$I27)^(BX$20))</f>
        <v>0</v>
      </c>
      <c r="BY27" s="151">
        <f>'Allgemeine Unternehmensdaten'!$E$30*BY$22*$D13*$D27*($L27+1)^(BY$20)/((1+$I27)^(BY$20))</f>
        <v>0</v>
      </c>
      <c r="BZ27" s="151">
        <f>'Allgemeine Unternehmensdaten'!$E$30*BZ$22*$D13*$D27*($L27+1)^(BZ$20)/((1+$I27)^(BZ$20))</f>
        <v>0</v>
      </c>
      <c r="CA27" s="151">
        <f>'Allgemeine Unternehmensdaten'!$E$30*CA$22*$D13*$D27*($L27+1)^(CA$20)/((1+$I27)^(CA$20))</f>
        <v>0</v>
      </c>
      <c r="CB27" s="151">
        <f>'Allgemeine Unternehmensdaten'!$E$30*CB$22*$D13*$D27*($L27+1)^(CB$20)/((1+$I27)^(CB$20))</f>
        <v>0</v>
      </c>
      <c r="CC27" s="151">
        <f>'Allgemeine Unternehmensdaten'!$E$30*CC$22*$D13*$D27*($L27+1)^(CC$20)/((1+$I27)^(CC$20))</f>
        <v>0</v>
      </c>
      <c r="CD27" s="151">
        <f>'Allgemeine Unternehmensdaten'!$E$30*CD$22*$D13*$D27*($L27+1)^(CD$20)/((1+$I27)^(CD$20))</f>
        <v>0</v>
      </c>
      <c r="CE27" s="151">
        <f>'Allgemeine Unternehmensdaten'!$E$30*CE$22*$D13*$D27*($L27+1)^(CE$20)/((1+$I27)^(CE$20))</f>
        <v>0</v>
      </c>
      <c r="CF27" s="151">
        <f>'Allgemeine Unternehmensdaten'!$E$30*CF$22*$D13*$D27*($L27+1)^(CF$20)/((1+$I27)^(CF$20))</f>
        <v>0</v>
      </c>
      <c r="CG27" s="151">
        <f>'Allgemeine Unternehmensdaten'!$E$30*CG$22*$D13*$D27*($L27+1)^(CG$20)/((1+$I27)^(CG$20))</f>
        <v>0</v>
      </c>
      <c r="CH27" s="151">
        <f>'Allgemeine Unternehmensdaten'!$E$30*CH$22*$D13*$D27*($L27+1)^(CH$20)/((1+$I27)^(CH$20))</f>
        <v>0</v>
      </c>
      <c r="CI27" s="151">
        <f>'Allgemeine Unternehmensdaten'!$E$30*CI$22*$D13*$D27*($L27+1)^(CI$20)/((1+$I27)^(CI$20))</f>
        <v>0</v>
      </c>
      <c r="CJ27" s="151">
        <f>'Allgemeine Unternehmensdaten'!$E$30*CJ$22*$D13*$D27*($L27+1)^(CJ$20)/((1+$I27)^(CJ$20))</f>
        <v>0</v>
      </c>
      <c r="CK27" s="151">
        <f>'Allgemeine Unternehmensdaten'!$E$30*CK$22*$D13*$D27*($L27+1)^(CK$20)/((1+$I27)^(CK$20))</f>
        <v>0</v>
      </c>
      <c r="CL27" s="151">
        <f>'Allgemeine Unternehmensdaten'!$E$30*CL$22*$D13*$D27*($L27+1)^(CL$20)/((1+$I27)^(CL$20))</f>
        <v>0</v>
      </c>
      <c r="CM27" s="151">
        <f>'Allgemeine Unternehmensdaten'!$E$30*CM$22*$D13*$D27*($L27+1)^(CM$20)/((1+$I27)^(CM$20))</f>
        <v>0</v>
      </c>
      <c r="CN27" s="151">
        <f>'Allgemeine Unternehmensdaten'!$E$30*CN$22*$D13*$D27*($L27+1)^(CN$20)/((1+$I27)^(CN$20))</f>
        <v>0</v>
      </c>
      <c r="CO27" s="151">
        <f>'Allgemeine Unternehmensdaten'!$E$30*CO$22*$D13*$D27*($L27+1)^(CO$20)/((1+$I27)^(CO$20))</f>
        <v>0</v>
      </c>
      <c r="CP27" s="151">
        <f>'Allgemeine Unternehmensdaten'!$E$30*CP$22*$D13*$D27*($L27+1)^(CP$20)/((1+$I27)^(CP$20))</f>
        <v>0</v>
      </c>
      <c r="CQ27" s="151">
        <f>'Allgemeine Unternehmensdaten'!$E$30*CQ$22*$D13*$D27*($L27+1)^(CQ$20)/((1+$I27)^(CQ$20))</f>
        <v>0</v>
      </c>
      <c r="CR27" s="151">
        <f>'Allgemeine Unternehmensdaten'!$E$30*CR$22*$D13*$D27*($L27+1)^(CR$20)/((1+$I27)^(CR$20))</f>
        <v>0</v>
      </c>
      <c r="CS27" s="151">
        <f>'Allgemeine Unternehmensdaten'!$E$30*CS$22*$D13*$D27*($L27+1)^(CS$20)/((1+$I27)^(CS$20))</f>
        <v>0</v>
      </c>
      <c r="CT27" s="151">
        <f>'Allgemeine Unternehmensdaten'!$E$30*CT$22*$D13*$D27*($L27+1)^(CT$20)/((1+$I27)^(CT$20))</f>
        <v>0</v>
      </c>
      <c r="CU27" s="151">
        <f>'Allgemeine Unternehmensdaten'!$E$30*CU$22*$D13*$D27*($L27+1)^(CU$20)/((1+$I27)^(CU$20))</f>
        <v>0</v>
      </c>
      <c r="CV27" s="151">
        <f>'Allgemeine Unternehmensdaten'!$E$30*CV$22*$D13*$D27*($L27+1)^(CV$20)/((1+$I27)^(CV$20))</f>
        <v>0</v>
      </c>
      <c r="CW27" s="151">
        <f>'Allgemeine Unternehmensdaten'!$E$30*CW$22*$D13*$D27*($L27+1)^(CW$20)/((1+$I27)^(CW$20))</f>
        <v>0</v>
      </c>
      <c r="CX27" s="151">
        <f>'Allgemeine Unternehmensdaten'!$E$30*CX$22*$D13*$D27*($L27+1)^(CX$20)/((1+$I27)^(CX$20))</f>
        <v>0</v>
      </c>
      <c r="CY27" s="151">
        <f>'Allgemeine Unternehmensdaten'!$E$30*CY$22*$D13*$D27*($L27+1)^(CY$20)/((1+$I27)^(CY$20))</f>
        <v>0</v>
      </c>
      <c r="CZ27" s="151">
        <f>'Allgemeine Unternehmensdaten'!$E$30*CZ$22*$D13*$D27*($L27+1)^(CZ$20)/((1+$I27)^(CZ$20))</f>
        <v>0</v>
      </c>
      <c r="DA27" s="151">
        <f>'Allgemeine Unternehmensdaten'!$E$30*DA$22*$D13*$D27*($L27+1)^(DA$20)/((1+$I27)^(DA$20))</f>
        <v>0</v>
      </c>
      <c r="DB27" s="151">
        <f>'Allgemeine Unternehmensdaten'!$E$30*DB$22*$D13*$D27*($L27+1)^(DB$20)/((1+$I27)^(DB$20))</f>
        <v>0</v>
      </c>
      <c r="DC27" s="151">
        <f>'Allgemeine Unternehmensdaten'!$E$30*DC$22*$D13*$D27*($L27+1)^(DC$20)/((1+$I27)^(DC$20))</f>
        <v>0</v>
      </c>
      <c r="DD27" s="151">
        <f>'Allgemeine Unternehmensdaten'!$E$30*DD$22*$D13*$D27*($L27+1)^(DD$20)/((1+$I27)^(DD$20))</f>
        <v>0</v>
      </c>
      <c r="DE27" s="151">
        <f>'Allgemeine Unternehmensdaten'!$E$30*DE$22*$D13*$D27*($L27+1)^(DE$20)/((1+$I27)^(DE$20))</f>
        <v>0</v>
      </c>
      <c r="DF27" s="151">
        <f>'Allgemeine Unternehmensdaten'!$E$30*DF$22*$D13*$D27*($L27+1)^(DF$20)/((1+$I27)^(DF$20))</f>
        <v>0</v>
      </c>
      <c r="DG27" s="151">
        <f>'Allgemeine Unternehmensdaten'!$E$30*DG$22*$D13*$D27*($L27+1)^(DG$20)/((1+$I27)^(DG$20))</f>
        <v>0</v>
      </c>
      <c r="DH27" s="151">
        <f>'Allgemeine Unternehmensdaten'!$E$30*DH$22*$D13*$D27*($L27+1)^(DH$20)/((1+$I27)^(DH$20))</f>
        <v>0</v>
      </c>
      <c r="DI27" s="151">
        <f>'Allgemeine Unternehmensdaten'!$E$30*DI$22*$D13*$D27*($L27+1)^(DI$20)/((1+$I27)^(DI$20))</f>
        <v>0</v>
      </c>
      <c r="DJ27" s="151">
        <f>'Allgemeine Unternehmensdaten'!$E$30*DJ$22*$D13*$D27*($L27+1)^(DJ$20)/((1+$I27)^(DJ$20))</f>
        <v>0</v>
      </c>
      <c r="DK27" s="151">
        <f>'Allgemeine Unternehmensdaten'!$E$30*DK$22*$D13*$D27*($L27+1)^(DK$20)/((1+$I27)^(DK$20))</f>
        <v>0</v>
      </c>
      <c r="DL27" s="151">
        <f>'Allgemeine Unternehmensdaten'!$E$30*DL$22*$D13*$D27*($L27+1)^(DL$20)/((1+$I27)^(DL$20))</f>
        <v>0</v>
      </c>
      <c r="DM27" s="151">
        <f>'Allgemeine Unternehmensdaten'!$E$30*DM$22*$D13*$D27*($L27+1)^(DM$20)/((1+$I27)^(DM$20))</f>
        <v>0</v>
      </c>
      <c r="DN27" s="151">
        <f>'Allgemeine Unternehmensdaten'!$E$30*DN$22*$D13*$D27*($L27+1)^(DN$20)/((1+$I27)^(DN$20))</f>
        <v>0</v>
      </c>
      <c r="DO27" s="151">
        <f>'Allgemeine Unternehmensdaten'!$E$30*DO$22*$D13*$D27*($L27+1)^(DO$20)/((1+$I27)^(DO$20))</f>
        <v>0</v>
      </c>
      <c r="DP27" s="151">
        <f>'Allgemeine Unternehmensdaten'!$E$30*DP$22*$D13*$D27*($L27+1)^(DP$20)/((1+$I27)^(DP$20))</f>
        <v>0</v>
      </c>
      <c r="DQ27" s="151">
        <f>'Allgemeine Unternehmensdaten'!$E$30*DQ$22*$D13*$D27*($L27+1)^(DQ$20)/((1+$I27)^(DQ$20))</f>
        <v>0</v>
      </c>
      <c r="DR27" s="151">
        <f>'Allgemeine Unternehmensdaten'!$E$30*DR$22*$D13*$D27*($L27+1)^(DR$20)/((1+$I27)^(DR$20))</f>
        <v>0</v>
      </c>
      <c r="DS27" s="151">
        <f>'Allgemeine Unternehmensdaten'!$E$30*DS$22*$D13*$D27*($L27+1)^(DS$20)/((1+$I27)^(DS$20))</f>
        <v>0</v>
      </c>
      <c r="DT27" s="151">
        <f>'Allgemeine Unternehmensdaten'!$E$30*DT$22*$D13*$D27*($L27+1)^(DT$20)/((1+$I27)^(DT$20))</f>
        <v>0</v>
      </c>
      <c r="DU27" s="151">
        <f>'Allgemeine Unternehmensdaten'!$E$30*DU$22*$D13*$D27*($L27+1)^(DU$20)/((1+$I27)^(DU$20))</f>
        <v>0</v>
      </c>
      <c r="DV27" s="151">
        <f>'Allgemeine Unternehmensdaten'!$E$30*DV$22*$D13*$D27*($L27+1)^(DV$20)/((1+$I27)^(DV$20))</f>
        <v>0</v>
      </c>
      <c r="DW27" s="151">
        <f>'Allgemeine Unternehmensdaten'!$E$30*DW$22*$D13*$D27*($L27+1)^(DW$20)/((1+$I27)^(DW$20))</f>
        <v>0</v>
      </c>
      <c r="DX27" s="151">
        <f>'Allgemeine Unternehmensdaten'!$E$30*DX$22*$D13*$D27*($L27+1)^(DX$20)/((1+$I27)^(DX$20))</f>
        <v>0</v>
      </c>
      <c r="DZ27" s="150" t="s">
        <v>132</v>
      </c>
      <c r="EA27" s="151">
        <f>'Allgemeine Unternehmensdaten'!$E$30*EA$22*$F13*$F27*($N27+1)^(EA$20)/((1+$K27)^(EA$20))</f>
        <v>0</v>
      </c>
      <c r="EB27" s="151">
        <f>'Allgemeine Unternehmensdaten'!$E$30*EB$22*$F13*$F27*($N27+1)^(EB$20)/((1+$K27)^(EB$20))</f>
        <v>0</v>
      </c>
      <c r="EC27" s="151">
        <f>'Allgemeine Unternehmensdaten'!$E$30*EC$22*$F13*$F27*($N27+1)^(EC$20)/((1+$K27)^(EC$20))</f>
        <v>0</v>
      </c>
      <c r="ED27" s="151">
        <f>'Allgemeine Unternehmensdaten'!$E$30*ED$22*$F13*$F27*($N27+1)^(ED$20)/((1+$K27)^(ED$20))</f>
        <v>0</v>
      </c>
      <c r="EE27" s="151">
        <f>'Allgemeine Unternehmensdaten'!$E$30*EE$22*$F13*$F27*($N27+1)^(EE$20)/((1+$K27)^(EE$20))</f>
        <v>0</v>
      </c>
      <c r="EF27" s="151">
        <f>'Allgemeine Unternehmensdaten'!$E$30*EF$22*$F13*$F27*($N27+1)^(EF$20)/((1+$K27)^(EF$20))</f>
        <v>0</v>
      </c>
      <c r="EG27" s="151">
        <f>'Allgemeine Unternehmensdaten'!$E$30*EG$22*$F13*$F27*($N27+1)^(EG$20)/((1+$K27)^(EG$20))</f>
        <v>0</v>
      </c>
      <c r="EH27" s="151">
        <f>'Allgemeine Unternehmensdaten'!$E$30*EH$22*$F13*$F27*($N27+1)^(EH$20)/((1+$K27)^(EH$20))</f>
        <v>0</v>
      </c>
      <c r="EI27" s="151">
        <f>'Allgemeine Unternehmensdaten'!$E$30*EI$22*$F13*$F27*($N27+1)^(EI$20)/((1+$K27)^(EI$20))</f>
        <v>0</v>
      </c>
      <c r="EJ27" s="151">
        <f>'Allgemeine Unternehmensdaten'!$E$30*EJ$22*$F13*$F27*($N27+1)^(EJ$20)/((1+$K27)^(EJ$20))</f>
        <v>0</v>
      </c>
      <c r="EK27" s="151">
        <f>'Allgemeine Unternehmensdaten'!$E$30*EK$22*$F13*$F27*($N27+1)^(EK$20)/((1+$K27)^(EK$20))</f>
        <v>0</v>
      </c>
      <c r="EL27" s="151">
        <f>'Allgemeine Unternehmensdaten'!$E$30*EL$22*$F13*$F27*($N27+1)^(EL$20)/((1+$K27)^(EL$20))</f>
        <v>0</v>
      </c>
      <c r="EM27" s="151">
        <f>'Allgemeine Unternehmensdaten'!$E$30*EM$22*$F13*$F27*($N27+1)^(EM$20)/((1+$K27)^(EM$20))</f>
        <v>0</v>
      </c>
      <c r="EN27" s="151">
        <f>'Allgemeine Unternehmensdaten'!$E$30*EN$22*$F13*$F27*($N27+1)^(EN$20)/((1+$K27)^(EN$20))</f>
        <v>0</v>
      </c>
      <c r="EO27" s="151">
        <f>'Allgemeine Unternehmensdaten'!$E$30*EO$22*$F13*$F27*($N27+1)^(EO$20)/((1+$K27)^(EO$20))</f>
        <v>0</v>
      </c>
      <c r="EP27" s="151">
        <f>'Allgemeine Unternehmensdaten'!$E$30*EP$22*$F13*$F27*($N27+1)^(EP$20)/((1+$K27)^(EP$20))</f>
        <v>0</v>
      </c>
      <c r="EQ27" s="151">
        <f>'Allgemeine Unternehmensdaten'!$E$30*EQ$22*$F13*$F27*($N27+1)^(EQ$20)/((1+$K27)^(EQ$20))</f>
        <v>0</v>
      </c>
      <c r="ER27" s="151">
        <f>'Allgemeine Unternehmensdaten'!$E$30*ER$22*$F13*$F27*($N27+1)^(ER$20)/((1+$K27)^(ER$20))</f>
        <v>0</v>
      </c>
      <c r="ES27" s="151">
        <f>'Allgemeine Unternehmensdaten'!$E$30*ES$22*$F13*$F27*($N27+1)^(ES$20)/((1+$K27)^(ES$20))</f>
        <v>0</v>
      </c>
      <c r="ET27" s="151">
        <f>'Allgemeine Unternehmensdaten'!$E$30*ET$22*$F13*$F27*($N27+1)^(ET$20)/((1+$K27)^(ET$20))</f>
        <v>0</v>
      </c>
      <c r="EU27" s="151">
        <f>'Allgemeine Unternehmensdaten'!$E$30*EU$22*$F13*$F27*($N27+1)^(EU$20)/((1+$K27)^(EU$20))</f>
        <v>0</v>
      </c>
      <c r="EV27" s="151">
        <f>'Allgemeine Unternehmensdaten'!$E$30*EV$22*$F13*$F27*($N27+1)^(EV$20)/((1+$K27)^(EV$20))</f>
        <v>0</v>
      </c>
      <c r="EW27" s="151">
        <f>'Allgemeine Unternehmensdaten'!$E$30*EW$22*$F13*$F27*($N27+1)^(EW$20)/((1+$K27)^(EW$20))</f>
        <v>0</v>
      </c>
      <c r="EX27" s="151">
        <f>'Allgemeine Unternehmensdaten'!$E$30*EX$22*$F13*$F27*($N27+1)^(EX$20)/((1+$K27)^(EX$20))</f>
        <v>0</v>
      </c>
      <c r="EY27" s="151">
        <f>'Allgemeine Unternehmensdaten'!$E$30*EY$22*$F13*$F27*($N27+1)^(EY$20)/((1+$K27)^(EY$20))</f>
        <v>0</v>
      </c>
      <c r="EZ27" s="151">
        <f>'Allgemeine Unternehmensdaten'!$E$30*EZ$22*$F13*$F27*($N27+1)^(EZ$20)/((1+$K27)^(EZ$20))</f>
        <v>0</v>
      </c>
      <c r="FA27" s="151">
        <f>'Allgemeine Unternehmensdaten'!$E$30*FA$22*$F13*$F27*($N27+1)^(FA$20)/((1+$K27)^(FA$20))</f>
        <v>0</v>
      </c>
      <c r="FB27" s="151">
        <f>'Allgemeine Unternehmensdaten'!$E$30*FB$22*$F13*$F27*($N27+1)^(FB$20)/((1+$K27)^(FB$20))</f>
        <v>0</v>
      </c>
      <c r="FC27" s="151">
        <f>'Allgemeine Unternehmensdaten'!$E$30*FC$22*$F13*$F27*($N27+1)^(FC$20)/((1+$K27)^(FC$20))</f>
        <v>0</v>
      </c>
      <c r="FD27" s="151">
        <f>'Allgemeine Unternehmensdaten'!$E$30*FD$22*$F13*$F27*($N27+1)^(FD$20)/((1+$K27)^(FD$20))</f>
        <v>0</v>
      </c>
      <c r="FE27" s="151">
        <f>'Allgemeine Unternehmensdaten'!$E$30*FE$22*$F13*$F27*($N27+1)^(FE$20)/((1+$K27)^(FE$20))</f>
        <v>0</v>
      </c>
      <c r="FF27" s="151">
        <f>'Allgemeine Unternehmensdaten'!$E$30*FF$22*$F13*$F27*($N27+1)^(FF$20)/((1+$K27)^(FF$20))</f>
        <v>0</v>
      </c>
      <c r="FG27" s="151">
        <f>'Allgemeine Unternehmensdaten'!$E$30*FG$22*$F13*$F27*($N27+1)^(FG$20)/((1+$K27)^(FG$20))</f>
        <v>0</v>
      </c>
      <c r="FH27" s="151">
        <f>'Allgemeine Unternehmensdaten'!$E$30*FH$22*$F13*$F27*($N27+1)^(FH$20)/((1+$K27)^(FH$20))</f>
        <v>0</v>
      </c>
      <c r="FI27" s="151">
        <f>'Allgemeine Unternehmensdaten'!$E$30*FI$22*$F13*$F27*($N27+1)^(FI$20)/((1+$K27)^(FI$20))</f>
        <v>0</v>
      </c>
      <c r="FJ27" s="151">
        <f>'Allgemeine Unternehmensdaten'!$E$30*FJ$22*$F13*$F27*($N27+1)^(FJ$20)/((1+$K27)^(FJ$20))</f>
        <v>0</v>
      </c>
      <c r="FK27" s="151">
        <f>'Allgemeine Unternehmensdaten'!$E$30*FK$22*$F13*$F27*($N27+1)^(FK$20)/((1+$K27)^(FK$20))</f>
        <v>0</v>
      </c>
      <c r="FL27" s="151">
        <f>'Allgemeine Unternehmensdaten'!$E$30*FL$22*$F13*$F27*($N27+1)^(FL$20)/((1+$K27)^(FL$20))</f>
        <v>0</v>
      </c>
      <c r="FM27" s="151">
        <f>'Allgemeine Unternehmensdaten'!$E$30*FM$22*$F13*$F27*($N27+1)^(FM$20)/((1+$K27)^(FM$20))</f>
        <v>0</v>
      </c>
      <c r="FN27" s="151">
        <f>'Allgemeine Unternehmensdaten'!$E$30*FN$22*$F13*$F27*($N27+1)^(FN$20)/((1+$K27)^(FN$20))</f>
        <v>0</v>
      </c>
      <c r="FO27" s="151">
        <f>'Allgemeine Unternehmensdaten'!$E$30*FO$22*$F13*$F27*($N27+1)^(FO$20)/((1+$K27)^(FO$20))</f>
        <v>0</v>
      </c>
      <c r="FP27" s="151">
        <f>'Allgemeine Unternehmensdaten'!$E$30*FP$22*$F13*$F27*($N27+1)^(FP$20)/((1+$K27)^(FP$20))</f>
        <v>0</v>
      </c>
      <c r="FQ27" s="151">
        <f>'Allgemeine Unternehmensdaten'!$E$30*FQ$22*$F13*$F27*($N27+1)^(FQ$20)/((1+$K27)^(FQ$20))</f>
        <v>0</v>
      </c>
      <c r="FR27" s="151">
        <f>'Allgemeine Unternehmensdaten'!$E$30*FR$22*$F13*$F27*($N27+1)^(FR$20)/((1+$K27)^(FR$20))</f>
        <v>0</v>
      </c>
      <c r="FS27" s="151">
        <f>'Allgemeine Unternehmensdaten'!$E$30*FS$22*$F13*$F27*($N27+1)^(FS$20)/((1+$K27)^(FS$20))</f>
        <v>0</v>
      </c>
      <c r="FT27" s="151">
        <f>'Allgemeine Unternehmensdaten'!$E$30*FT$22*$F13*$F27*($N27+1)^(FT$20)/((1+$K27)^(FT$20))</f>
        <v>0</v>
      </c>
      <c r="FU27" s="151">
        <f>'Allgemeine Unternehmensdaten'!$E$30*FU$22*$F13*$F27*($N27+1)^(FU$20)/((1+$K27)^(FU$20))</f>
        <v>0</v>
      </c>
      <c r="FV27" s="151">
        <f>'Allgemeine Unternehmensdaten'!$E$30*FV$22*$F13*$F27*($N27+1)^(FV$20)/((1+$K27)^(FV$20))</f>
        <v>0</v>
      </c>
      <c r="FW27" s="151">
        <f>'Allgemeine Unternehmensdaten'!$E$30*FW$22*$F13*$F27*($N27+1)^(FW$20)/((1+$K27)^(FW$20))</f>
        <v>0</v>
      </c>
      <c r="FX27" s="151">
        <f>'Allgemeine Unternehmensdaten'!$E$30*FX$22*$F13*$F27*($N27+1)^(FX$20)/((1+$K27)^(FX$20))</f>
        <v>0</v>
      </c>
      <c r="FY27" s="151">
        <f>'Allgemeine Unternehmensdaten'!$E$30*FY$22*$F13*$F27*($N27+1)^(FY$20)/((1+$K27)^(FY$20))</f>
        <v>0</v>
      </c>
      <c r="FZ27" s="151">
        <f>'Allgemeine Unternehmensdaten'!$E$30*FZ$22*$F13*$F27*($N27+1)^(FZ$20)/((1+$K27)^(FZ$20))</f>
        <v>0</v>
      </c>
      <c r="GA27" s="151">
        <f>'Allgemeine Unternehmensdaten'!$E$30*GA$22*$F13*$F27*($N27+1)^(GA$20)/((1+$K27)^(GA$20))</f>
        <v>0</v>
      </c>
      <c r="GB27" s="151">
        <f>'Allgemeine Unternehmensdaten'!$E$30*GB$22*$F13*$F27*($N27+1)^(GB$20)/((1+$K27)^(GB$20))</f>
        <v>0</v>
      </c>
    </row>
    <row r="28" spans="1:184" ht="17.25" customHeight="1" x14ac:dyDescent="0.5">
      <c r="A28" s="88"/>
      <c r="B28" s="322"/>
      <c r="C28" s="101" t="s">
        <v>228</v>
      </c>
      <c r="D28" s="169"/>
      <c r="E28" s="169"/>
      <c r="F28" s="170"/>
      <c r="G28" s="171">
        <v>99</v>
      </c>
      <c r="H28" s="172">
        <v>99</v>
      </c>
      <c r="I28" s="154">
        <v>0</v>
      </c>
      <c r="J28" s="155">
        <v>0</v>
      </c>
      <c r="K28" s="156">
        <v>0</v>
      </c>
      <c r="L28" s="168">
        <f t="shared" ref="L28:L38" si="13">$D$7</f>
        <v>0.02</v>
      </c>
      <c r="M28" s="165">
        <f t="shared" ref="M28:M38" si="14">$E$7</f>
        <v>0.03</v>
      </c>
      <c r="N28" s="166">
        <f t="shared" ref="N28:N38" si="15">$F$7</f>
        <v>0.05</v>
      </c>
      <c r="R28" s="158" t="str">
        <f t="shared" ref="R28:R55" si="16">C28</f>
        <v>Einsparung Arbeitskraft Betrieb in €/Jahr</v>
      </c>
      <c r="S28" s="151">
        <f t="shared" ref="S28:AX28" si="17">S22*$E$28*($M28+1)^(S20)/(1+$J28)^(S$20)</f>
        <v>0</v>
      </c>
      <c r="T28" s="151">
        <f t="shared" si="17"/>
        <v>0</v>
      </c>
      <c r="U28" s="151">
        <f t="shared" si="17"/>
        <v>0</v>
      </c>
      <c r="V28" s="151">
        <f t="shared" si="17"/>
        <v>0</v>
      </c>
      <c r="W28" s="151">
        <f t="shared" si="17"/>
        <v>0</v>
      </c>
      <c r="X28" s="151">
        <f t="shared" si="17"/>
        <v>0</v>
      </c>
      <c r="Y28" s="151">
        <f t="shared" si="17"/>
        <v>0</v>
      </c>
      <c r="Z28" s="151">
        <f t="shared" si="17"/>
        <v>0</v>
      </c>
      <c r="AA28" s="151">
        <f t="shared" si="17"/>
        <v>0</v>
      </c>
      <c r="AB28" s="151">
        <f t="shared" si="17"/>
        <v>0</v>
      </c>
      <c r="AC28" s="151">
        <f t="shared" si="17"/>
        <v>0</v>
      </c>
      <c r="AD28" s="151">
        <f t="shared" si="17"/>
        <v>0</v>
      </c>
      <c r="AE28" s="151">
        <f t="shared" si="17"/>
        <v>0</v>
      </c>
      <c r="AF28" s="151">
        <f t="shared" si="17"/>
        <v>0</v>
      </c>
      <c r="AG28" s="151">
        <f t="shared" si="17"/>
        <v>0</v>
      </c>
      <c r="AH28" s="151">
        <f t="shared" si="17"/>
        <v>0</v>
      </c>
      <c r="AI28" s="151">
        <f t="shared" si="17"/>
        <v>0</v>
      </c>
      <c r="AJ28" s="151">
        <f t="shared" si="17"/>
        <v>0</v>
      </c>
      <c r="AK28" s="151">
        <f t="shared" si="17"/>
        <v>0</v>
      </c>
      <c r="AL28" s="151">
        <f t="shared" si="17"/>
        <v>0</v>
      </c>
      <c r="AM28" s="151">
        <f t="shared" si="17"/>
        <v>0</v>
      </c>
      <c r="AN28" s="151">
        <f t="shared" si="17"/>
        <v>0</v>
      </c>
      <c r="AO28" s="151">
        <f t="shared" si="17"/>
        <v>0</v>
      </c>
      <c r="AP28" s="151">
        <f t="shared" si="17"/>
        <v>0</v>
      </c>
      <c r="AQ28" s="151">
        <f t="shared" si="17"/>
        <v>0</v>
      </c>
      <c r="AR28" s="151">
        <f t="shared" si="17"/>
        <v>0</v>
      </c>
      <c r="AS28" s="151">
        <f t="shared" si="17"/>
        <v>0</v>
      </c>
      <c r="AT28" s="151">
        <f t="shared" si="17"/>
        <v>0</v>
      </c>
      <c r="AU28" s="151">
        <f t="shared" si="17"/>
        <v>0</v>
      </c>
      <c r="AV28" s="151">
        <f t="shared" si="17"/>
        <v>0</v>
      </c>
      <c r="AW28" s="151">
        <f t="shared" si="17"/>
        <v>0</v>
      </c>
      <c r="AX28" s="151">
        <f t="shared" si="17"/>
        <v>0</v>
      </c>
      <c r="AY28" s="151">
        <f t="shared" ref="AY28:BT28" si="18">AY22*$E$28*($M28+1)^(AY20)/(1+$J28)^(AY$20)</f>
        <v>0</v>
      </c>
      <c r="AZ28" s="151">
        <f t="shared" si="18"/>
        <v>0</v>
      </c>
      <c r="BA28" s="151">
        <f t="shared" si="18"/>
        <v>0</v>
      </c>
      <c r="BB28" s="151">
        <f t="shared" si="18"/>
        <v>0</v>
      </c>
      <c r="BC28" s="151">
        <f t="shared" si="18"/>
        <v>0</v>
      </c>
      <c r="BD28" s="151">
        <f t="shared" si="18"/>
        <v>0</v>
      </c>
      <c r="BE28" s="151">
        <f t="shared" si="18"/>
        <v>0</v>
      </c>
      <c r="BF28" s="151">
        <f t="shared" si="18"/>
        <v>0</v>
      </c>
      <c r="BG28" s="151">
        <f t="shared" si="18"/>
        <v>0</v>
      </c>
      <c r="BH28" s="151">
        <f t="shared" si="18"/>
        <v>0</v>
      </c>
      <c r="BI28" s="151">
        <f t="shared" si="18"/>
        <v>0</v>
      </c>
      <c r="BJ28" s="151">
        <f t="shared" si="18"/>
        <v>0</v>
      </c>
      <c r="BK28" s="151">
        <f t="shared" si="18"/>
        <v>0</v>
      </c>
      <c r="BL28" s="151">
        <f t="shared" si="18"/>
        <v>0</v>
      </c>
      <c r="BM28" s="151">
        <f t="shared" si="18"/>
        <v>0</v>
      </c>
      <c r="BN28" s="151">
        <f t="shared" si="18"/>
        <v>0</v>
      </c>
      <c r="BO28" s="151">
        <f t="shared" si="18"/>
        <v>0</v>
      </c>
      <c r="BP28" s="151">
        <f t="shared" si="18"/>
        <v>0</v>
      </c>
      <c r="BQ28" s="151">
        <f t="shared" si="18"/>
        <v>0</v>
      </c>
      <c r="BR28" s="151">
        <f t="shared" si="18"/>
        <v>0</v>
      </c>
      <c r="BS28" s="151">
        <f t="shared" si="18"/>
        <v>0</v>
      </c>
      <c r="BT28" s="151">
        <f t="shared" si="18"/>
        <v>0</v>
      </c>
      <c r="BV28" s="158" t="str">
        <f t="shared" ref="BV28:BV55" si="19">C28</f>
        <v>Einsparung Arbeitskraft Betrieb in €/Jahr</v>
      </c>
      <c r="BW28" s="151">
        <f t="shared" ref="BW28:DB28" si="20">BW22*$D$28*($L28+1)^(BW20)/(1+$I28)^(BW$20)</f>
        <v>0</v>
      </c>
      <c r="BX28" s="151">
        <f t="shared" si="20"/>
        <v>0</v>
      </c>
      <c r="BY28" s="151">
        <f t="shared" si="20"/>
        <v>0</v>
      </c>
      <c r="BZ28" s="151">
        <f t="shared" si="20"/>
        <v>0</v>
      </c>
      <c r="CA28" s="151">
        <f t="shared" si="20"/>
        <v>0</v>
      </c>
      <c r="CB28" s="151">
        <f t="shared" si="20"/>
        <v>0</v>
      </c>
      <c r="CC28" s="151">
        <f t="shared" si="20"/>
        <v>0</v>
      </c>
      <c r="CD28" s="151">
        <f t="shared" si="20"/>
        <v>0</v>
      </c>
      <c r="CE28" s="151">
        <f t="shared" si="20"/>
        <v>0</v>
      </c>
      <c r="CF28" s="151">
        <f t="shared" si="20"/>
        <v>0</v>
      </c>
      <c r="CG28" s="151">
        <f t="shared" si="20"/>
        <v>0</v>
      </c>
      <c r="CH28" s="151">
        <f t="shared" si="20"/>
        <v>0</v>
      </c>
      <c r="CI28" s="151">
        <f t="shared" si="20"/>
        <v>0</v>
      </c>
      <c r="CJ28" s="151">
        <f t="shared" si="20"/>
        <v>0</v>
      </c>
      <c r="CK28" s="151">
        <f t="shared" si="20"/>
        <v>0</v>
      </c>
      <c r="CL28" s="151">
        <f t="shared" si="20"/>
        <v>0</v>
      </c>
      <c r="CM28" s="151">
        <f t="shared" si="20"/>
        <v>0</v>
      </c>
      <c r="CN28" s="151">
        <f t="shared" si="20"/>
        <v>0</v>
      </c>
      <c r="CO28" s="151">
        <f t="shared" si="20"/>
        <v>0</v>
      </c>
      <c r="CP28" s="151">
        <f t="shared" si="20"/>
        <v>0</v>
      </c>
      <c r="CQ28" s="151">
        <f t="shared" si="20"/>
        <v>0</v>
      </c>
      <c r="CR28" s="151">
        <f t="shared" si="20"/>
        <v>0</v>
      </c>
      <c r="CS28" s="151">
        <f t="shared" si="20"/>
        <v>0</v>
      </c>
      <c r="CT28" s="151">
        <f t="shared" si="20"/>
        <v>0</v>
      </c>
      <c r="CU28" s="151">
        <f t="shared" si="20"/>
        <v>0</v>
      </c>
      <c r="CV28" s="151">
        <f t="shared" si="20"/>
        <v>0</v>
      </c>
      <c r="CW28" s="151">
        <f t="shared" si="20"/>
        <v>0</v>
      </c>
      <c r="CX28" s="151">
        <f t="shared" si="20"/>
        <v>0</v>
      </c>
      <c r="CY28" s="151">
        <f t="shared" si="20"/>
        <v>0</v>
      </c>
      <c r="CZ28" s="151">
        <f t="shared" si="20"/>
        <v>0</v>
      </c>
      <c r="DA28" s="151">
        <f t="shared" si="20"/>
        <v>0</v>
      </c>
      <c r="DB28" s="151">
        <f t="shared" si="20"/>
        <v>0</v>
      </c>
      <c r="DC28" s="151">
        <f t="shared" ref="DC28:DX28" si="21">DC22*$D$28*($L28+1)^(DC20)/(1+$I28)^(DC$20)</f>
        <v>0</v>
      </c>
      <c r="DD28" s="151">
        <f t="shared" si="21"/>
        <v>0</v>
      </c>
      <c r="DE28" s="151">
        <f t="shared" si="21"/>
        <v>0</v>
      </c>
      <c r="DF28" s="151">
        <f t="shared" si="21"/>
        <v>0</v>
      </c>
      <c r="DG28" s="151">
        <f t="shared" si="21"/>
        <v>0</v>
      </c>
      <c r="DH28" s="151">
        <f t="shared" si="21"/>
        <v>0</v>
      </c>
      <c r="DI28" s="151">
        <f t="shared" si="21"/>
        <v>0</v>
      </c>
      <c r="DJ28" s="151">
        <f t="shared" si="21"/>
        <v>0</v>
      </c>
      <c r="DK28" s="151">
        <f t="shared" si="21"/>
        <v>0</v>
      </c>
      <c r="DL28" s="151">
        <f t="shared" si="21"/>
        <v>0</v>
      </c>
      <c r="DM28" s="151">
        <f t="shared" si="21"/>
        <v>0</v>
      </c>
      <c r="DN28" s="151">
        <f t="shared" si="21"/>
        <v>0</v>
      </c>
      <c r="DO28" s="151">
        <f t="shared" si="21"/>
        <v>0</v>
      </c>
      <c r="DP28" s="151">
        <f t="shared" si="21"/>
        <v>0</v>
      </c>
      <c r="DQ28" s="151">
        <f t="shared" si="21"/>
        <v>0</v>
      </c>
      <c r="DR28" s="151">
        <f t="shared" si="21"/>
        <v>0</v>
      </c>
      <c r="DS28" s="151">
        <f t="shared" si="21"/>
        <v>0</v>
      </c>
      <c r="DT28" s="151">
        <f t="shared" si="21"/>
        <v>0</v>
      </c>
      <c r="DU28" s="151">
        <f t="shared" si="21"/>
        <v>0</v>
      </c>
      <c r="DV28" s="151">
        <f t="shared" si="21"/>
        <v>0</v>
      </c>
      <c r="DW28" s="151">
        <f t="shared" si="21"/>
        <v>0</v>
      </c>
      <c r="DX28" s="151">
        <f t="shared" si="21"/>
        <v>0</v>
      </c>
      <c r="DZ28" s="158" t="str">
        <f t="shared" ref="DZ28:DZ55" si="22">C28</f>
        <v>Einsparung Arbeitskraft Betrieb in €/Jahr</v>
      </c>
      <c r="EA28" s="151">
        <f t="shared" ref="EA28:FF28" si="23">EA22*$F$28*($N28+1)^(EA20)/(1+$K28)^(EA$20)</f>
        <v>0</v>
      </c>
      <c r="EB28" s="151">
        <f t="shared" si="23"/>
        <v>0</v>
      </c>
      <c r="EC28" s="151">
        <f t="shared" si="23"/>
        <v>0</v>
      </c>
      <c r="ED28" s="151">
        <f t="shared" si="23"/>
        <v>0</v>
      </c>
      <c r="EE28" s="151">
        <f t="shared" si="23"/>
        <v>0</v>
      </c>
      <c r="EF28" s="151">
        <f t="shared" si="23"/>
        <v>0</v>
      </c>
      <c r="EG28" s="151">
        <f t="shared" si="23"/>
        <v>0</v>
      </c>
      <c r="EH28" s="151">
        <f t="shared" si="23"/>
        <v>0</v>
      </c>
      <c r="EI28" s="151">
        <f t="shared" si="23"/>
        <v>0</v>
      </c>
      <c r="EJ28" s="151">
        <f t="shared" si="23"/>
        <v>0</v>
      </c>
      <c r="EK28" s="151">
        <f t="shared" si="23"/>
        <v>0</v>
      </c>
      <c r="EL28" s="151">
        <f t="shared" si="23"/>
        <v>0</v>
      </c>
      <c r="EM28" s="151">
        <f t="shared" si="23"/>
        <v>0</v>
      </c>
      <c r="EN28" s="151">
        <f t="shared" si="23"/>
        <v>0</v>
      </c>
      <c r="EO28" s="151">
        <f t="shared" si="23"/>
        <v>0</v>
      </c>
      <c r="EP28" s="151">
        <f t="shared" si="23"/>
        <v>0</v>
      </c>
      <c r="EQ28" s="151">
        <f t="shared" si="23"/>
        <v>0</v>
      </c>
      <c r="ER28" s="151">
        <f t="shared" si="23"/>
        <v>0</v>
      </c>
      <c r="ES28" s="151">
        <f t="shared" si="23"/>
        <v>0</v>
      </c>
      <c r="ET28" s="151">
        <f t="shared" si="23"/>
        <v>0</v>
      </c>
      <c r="EU28" s="151">
        <f t="shared" si="23"/>
        <v>0</v>
      </c>
      <c r="EV28" s="151">
        <f t="shared" si="23"/>
        <v>0</v>
      </c>
      <c r="EW28" s="151">
        <f t="shared" si="23"/>
        <v>0</v>
      </c>
      <c r="EX28" s="151">
        <f t="shared" si="23"/>
        <v>0</v>
      </c>
      <c r="EY28" s="151">
        <f t="shared" si="23"/>
        <v>0</v>
      </c>
      <c r="EZ28" s="151">
        <f t="shared" si="23"/>
        <v>0</v>
      </c>
      <c r="FA28" s="151">
        <f t="shared" si="23"/>
        <v>0</v>
      </c>
      <c r="FB28" s="151">
        <f t="shared" si="23"/>
        <v>0</v>
      </c>
      <c r="FC28" s="151">
        <f t="shared" si="23"/>
        <v>0</v>
      </c>
      <c r="FD28" s="151">
        <f t="shared" si="23"/>
        <v>0</v>
      </c>
      <c r="FE28" s="151">
        <f t="shared" si="23"/>
        <v>0</v>
      </c>
      <c r="FF28" s="151">
        <f t="shared" si="23"/>
        <v>0</v>
      </c>
      <c r="FG28" s="151">
        <f t="shared" ref="FG28:GB28" si="24">FG22*$F$28*($N28+1)^(FG20)/(1+$K28)^(FG$20)</f>
        <v>0</v>
      </c>
      <c r="FH28" s="151">
        <f t="shared" si="24"/>
        <v>0</v>
      </c>
      <c r="FI28" s="151">
        <f t="shared" si="24"/>
        <v>0</v>
      </c>
      <c r="FJ28" s="151">
        <f t="shared" si="24"/>
        <v>0</v>
      </c>
      <c r="FK28" s="151">
        <f t="shared" si="24"/>
        <v>0</v>
      </c>
      <c r="FL28" s="151">
        <f t="shared" si="24"/>
        <v>0</v>
      </c>
      <c r="FM28" s="151">
        <f t="shared" si="24"/>
        <v>0</v>
      </c>
      <c r="FN28" s="151">
        <f t="shared" si="24"/>
        <v>0</v>
      </c>
      <c r="FO28" s="151">
        <f t="shared" si="24"/>
        <v>0</v>
      </c>
      <c r="FP28" s="151">
        <f t="shared" si="24"/>
        <v>0</v>
      </c>
      <c r="FQ28" s="151">
        <f t="shared" si="24"/>
        <v>0</v>
      </c>
      <c r="FR28" s="151">
        <f t="shared" si="24"/>
        <v>0</v>
      </c>
      <c r="FS28" s="151">
        <f t="shared" si="24"/>
        <v>0</v>
      </c>
      <c r="FT28" s="151">
        <f t="shared" si="24"/>
        <v>0</v>
      </c>
      <c r="FU28" s="151">
        <f t="shared" si="24"/>
        <v>0</v>
      </c>
      <c r="FV28" s="151">
        <f t="shared" si="24"/>
        <v>0</v>
      </c>
      <c r="FW28" s="151">
        <f t="shared" si="24"/>
        <v>0</v>
      </c>
      <c r="FX28" s="151">
        <f t="shared" si="24"/>
        <v>0</v>
      </c>
      <c r="FY28" s="151">
        <f t="shared" si="24"/>
        <v>0</v>
      </c>
      <c r="FZ28" s="151">
        <f t="shared" si="24"/>
        <v>0</v>
      </c>
      <c r="GA28" s="151">
        <f t="shared" si="24"/>
        <v>0</v>
      </c>
      <c r="GB28" s="151">
        <f t="shared" si="24"/>
        <v>0</v>
      </c>
    </row>
    <row r="29" spans="1:184" ht="17.25" customHeight="1" x14ac:dyDescent="0.5">
      <c r="A29" s="88"/>
      <c r="B29" s="322"/>
      <c r="C29" s="101" t="s">
        <v>133</v>
      </c>
      <c r="D29" s="169"/>
      <c r="E29" s="169"/>
      <c r="F29" s="170"/>
      <c r="G29" s="171">
        <v>99</v>
      </c>
      <c r="H29" s="173">
        <v>99</v>
      </c>
      <c r="I29" s="154">
        <v>0</v>
      </c>
      <c r="J29" s="155">
        <v>0</v>
      </c>
      <c r="K29" s="156">
        <v>0</v>
      </c>
      <c r="L29" s="168">
        <f t="shared" si="13"/>
        <v>0.02</v>
      </c>
      <c r="M29" s="165">
        <f t="shared" si="14"/>
        <v>0.03</v>
      </c>
      <c r="N29" s="166">
        <f t="shared" si="15"/>
        <v>0.05</v>
      </c>
      <c r="R29" s="158" t="str">
        <f t="shared" si="16"/>
        <v>Mehrproduktion in €/Jahr</v>
      </c>
      <c r="S29" s="151">
        <f t="shared" ref="S29:AX29" si="25">S22*$E$29*(1+$M29)^(S20)/(1+$J29)^(S$20)</f>
        <v>0</v>
      </c>
      <c r="T29" s="151">
        <f t="shared" si="25"/>
        <v>0</v>
      </c>
      <c r="U29" s="151">
        <f t="shared" si="25"/>
        <v>0</v>
      </c>
      <c r="V29" s="151">
        <f t="shared" si="25"/>
        <v>0</v>
      </c>
      <c r="W29" s="151">
        <f t="shared" si="25"/>
        <v>0</v>
      </c>
      <c r="X29" s="151">
        <f t="shared" si="25"/>
        <v>0</v>
      </c>
      <c r="Y29" s="151">
        <f t="shared" si="25"/>
        <v>0</v>
      </c>
      <c r="Z29" s="151">
        <f t="shared" si="25"/>
        <v>0</v>
      </c>
      <c r="AA29" s="151">
        <f t="shared" si="25"/>
        <v>0</v>
      </c>
      <c r="AB29" s="151">
        <f t="shared" si="25"/>
        <v>0</v>
      </c>
      <c r="AC29" s="151">
        <f t="shared" si="25"/>
        <v>0</v>
      </c>
      <c r="AD29" s="151">
        <f t="shared" si="25"/>
        <v>0</v>
      </c>
      <c r="AE29" s="151">
        <f t="shared" si="25"/>
        <v>0</v>
      </c>
      <c r="AF29" s="151">
        <f t="shared" si="25"/>
        <v>0</v>
      </c>
      <c r="AG29" s="151">
        <f t="shared" si="25"/>
        <v>0</v>
      </c>
      <c r="AH29" s="151">
        <f t="shared" si="25"/>
        <v>0</v>
      </c>
      <c r="AI29" s="151">
        <f t="shared" si="25"/>
        <v>0</v>
      </c>
      <c r="AJ29" s="151">
        <f t="shared" si="25"/>
        <v>0</v>
      </c>
      <c r="AK29" s="151">
        <f t="shared" si="25"/>
        <v>0</v>
      </c>
      <c r="AL29" s="151">
        <f t="shared" si="25"/>
        <v>0</v>
      </c>
      <c r="AM29" s="151">
        <f t="shared" si="25"/>
        <v>0</v>
      </c>
      <c r="AN29" s="151">
        <f t="shared" si="25"/>
        <v>0</v>
      </c>
      <c r="AO29" s="151">
        <f t="shared" si="25"/>
        <v>0</v>
      </c>
      <c r="AP29" s="151">
        <f t="shared" si="25"/>
        <v>0</v>
      </c>
      <c r="AQ29" s="151">
        <f t="shared" si="25"/>
        <v>0</v>
      </c>
      <c r="AR29" s="151">
        <f t="shared" si="25"/>
        <v>0</v>
      </c>
      <c r="AS29" s="151">
        <f t="shared" si="25"/>
        <v>0</v>
      </c>
      <c r="AT29" s="151">
        <f t="shared" si="25"/>
        <v>0</v>
      </c>
      <c r="AU29" s="151">
        <f t="shared" si="25"/>
        <v>0</v>
      </c>
      <c r="AV29" s="151">
        <f t="shared" si="25"/>
        <v>0</v>
      </c>
      <c r="AW29" s="151">
        <f t="shared" si="25"/>
        <v>0</v>
      </c>
      <c r="AX29" s="151">
        <f t="shared" si="25"/>
        <v>0</v>
      </c>
      <c r="AY29" s="151">
        <f t="shared" ref="AY29:BT29" si="26">AY22*$E$29*(1+$M29)^(AY20)/(1+$J29)^(AY$20)</f>
        <v>0</v>
      </c>
      <c r="AZ29" s="151">
        <f t="shared" si="26"/>
        <v>0</v>
      </c>
      <c r="BA29" s="151">
        <f t="shared" si="26"/>
        <v>0</v>
      </c>
      <c r="BB29" s="151">
        <f t="shared" si="26"/>
        <v>0</v>
      </c>
      <c r="BC29" s="151">
        <f t="shared" si="26"/>
        <v>0</v>
      </c>
      <c r="BD29" s="151">
        <f t="shared" si="26"/>
        <v>0</v>
      </c>
      <c r="BE29" s="151">
        <f t="shared" si="26"/>
        <v>0</v>
      </c>
      <c r="BF29" s="151">
        <f t="shared" si="26"/>
        <v>0</v>
      </c>
      <c r="BG29" s="151">
        <f t="shared" si="26"/>
        <v>0</v>
      </c>
      <c r="BH29" s="151">
        <f t="shared" si="26"/>
        <v>0</v>
      </c>
      <c r="BI29" s="151">
        <f t="shared" si="26"/>
        <v>0</v>
      </c>
      <c r="BJ29" s="151">
        <f t="shared" si="26"/>
        <v>0</v>
      </c>
      <c r="BK29" s="151">
        <f t="shared" si="26"/>
        <v>0</v>
      </c>
      <c r="BL29" s="151">
        <f t="shared" si="26"/>
        <v>0</v>
      </c>
      <c r="BM29" s="151">
        <f t="shared" si="26"/>
        <v>0</v>
      </c>
      <c r="BN29" s="151">
        <f t="shared" si="26"/>
        <v>0</v>
      </c>
      <c r="BO29" s="151">
        <f t="shared" si="26"/>
        <v>0</v>
      </c>
      <c r="BP29" s="151">
        <f t="shared" si="26"/>
        <v>0</v>
      </c>
      <c r="BQ29" s="151">
        <f t="shared" si="26"/>
        <v>0</v>
      </c>
      <c r="BR29" s="151">
        <f t="shared" si="26"/>
        <v>0</v>
      </c>
      <c r="BS29" s="151">
        <f t="shared" si="26"/>
        <v>0</v>
      </c>
      <c r="BT29" s="151">
        <f t="shared" si="26"/>
        <v>0</v>
      </c>
      <c r="BV29" s="158" t="str">
        <f t="shared" si="19"/>
        <v>Mehrproduktion in €/Jahr</v>
      </c>
      <c r="BW29" s="151">
        <f t="shared" ref="BW29:DB29" si="27">BW22*$D$29*(1+$L29)^(BW20)/(1+$I29)^(BW$20)</f>
        <v>0</v>
      </c>
      <c r="BX29" s="151">
        <f t="shared" si="27"/>
        <v>0</v>
      </c>
      <c r="BY29" s="151">
        <f t="shared" si="27"/>
        <v>0</v>
      </c>
      <c r="BZ29" s="151">
        <f t="shared" si="27"/>
        <v>0</v>
      </c>
      <c r="CA29" s="151">
        <f t="shared" si="27"/>
        <v>0</v>
      </c>
      <c r="CB29" s="151">
        <f t="shared" si="27"/>
        <v>0</v>
      </c>
      <c r="CC29" s="151">
        <f t="shared" si="27"/>
        <v>0</v>
      </c>
      <c r="CD29" s="151">
        <f t="shared" si="27"/>
        <v>0</v>
      </c>
      <c r="CE29" s="151">
        <f t="shared" si="27"/>
        <v>0</v>
      </c>
      <c r="CF29" s="151">
        <f t="shared" si="27"/>
        <v>0</v>
      </c>
      <c r="CG29" s="151">
        <f t="shared" si="27"/>
        <v>0</v>
      </c>
      <c r="CH29" s="151">
        <f t="shared" si="27"/>
        <v>0</v>
      </c>
      <c r="CI29" s="151">
        <f t="shared" si="27"/>
        <v>0</v>
      </c>
      <c r="CJ29" s="151">
        <f t="shared" si="27"/>
        <v>0</v>
      </c>
      <c r="CK29" s="151">
        <f t="shared" si="27"/>
        <v>0</v>
      </c>
      <c r="CL29" s="151">
        <f t="shared" si="27"/>
        <v>0</v>
      </c>
      <c r="CM29" s="151">
        <f t="shared" si="27"/>
        <v>0</v>
      </c>
      <c r="CN29" s="151">
        <f t="shared" si="27"/>
        <v>0</v>
      </c>
      <c r="CO29" s="151">
        <f t="shared" si="27"/>
        <v>0</v>
      </c>
      <c r="CP29" s="151">
        <f t="shared" si="27"/>
        <v>0</v>
      </c>
      <c r="CQ29" s="151">
        <f t="shared" si="27"/>
        <v>0</v>
      </c>
      <c r="CR29" s="151">
        <f t="shared" si="27"/>
        <v>0</v>
      </c>
      <c r="CS29" s="151">
        <f t="shared" si="27"/>
        <v>0</v>
      </c>
      <c r="CT29" s="151">
        <f t="shared" si="27"/>
        <v>0</v>
      </c>
      <c r="CU29" s="151">
        <f t="shared" si="27"/>
        <v>0</v>
      </c>
      <c r="CV29" s="151">
        <f t="shared" si="27"/>
        <v>0</v>
      </c>
      <c r="CW29" s="151">
        <f t="shared" si="27"/>
        <v>0</v>
      </c>
      <c r="CX29" s="151">
        <f t="shared" si="27"/>
        <v>0</v>
      </c>
      <c r="CY29" s="151">
        <f t="shared" si="27"/>
        <v>0</v>
      </c>
      <c r="CZ29" s="151">
        <f t="shared" si="27"/>
        <v>0</v>
      </c>
      <c r="DA29" s="151">
        <f t="shared" si="27"/>
        <v>0</v>
      </c>
      <c r="DB29" s="151">
        <f t="shared" si="27"/>
        <v>0</v>
      </c>
      <c r="DC29" s="151">
        <f t="shared" ref="DC29:DX29" si="28">DC22*$D$29*(1+$L29)^(DC20)/(1+$I29)^(DC$20)</f>
        <v>0</v>
      </c>
      <c r="DD29" s="151">
        <f t="shared" si="28"/>
        <v>0</v>
      </c>
      <c r="DE29" s="151">
        <f t="shared" si="28"/>
        <v>0</v>
      </c>
      <c r="DF29" s="151">
        <f t="shared" si="28"/>
        <v>0</v>
      </c>
      <c r="DG29" s="151">
        <f t="shared" si="28"/>
        <v>0</v>
      </c>
      <c r="DH29" s="151">
        <f t="shared" si="28"/>
        <v>0</v>
      </c>
      <c r="DI29" s="151">
        <f t="shared" si="28"/>
        <v>0</v>
      </c>
      <c r="DJ29" s="151">
        <f t="shared" si="28"/>
        <v>0</v>
      </c>
      <c r="DK29" s="151">
        <f t="shared" si="28"/>
        <v>0</v>
      </c>
      <c r="DL29" s="151">
        <f t="shared" si="28"/>
        <v>0</v>
      </c>
      <c r="DM29" s="151">
        <f t="shared" si="28"/>
        <v>0</v>
      </c>
      <c r="DN29" s="151">
        <f t="shared" si="28"/>
        <v>0</v>
      </c>
      <c r="DO29" s="151">
        <f t="shared" si="28"/>
        <v>0</v>
      </c>
      <c r="DP29" s="151">
        <f t="shared" si="28"/>
        <v>0</v>
      </c>
      <c r="DQ29" s="151">
        <f t="shared" si="28"/>
        <v>0</v>
      </c>
      <c r="DR29" s="151">
        <f t="shared" si="28"/>
        <v>0</v>
      </c>
      <c r="DS29" s="151">
        <f t="shared" si="28"/>
        <v>0</v>
      </c>
      <c r="DT29" s="151">
        <f t="shared" si="28"/>
        <v>0</v>
      </c>
      <c r="DU29" s="151">
        <f t="shared" si="28"/>
        <v>0</v>
      </c>
      <c r="DV29" s="151">
        <f t="shared" si="28"/>
        <v>0</v>
      </c>
      <c r="DW29" s="151">
        <f t="shared" si="28"/>
        <v>0</v>
      </c>
      <c r="DX29" s="151">
        <f t="shared" si="28"/>
        <v>0</v>
      </c>
      <c r="DZ29" s="158" t="str">
        <f t="shared" si="22"/>
        <v>Mehrproduktion in €/Jahr</v>
      </c>
      <c r="EA29" s="151">
        <f t="shared" ref="EA29:FF29" si="29">EA22*$F$29*(1+$N29)^(EA20)/(1+$K29)^(EA$20)</f>
        <v>0</v>
      </c>
      <c r="EB29" s="151">
        <f t="shared" si="29"/>
        <v>0</v>
      </c>
      <c r="EC29" s="151">
        <f t="shared" si="29"/>
        <v>0</v>
      </c>
      <c r="ED29" s="151">
        <f t="shared" si="29"/>
        <v>0</v>
      </c>
      <c r="EE29" s="151">
        <f t="shared" si="29"/>
        <v>0</v>
      </c>
      <c r="EF29" s="151">
        <f t="shared" si="29"/>
        <v>0</v>
      </c>
      <c r="EG29" s="151">
        <f t="shared" si="29"/>
        <v>0</v>
      </c>
      <c r="EH29" s="151">
        <f t="shared" si="29"/>
        <v>0</v>
      </c>
      <c r="EI29" s="151">
        <f t="shared" si="29"/>
        <v>0</v>
      </c>
      <c r="EJ29" s="151">
        <f t="shared" si="29"/>
        <v>0</v>
      </c>
      <c r="EK29" s="151">
        <f t="shared" si="29"/>
        <v>0</v>
      </c>
      <c r="EL29" s="151">
        <f t="shared" si="29"/>
        <v>0</v>
      </c>
      <c r="EM29" s="151">
        <f t="shared" si="29"/>
        <v>0</v>
      </c>
      <c r="EN29" s="151">
        <f t="shared" si="29"/>
        <v>0</v>
      </c>
      <c r="EO29" s="151">
        <f t="shared" si="29"/>
        <v>0</v>
      </c>
      <c r="EP29" s="151">
        <f t="shared" si="29"/>
        <v>0</v>
      </c>
      <c r="EQ29" s="151">
        <f t="shared" si="29"/>
        <v>0</v>
      </c>
      <c r="ER29" s="151">
        <f t="shared" si="29"/>
        <v>0</v>
      </c>
      <c r="ES29" s="151">
        <f t="shared" si="29"/>
        <v>0</v>
      </c>
      <c r="ET29" s="151">
        <f t="shared" si="29"/>
        <v>0</v>
      </c>
      <c r="EU29" s="151">
        <f t="shared" si="29"/>
        <v>0</v>
      </c>
      <c r="EV29" s="151">
        <f t="shared" si="29"/>
        <v>0</v>
      </c>
      <c r="EW29" s="151">
        <f t="shared" si="29"/>
        <v>0</v>
      </c>
      <c r="EX29" s="151">
        <f t="shared" si="29"/>
        <v>0</v>
      </c>
      <c r="EY29" s="151">
        <f t="shared" si="29"/>
        <v>0</v>
      </c>
      <c r="EZ29" s="151">
        <f t="shared" si="29"/>
        <v>0</v>
      </c>
      <c r="FA29" s="151">
        <f t="shared" si="29"/>
        <v>0</v>
      </c>
      <c r="FB29" s="151">
        <f t="shared" si="29"/>
        <v>0</v>
      </c>
      <c r="FC29" s="151">
        <f t="shared" si="29"/>
        <v>0</v>
      </c>
      <c r="FD29" s="151">
        <f t="shared" si="29"/>
        <v>0</v>
      </c>
      <c r="FE29" s="151">
        <f t="shared" si="29"/>
        <v>0</v>
      </c>
      <c r="FF29" s="151">
        <f t="shared" si="29"/>
        <v>0</v>
      </c>
      <c r="FG29" s="151">
        <f t="shared" ref="FG29:GB29" si="30">FG22*$F$29*(1+$N29)^(FG20)/(1+$K29)^(FG$20)</f>
        <v>0</v>
      </c>
      <c r="FH29" s="151">
        <f t="shared" si="30"/>
        <v>0</v>
      </c>
      <c r="FI29" s="151">
        <f t="shared" si="30"/>
        <v>0</v>
      </c>
      <c r="FJ29" s="151">
        <f t="shared" si="30"/>
        <v>0</v>
      </c>
      <c r="FK29" s="151">
        <f t="shared" si="30"/>
        <v>0</v>
      </c>
      <c r="FL29" s="151">
        <f t="shared" si="30"/>
        <v>0</v>
      </c>
      <c r="FM29" s="151">
        <f t="shared" si="30"/>
        <v>0</v>
      </c>
      <c r="FN29" s="151">
        <f t="shared" si="30"/>
        <v>0</v>
      </c>
      <c r="FO29" s="151">
        <f t="shared" si="30"/>
        <v>0</v>
      </c>
      <c r="FP29" s="151">
        <f t="shared" si="30"/>
        <v>0</v>
      </c>
      <c r="FQ29" s="151">
        <f t="shared" si="30"/>
        <v>0</v>
      </c>
      <c r="FR29" s="151">
        <f t="shared" si="30"/>
        <v>0</v>
      </c>
      <c r="FS29" s="151">
        <f t="shared" si="30"/>
        <v>0</v>
      </c>
      <c r="FT29" s="151">
        <f t="shared" si="30"/>
        <v>0</v>
      </c>
      <c r="FU29" s="151">
        <f t="shared" si="30"/>
        <v>0</v>
      </c>
      <c r="FV29" s="151">
        <f t="shared" si="30"/>
        <v>0</v>
      </c>
      <c r="FW29" s="151">
        <f t="shared" si="30"/>
        <v>0</v>
      </c>
      <c r="FX29" s="151">
        <f t="shared" si="30"/>
        <v>0</v>
      </c>
      <c r="FY29" s="151">
        <f t="shared" si="30"/>
        <v>0</v>
      </c>
      <c r="FZ29" s="151">
        <f t="shared" si="30"/>
        <v>0</v>
      </c>
      <c r="GA29" s="151">
        <f t="shared" si="30"/>
        <v>0</v>
      </c>
      <c r="GB29" s="151">
        <f t="shared" si="30"/>
        <v>0</v>
      </c>
    </row>
    <row r="30" spans="1:184" ht="17.25" customHeight="1" x14ac:dyDescent="0.5">
      <c r="A30" s="88"/>
      <c r="B30" s="322"/>
      <c r="C30" s="101" t="s">
        <v>229</v>
      </c>
      <c r="D30" s="169"/>
      <c r="E30" s="169"/>
      <c r="F30" s="170"/>
      <c r="G30" s="171">
        <v>99</v>
      </c>
      <c r="H30" s="173">
        <v>99</v>
      </c>
      <c r="I30" s="174">
        <v>0</v>
      </c>
      <c r="J30" s="175">
        <v>0</v>
      </c>
      <c r="K30" s="176">
        <v>0</v>
      </c>
      <c r="L30" s="168">
        <f t="shared" si="13"/>
        <v>0.02</v>
      </c>
      <c r="M30" s="165">
        <f t="shared" si="14"/>
        <v>0.03</v>
      </c>
      <c r="N30" s="166">
        <f t="shared" si="15"/>
        <v>0.05</v>
      </c>
      <c r="R30" s="158" t="str">
        <f t="shared" si="16"/>
        <v>Entsorgung - Gewinn in € (Gewinn heute)</v>
      </c>
      <c r="S30" s="151">
        <f t="shared" ref="S30:AX30" si="31">IF(S21+T21=1,$E$30*(1+$M$30)^(S20)/((1+$J30)^(S$20)),0)</f>
        <v>0</v>
      </c>
      <c r="T30" s="151">
        <f t="shared" si="31"/>
        <v>0</v>
      </c>
      <c r="U30" s="151">
        <f t="shared" si="31"/>
        <v>0</v>
      </c>
      <c r="V30" s="151">
        <f t="shared" si="31"/>
        <v>0</v>
      </c>
      <c r="W30" s="151">
        <f t="shared" si="31"/>
        <v>0</v>
      </c>
      <c r="X30" s="151">
        <f t="shared" si="31"/>
        <v>0</v>
      </c>
      <c r="Y30" s="151">
        <f t="shared" si="31"/>
        <v>0</v>
      </c>
      <c r="Z30" s="151">
        <f t="shared" si="31"/>
        <v>0</v>
      </c>
      <c r="AA30" s="151">
        <f t="shared" si="31"/>
        <v>0</v>
      </c>
      <c r="AB30" s="151">
        <f t="shared" si="31"/>
        <v>0</v>
      </c>
      <c r="AC30" s="151">
        <f t="shared" si="31"/>
        <v>0</v>
      </c>
      <c r="AD30" s="151">
        <f t="shared" si="31"/>
        <v>0</v>
      </c>
      <c r="AE30" s="151">
        <f t="shared" si="31"/>
        <v>0</v>
      </c>
      <c r="AF30" s="151">
        <f t="shared" si="31"/>
        <v>0</v>
      </c>
      <c r="AG30" s="151">
        <f t="shared" si="31"/>
        <v>0</v>
      </c>
      <c r="AH30" s="151">
        <f t="shared" si="31"/>
        <v>0</v>
      </c>
      <c r="AI30" s="151">
        <f t="shared" si="31"/>
        <v>0</v>
      </c>
      <c r="AJ30" s="151">
        <f t="shared" si="31"/>
        <v>0</v>
      </c>
      <c r="AK30" s="151">
        <f t="shared" si="31"/>
        <v>0</v>
      </c>
      <c r="AL30" s="151">
        <f t="shared" si="31"/>
        <v>0</v>
      </c>
      <c r="AM30" s="151">
        <f t="shared" si="31"/>
        <v>0</v>
      </c>
      <c r="AN30" s="151">
        <f t="shared" si="31"/>
        <v>0</v>
      </c>
      <c r="AO30" s="151">
        <f t="shared" si="31"/>
        <v>0</v>
      </c>
      <c r="AP30" s="151">
        <f t="shared" si="31"/>
        <v>0</v>
      </c>
      <c r="AQ30" s="151">
        <f t="shared" si="31"/>
        <v>0</v>
      </c>
      <c r="AR30" s="151">
        <f t="shared" si="31"/>
        <v>0</v>
      </c>
      <c r="AS30" s="151">
        <f t="shared" si="31"/>
        <v>0</v>
      </c>
      <c r="AT30" s="151">
        <f t="shared" si="31"/>
        <v>0</v>
      </c>
      <c r="AU30" s="151">
        <f t="shared" si="31"/>
        <v>0</v>
      </c>
      <c r="AV30" s="151">
        <f t="shared" si="31"/>
        <v>0</v>
      </c>
      <c r="AW30" s="151">
        <f t="shared" si="31"/>
        <v>0</v>
      </c>
      <c r="AX30" s="151">
        <f t="shared" si="31"/>
        <v>0</v>
      </c>
      <c r="AY30" s="151">
        <f t="shared" ref="AY30:BT30" si="32">IF(AY21+AZ21=1,$E$30*(1+$M$30)^(AY20)/((1+$J30)^(AY$20)),0)</f>
        <v>0</v>
      </c>
      <c r="AZ30" s="151">
        <f t="shared" si="32"/>
        <v>0</v>
      </c>
      <c r="BA30" s="151">
        <f t="shared" si="32"/>
        <v>0</v>
      </c>
      <c r="BB30" s="151">
        <f t="shared" si="32"/>
        <v>0</v>
      </c>
      <c r="BC30" s="151">
        <f t="shared" si="32"/>
        <v>0</v>
      </c>
      <c r="BD30" s="151">
        <f t="shared" si="32"/>
        <v>0</v>
      </c>
      <c r="BE30" s="151">
        <f t="shared" si="32"/>
        <v>0</v>
      </c>
      <c r="BF30" s="151">
        <f t="shared" si="32"/>
        <v>0</v>
      </c>
      <c r="BG30" s="151">
        <f t="shared" si="32"/>
        <v>0</v>
      </c>
      <c r="BH30" s="151">
        <f t="shared" si="32"/>
        <v>0</v>
      </c>
      <c r="BI30" s="151">
        <f t="shared" si="32"/>
        <v>0</v>
      </c>
      <c r="BJ30" s="151">
        <f t="shared" si="32"/>
        <v>0</v>
      </c>
      <c r="BK30" s="151">
        <f t="shared" si="32"/>
        <v>0</v>
      </c>
      <c r="BL30" s="151">
        <f t="shared" si="32"/>
        <v>0</v>
      </c>
      <c r="BM30" s="151">
        <f t="shared" si="32"/>
        <v>0</v>
      </c>
      <c r="BN30" s="151">
        <f t="shared" si="32"/>
        <v>0</v>
      </c>
      <c r="BO30" s="151">
        <f t="shared" si="32"/>
        <v>0</v>
      </c>
      <c r="BP30" s="151">
        <f t="shared" si="32"/>
        <v>0</v>
      </c>
      <c r="BQ30" s="151">
        <f t="shared" si="32"/>
        <v>0</v>
      </c>
      <c r="BR30" s="151">
        <f t="shared" si="32"/>
        <v>0</v>
      </c>
      <c r="BS30" s="151">
        <f t="shared" si="32"/>
        <v>0</v>
      </c>
      <c r="BT30" s="151">
        <f t="shared" si="32"/>
        <v>0</v>
      </c>
      <c r="BV30" s="158" t="str">
        <f t="shared" si="19"/>
        <v>Entsorgung - Gewinn in € (Gewinn heute)</v>
      </c>
      <c r="BW30" s="151">
        <f t="shared" ref="BW30:DB30" si="33">IF(BW21+BX21=1,$D$30*(1+$L$30)^(BW20)/((1+$I30)^(BW$20)),0)</f>
        <v>0</v>
      </c>
      <c r="BX30" s="151">
        <f t="shared" si="33"/>
        <v>0</v>
      </c>
      <c r="BY30" s="151">
        <f t="shared" si="33"/>
        <v>0</v>
      </c>
      <c r="BZ30" s="151">
        <f t="shared" si="33"/>
        <v>0</v>
      </c>
      <c r="CA30" s="151">
        <f t="shared" si="33"/>
        <v>0</v>
      </c>
      <c r="CB30" s="151">
        <f t="shared" si="33"/>
        <v>0</v>
      </c>
      <c r="CC30" s="151">
        <f t="shared" si="33"/>
        <v>0</v>
      </c>
      <c r="CD30" s="151">
        <f t="shared" si="33"/>
        <v>0</v>
      </c>
      <c r="CE30" s="151">
        <f t="shared" si="33"/>
        <v>0</v>
      </c>
      <c r="CF30" s="151">
        <f t="shared" si="33"/>
        <v>0</v>
      </c>
      <c r="CG30" s="151">
        <f t="shared" si="33"/>
        <v>0</v>
      </c>
      <c r="CH30" s="151">
        <f t="shared" si="33"/>
        <v>0</v>
      </c>
      <c r="CI30" s="151">
        <f t="shared" si="33"/>
        <v>0</v>
      </c>
      <c r="CJ30" s="151">
        <f t="shared" si="33"/>
        <v>0</v>
      </c>
      <c r="CK30" s="151">
        <f t="shared" si="33"/>
        <v>0</v>
      </c>
      <c r="CL30" s="151">
        <f t="shared" si="33"/>
        <v>0</v>
      </c>
      <c r="CM30" s="151">
        <f t="shared" si="33"/>
        <v>0</v>
      </c>
      <c r="CN30" s="151">
        <f t="shared" si="33"/>
        <v>0</v>
      </c>
      <c r="CO30" s="151">
        <f t="shared" si="33"/>
        <v>0</v>
      </c>
      <c r="CP30" s="151">
        <f t="shared" si="33"/>
        <v>0</v>
      </c>
      <c r="CQ30" s="151">
        <f t="shared" si="33"/>
        <v>0</v>
      </c>
      <c r="CR30" s="151">
        <f t="shared" si="33"/>
        <v>0</v>
      </c>
      <c r="CS30" s="151">
        <f t="shared" si="33"/>
        <v>0</v>
      </c>
      <c r="CT30" s="151">
        <f t="shared" si="33"/>
        <v>0</v>
      </c>
      <c r="CU30" s="151">
        <f t="shared" si="33"/>
        <v>0</v>
      </c>
      <c r="CV30" s="151">
        <f t="shared" si="33"/>
        <v>0</v>
      </c>
      <c r="CW30" s="151">
        <f t="shared" si="33"/>
        <v>0</v>
      </c>
      <c r="CX30" s="151">
        <f t="shared" si="33"/>
        <v>0</v>
      </c>
      <c r="CY30" s="151">
        <f t="shared" si="33"/>
        <v>0</v>
      </c>
      <c r="CZ30" s="151">
        <f t="shared" si="33"/>
        <v>0</v>
      </c>
      <c r="DA30" s="151">
        <f t="shared" si="33"/>
        <v>0</v>
      </c>
      <c r="DB30" s="151">
        <f t="shared" si="33"/>
        <v>0</v>
      </c>
      <c r="DC30" s="151">
        <f t="shared" ref="DC30:DX30" si="34">IF(DC21+DD21=1,$D$30*(1+$L$30)^(DC20)/((1+$I30)^(DC$20)),0)</f>
        <v>0</v>
      </c>
      <c r="DD30" s="151">
        <f t="shared" si="34"/>
        <v>0</v>
      </c>
      <c r="DE30" s="151">
        <f t="shared" si="34"/>
        <v>0</v>
      </c>
      <c r="DF30" s="151">
        <f t="shared" si="34"/>
        <v>0</v>
      </c>
      <c r="DG30" s="151">
        <f t="shared" si="34"/>
        <v>0</v>
      </c>
      <c r="DH30" s="151">
        <f t="shared" si="34"/>
        <v>0</v>
      </c>
      <c r="DI30" s="151">
        <f t="shared" si="34"/>
        <v>0</v>
      </c>
      <c r="DJ30" s="151">
        <f t="shared" si="34"/>
        <v>0</v>
      </c>
      <c r="DK30" s="151">
        <f t="shared" si="34"/>
        <v>0</v>
      </c>
      <c r="DL30" s="151">
        <f t="shared" si="34"/>
        <v>0</v>
      </c>
      <c r="DM30" s="151">
        <f t="shared" si="34"/>
        <v>0</v>
      </c>
      <c r="DN30" s="151">
        <f t="shared" si="34"/>
        <v>0</v>
      </c>
      <c r="DO30" s="151">
        <f t="shared" si="34"/>
        <v>0</v>
      </c>
      <c r="DP30" s="151">
        <f t="shared" si="34"/>
        <v>0</v>
      </c>
      <c r="DQ30" s="151">
        <f t="shared" si="34"/>
        <v>0</v>
      </c>
      <c r="DR30" s="151">
        <f t="shared" si="34"/>
        <v>0</v>
      </c>
      <c r="DS30" s="151">
        <f t="shared" si="34"/>
        <v>0</v>
      </c>
      <c r="DT30" s="151">
        <f t="shared" si="34"/>
        <v>0</v>
      </c>
      <c r="DU30" s="151">
        <f t="shared" si="34"/>
        <v>0</v>
      </c>
      <c r="DV30" s="151">
        <f t="shared" si="34"/>
        <v>0</v>
      </c>
      <c r="DW30" s="151">
        <f t="shared" si="34"/>
        <v>0</v>
      </c>
      <c r="DX30" s="151">
        <f t="shared" si="34"/>
        <v>0</v>
      </c>
      <c r="DZ30" s="158" t="str">
        <f t="shared" si="22"/>
        <v>Entsorgung - Gewinn in € (Gewinn heute)</v>
      </c>
      <c r="EA30" s="151">
        <f t="shared" ref="EA30:FF30" si="35">IF(EA21+EB21=1,$F$30*(1+$N$30)^(EA20)/((1+$K30)^(EA$20)),0)</f>
        <v>0</v>
      </c>
      <c r="EB30" s="151">
        <f t="shared" si="35"/>
        <v>0</v>
      </c>
      <c r="EC30" s="151">
        <f t="shared" si="35"/>
        <v>0</v>
      </c>
      <c r="ED30" s="151">
        <f t="shared" si="35"/>
        <v>0</v>
      </c>
      <c r="EE30" s="151">
        <f t="shared" si="35"/>
        <v>0</v>
      </c>
      <c r="EF30" s="151">
        <f t="shared" si="35"/>
        <v>0</v>
      </c>
      <c r="EG30" s="151">
        <f t="shared" si="35"/>
        <v>0</v>
      </c>
      <c r="EH30" s="151">
        <f t="shared" si="35"/>
        <v>0</v>
      </c>
      <c r="EI30" s="151">
        <f t="shared" si="35"/>
        <v>0</v>
      </c>
      <c r="EJ30" s="151">
        <f t="shared" si="35"/>
        <v>0</v>
      </c>
      <c r="EK30" s="151">
        <f t="shared" si="35"/>
        <v>0</v>
      </c>
      <c r="EL30" s="151">
        <f t="shared" si="35"/>
        <v>0</v>
      </c>
      <c r="EM30" s="151">
        <f t="shared" si="35"/>
        <v>0</v>
      </c>
      <c r="EN30" s="151">
        <f t="shared" si="35"/>
        <v>0</v>
      </c>
      <c r="EO30" s="151">
        <f t="shared" si="35"/>
        <v>0</v>
      </c>
      <c r="EP30" s="151">
        <f t="shared" si="35"/>
        <v>0</v>
      </c>
      <c r="EQ30" s="151">
        <f t="shared" si="35"/>
        <v>0</v>
      </c>
      <c r="ER30" s="151">
        <f t="shared" si="35"/>
        <v>0</v>
      </c>
      <c r="ES30" s="151">
        <f t="shared" si="35"/>
        <v>0</v>
      </c>
      <c r="ET30" s="151">
        <f t="shared" si="35"/>
        <v>0</v>
      </c>
      <c r="EU30" s="151">
        <f t="shared" si="35"/>
        <v>0</v>
      </c>
      <c r="EV30" s="151">
        <f t="shared" si="35"/>
        <v>0</v>
      </c>
      <c r="EW30" s="151">
        <f t="shared" si="35"/>
        <v>0</v>
      </c>
      <c r="EX30" s="151">
        <f t="shared" si="35"/>
        <v>0</v>
      </c>
      <c r="EY30" s="151">
        <f t="shared" si="35"/>
        <v>0</v>
      </c>
      <c r="EZ30" s="151">
        <f t="shared" si="35"/>
        <v>0</v>
      </c>
      <c r="FA30" s="151">
        <f t="shared" si="35"/>
        <v>0</v>
      </c>
      <c r="FB30" s="151">
        <f t="shared" si="35"/>
        <v>0</v>
      </c>
      <c r="FC30" s="151">
        <f t="shared" si="35"/>
        <v>0</v>
      </c>
      <c r="FD30" s="151">
        <f t="shared" si="35"/>
        <v>0</v>
      </c>
      <c r="FE30" s="151">
        <f t="shared" si="35"/>
        <v>0</v>
      </c>
      <c r="FF30" s="151">
        <f t="shared" si="35"/>
        <v>0</v>
      </c>
      <c r="FG30" s="151">
        <f t="shared" ref="FG30:GB30" si="36">IF(FG21+FH21=1,$F$30*(1+$N$30)^(FG20)/((1+$K30)^(FG$20)),0)</f>
        <v>0</v>
      </c>
      <c r="FH30" s="151">
        <f t="shared" si="36"/>
        <v>0</v>
      </c>
      <c r="FI30" s="151">
        <f t="shared" si="36"/>
        <v>0</v>
      </c>
      <c r="FJ30" s="151">
        <f t="shared" si="36"/>
        <v>0</v>
      </c>
      <c r="FK30" s="151">
        <f t="shared" si="36"/>
        <v>0</v>
      </c>
      <c r="FL30" s="151">
        <f t="shared" si="36"/>
        <v>0</v>
      </c>
      <c r="FM30" s="151">
        <f t="shared" si="36"/>
        <v>0</v>
      </c>
      <c r="FN30" s="151">
        <f t="shared" si="36"/>
        <v>0</v>
      </c>
      <c r="FO30" s="151">
        <f t="shared" si="36"/>
        <v>0</v>
      </c>
      <c r="FP30" s="151">
        <f t="shared" si="36"/>
        <v>0</v>
      </c>
      <c r="FQ30" s="151">
        <f t="shared" si="36"/>
        <v>0</v>
      </c>
      <c r="FR30" s="151">
        <f t="shared" si="36"/>
        <v>0</v>
      </c>
      <c r="FS30" s="151">
        <f t="shared" si="36"/>
        <v>0</v>
      </c>
      <c r="FT30" s="151">
        <f t="shared" si="36"/>
        <v>0</v>
      </c>
      <c r="FU30" s="151">
        <f t="shared" si="36"/>
        <v>0</v>
      </c>
      <c r="FV30" s="151">
        <f t="shared" si="36"/>
        <v>0</v>
      </c>
      <c r="FW30" s="151">
        <f t="shared" si="36"/>
        <v>0</v>
      </c>
      <c r="FX30" s="151">
        <f t="shared" si="36"/>
        <v>0</v>
      </c>
      <c r="FY30" s="151">
        <f t="shared" si="36"/>
        <v>0</v>
      </c>
      <c r="FZ30" s="151">
        <f t="shared" si="36"/>
        <v>0</v>
      </c>
      <c r="GA30" s="151">
        <f t="shared" si="36"/>
        <v>0</v>
      </c>
      <c r="GB30" s="151">
        <f t="shared" si="36"/>
        <v>0</v>
      </c>
    </row>
    <row r="31" spans="1:184" ht="17.25" customHeight="1" x14ac:dyDescent="0.5">
      <c r="A31" s="88"/>
      <c r="B31" s="322"/>
      <c r="C31" s="101" t="s">
        <v>230</v>
      </c>
      <c r="D31" s="169"/>
      <c r="E31" s="169"/>
      <c r="F31" s="170"/>
      <c r="G31" s="177"/>
      <c r="H31" s="178"/>
      <c r="I31" s="154">
        <v>0</v>
      </c>
      <c r="J31" s="155">
        <v>0</v>
      </c>
      <c r="K31" s="156">
        <v>0</v>
      </c>
      <c r="L31" s="179">
        <f t="shared" si="13"/>
        <v>0.02</v>
      </c>
      <c r="M31" s="180">
        <f t="shared" si="14"/>
        <v>0.03</v>
      </c>
      <c r="N31" s="181">
        <f t="shared" si="15"/>
        <v>0.05</v>
      </c>
      <c r="R31" s="158" t="str">
        <f t="shared" si="16"/>
        <v>Einsparung Arbeitskraft in €/Jahr</v>
      </c>
      <c r="S31" s="151">
        <f t="shared" ref="S31:AB38" si="37">IF(AND($G31=99,$H31=99),S$22*$E31*(1+$M31)^(S$20)/((1+$J31)^(S$20)),IF(AND($H31=99,S$20&gt;=$G31,S$20&lt;=$E$20),$E31*(1+$M31)^(S$20)/((1+$J31)^(S$20)),IF(AND($G31=99,S$20&lt;=$H31,S$20&gt;=$E$18),$E31*(1+$M31)^(S$20)/((1+$J31)^(S$20)),IF(AND(S$20&lt;=$H31,S$20&gt;=$G31,$G31&lt;&gt;99,$H31&lt;&gt;99),$E31*(1+$M31)^(S$20)/((1+$J31)^(S$20)),0))))</f>
        <v>0</v>
      </c>
      <c r="T31" s="151">
        <f t="shared" si="37"/>
        <v>0</v>
      </c>
      <c r="U31" s="151">
        <f t="shared" si="37"/>
        <v>0</v>
      </c>
      <c r="V31" s="151">
        <f t="shared" si="37"/>
        <v>0</v>
      </c>
      <c r="W31" s="151">
        <f t="shared" si="37"/>
        <v>0</v>
      </c>
      <c r="X31" s="151">
        <f t="shared" si="37"/>
        <v>0</v>
      </c>
      <c r="Y31" s="151">
        <f t="shared" si="37"/>
        <v>0</v>
      </c>
      <c r="Z31" s="151">
        <f t="shared" si="37"/>
        <v>0</v>
      </c>
      <c r="AA31" s="151">
        <f t="shared" si="37"/>
        <v>0</v>
      </c>
      <c r="AB31" s="151">
        <f t="shared" si="37"/>
        <v>0</v>
      </c>
      <c r="AC31" s="151">
        <f t="shared" ref="AC31:AL38" si="38">IF(AND($G31=99,$H31=99),AC$22*$E31*(1+$M31)^(AC$20)/((1+$J31)^(AC$20)),IF(AND($H31=99,AC$20&gt;=$G31,AC$20&lt;=$E$20),$E31*(1+$M31)^(AC$20)/((1+$J31)^(AC$20)),IF(AND($G31=99,AC$20&lt;=$H31,AC$20&gt;=$E$18),$E31*(1+$M31)^(AC$20)/((1+$J31)^(AC$20)),IF(AND(AC$20&lt;=$H31,AC$20&gt;=$G31,$G31&lt;&gt;99,$H31&lt;&gt;99),$E31*(1+$M31)^(AC$20)/((1+$J31)^(AC$20)),0))))</f>
        <v>0</v>
      </c>
      <c r="AD31" s="151">
        <f t="shared" si="38"/>
        <v>0</v>
      </c>
      <c r="AE31" s="151">
        <f t="shared" si="38"/>
        <v>0</v>
      </c>
      <c r="AF31" s="151">
        <f t="shared" si="38"/>
        <v>0</v>
      </c>
      <c r="AG31" s="151">
        <f t="shared" si="38"/>
        <v>0</v>
      </c>
      <c r="AH31" s="151">
        <f t="shared" si="38"/>
        <v>0</v>
      </c>
      <c r="AI31" s="151">
        <f t="shared" si="38"/>
        <v>0</v>
      </c>
      <c r="AJ31" s="151">
        <f t="shared" si="38"/>
        <v>0</v>
      </c>
      <c r="AK31" s="151">
        <f t="shared" si="38"/>
        <v>0</v>
      </c>
      <c r="AL31" s="151">
        <f t="shared" si="38"/>
        <v>0</v>
      </c>
      <c r="AM31" s="151">
        <f t="shared" ref="AM31:AV38" si="39">IF(AND($G31=99,$H31=99),AM$22*$E31*(1+$M31)^(AM$20)/((1+$J31)^(AM$20)),IF(AND($H31=99,AM$20&gt;=$G31,AM$20&lt;=$E$20),$E31*(1+$M31)^(AM$20)/((1+$J31)^(AM$20)),IF(AND($G31=99,AM$20&lt;=$H31,AM$20&gt;=$E$18),$E31*(1+$M31)^(AM$20)/((1+$J31)^(AM$20)),IF(AND(AM$20&lt;=$H31,AM$20&gt;=$G31,$G31&lt;&gt;99,$H31&lt;&gt;99),$E31*(1+$M31)^(AM$20)/((1+$J31)^(AM$20)),0))))</f>
        <v>0</v>
      </c>
      <c r="AN31" s="151">
        <f t="shared" si="39"/>
        <v>0</v>
      </c>
      <c r="AO31" s="151">
        <f t="shared" si="39"/>
        <v>0</v>
      </c>
      <c r="AP31" s="151">
        <f t="shared" si="39"/>
        <v>0</v>
      </c>
      <c r="AQ31" s="151">
        <f t="shared" si="39"/>
        <v>0</v>
      </c>
      <c r="AR31" s="151">
        <f t="shared" si="39"/>
        <v>0</v>
      </c>
      <c r="AS31" s="151">
        <f t="shared" si="39"/>
        <v>0</v>
      </c>
      <c r="AT31" s="151">
        <f t="shared" si="39"/>
        <v>0</v>
      </c>
      <c r="AU31" s="151">
        <f t="shared" si="39"/>
        <v>0</v>
      </c>
      <c r="AV31" s="151">
        <f t="shared" si="39"/>
        <v>0</v>
      </c>
      <c r="AW31" s="151">
        <f t="shared" ref="AW31:BF38" si="40">IF(AND($G31=99,$H31=99),AW$22*$E31*(1+$M31)^(AW$20)/((1+$J31)^(AW$20)),IF(AND($H31=99,AW$20&gt;=$G31,AW$20&lt;=$E$20),$E31*(1+$M31)^(AW$20)/((1+$J31)^(AW$20)),IF(AND($G31=99,AW$20&lt;=$H31,AW$20&gt;=$E$18),$E31*(1+$M31)^(AW$20)/((1+$J31)^(AW$20)),IF(AND(AW$20&lt;=$H31,AW$20&gt;=$G31,$G31&lt;&gt;99,$H31&lt;&gt;99),$E31*(1+$M31)^(AW$20)/((1+$J31)^(AW$20)),0))))</f>
        <v>0</v>
      </c>
      <c r="AX31" s="151">
        <f t="shared" si="40"/>
        <v>0</v>
      </c>
      <c r="AY31" s="151">
        <f t="shared" si="40"/>
        <v>0</v>
      </c>
      <c r="AZ31" s="151">
        <f t="shared" si="40"/>
        <v>0</v>
      </c>
      <c r="BA31" s="151">
        <f t="shared" si="40"/>
        <v>0</v>
      </c>
      <c r="BB31" s="151">
        <f t="shared" si="40"/>
        <v>0</v>
      </c>
      <c r="BC31" s="151">
        <f t="shared" si="40"/>
        <v>0</v>
      </c>
      <c r="BD31" s="151">
        <f t="shared" si="40"/>
        <v>0</v>
      </c>
      <c r="BE31" s="151">
        <f t="shared" si="40"/>
        <v>0</v>
      </c>
      <c r="BF31" s="151">
        <f t="shared" si="40"/>
        <v>0</v>
      </c>
      <c r="BG31" s="151">
        <f t="shared" ref="BG31:BT38" si="41">IF(AND($G31=99,$H31=99),BG$22*$E31*(1+$M31)^(BG$20)/((1+$J31)^(BG$20)),IF(AND($H31=99,BG$20&gt;=$G31,BG$20&lt;=$E$20),$E31*(1+$M31)^(BG$20)/((1+$J31)^(BG$20)),IF(AND($G31=99,BG$20&lt;=$H31,BG$20&gt;=$E$18),$E31*(1+$M31)^(BG$20)/((1+$J31)^(BG$20)),IF(AND(BG$20&lt;=$H31,BG$20&gt;=$G31,$G31&lt;&gt;99,$H31&lt;&gt;99),$E31*(1+$M31)^(BG$20)/((1+$J31)^(BG$20)),0))))</f>
        <v>0</v>
      </c>
      <c r="BH31" s="151">
        <f t="shared" si="41"/>
        <v>0</v>
      </c>
      <c r="BI31" s="151">
        <f t="shared" si="41"/>
        <v>0</v>
      </c>
      <c r="BJ31" s="151">
        <f t="shared" si="41"/>
        <v>0</v>
      </c>
      <c r="BK31" s="151">
        <f t="shared" si="41"/>
        <v>0</v>
      </c>
      <c r="BL31" s="151">
        <f t="shared" si="41"/>
        <v>0</v>
      </c>
      <c r="BM31" s="151">
        <f t="shared" si="41"/>
        <v>0</v>
      </c>
      <c r="BN31" s="151">
        <f t="shared" si="41"/>
        <v>0</v>
      </c>
      <c r="BO31" s="151">
        <f t="shared" si="41"/>
        <v>0</v>
      </c>
      <c r="BP31" s="151">
        <f t="shared" si="41"/>
        <v>0</v>
      </c>
      <c r="BQ31" s="151">
        <f t="shared" si="41"/>
        <v>0</v>
      </c>
      <c r="BR31" s="151">
        <f t="shared" si="41"/>
        <v>0</v>
      </c>
      <c r="BS31" s="151">
        <f t="shared" si="41"/>
        <v>0</v>
      </c>
      <c r="BT31" s="151">
        <f t="shared" si="41"/>
        <v>0</v>
      </c>
      <c r="BV31" s="158" t="str">
        <f t="shared" si="19"/>
        <v>Einsparung Arbeitskraft in €/Jahr</v>
      </c>
      <c r="BW31" s="151">
        <f t="shared" ref="BW31:CF38" si="42">IF(AND($G31=99,$H31=99),BW$22*$D31*(1+$L31)^(BW$20)/((1+$I31)^(BW$20)),IF(AND($H31=99,BW$20&gt;=$G31,BW$20&lt;=$D$20),$D31*(1+$L31)^(BW$20)/((1+$I31)^(BW$20)),IF(AND($G31=99,BW$20&lt;=$H31,BW$20&gt;=$D$18),$D31*(1+$L31)^(BW$20)/((1+$I31)^(BW$20)),IF(AND(BW$20&lt;=$H31,BW$20&gt;=$G31,$G31&lt;&gt;99,$H31&lt;&gt;99),$D31*(1+$L31)^(BW$20)/((1+$I31)^(BW$20)),0))))</f>
        <v>0</v>
      </c>
      <c r="BX31" s="151">
        <f t="shared" si="42"/>
        <v>0</v>
      </c>
      <c r="BY31" s="151">
        <f t="shared" si="42"/>
        <v>0</v>
      </c>
      <c r="BZ31" s="151">
        <f t="shared" si="42"/>
        <v>0</v>
      </c>
      <c r="CA31" s="151">
        <f t="shared" si="42"/>
        <v>0</v>
      </c>
      <c r="CB31" s="151">
        <f t="shared" si="42"/>
        <v>0</v>
      </c>
      <c r="CC31" s="151">
        <f t="shared" si="42"/>
        <v>0</v>
      </c>
      <c r="CD31" s="151">
        <f t="shared" si="42"/>
        <v>0</v>
      </c>
      <c r="CE31" s="151">
        <f t="shared" si="42"/>
        <v>0</v>
      </c>
      <c r="CF31" s="151">
        <f t="shared" si="42"/>
        <v>0</v>
      </c>
      <c r="CG31" s="151">
        <f t="shared" ref="CG31:CP38" si="43">IF(AND($G31=99,$H31=99),CG$22*$D31*(1+$L31)^(CG$20)/((1+$I31)^(CG$20)),IF(AND($H31=99,CG$20&gt;=$G31,CG$20&lt;=$D$20),$D31*(1+$L31)^(CG$20)/((1+$I31)^(CG$20)),IF(AND($G31=99,CG$20&lt;=$H31,CG$20&gt;=$D$18),$D31*(1+$L31)^(CG$20)/((1+$I31)^(CG$20)),IF(AND(CG$20&lt;=$H31,CG$20&gt;=$G31,$G31&lt;&gt;99,$H31&lt;&gt;99),$D31*(1+$L31)^(CG$20)/((1+$I31)^(CG$20)),0))))</f>
        <v>0</v>
      </c>
      <c r="CH31" s="151">
        <f t="shared" si="43"/>
        <v>0</v>
      </c>
      <c r="CI31" s="151">
        <f t="shared" si="43"/>
        <v>0</v>
      </c>
      <c r="CJ31" s="151">
        <f t="shared" si="43"/>
        <v>0</v>
      </c>
      <c r="CK31" s="151">
        <f t="shared" si="43"/>
        <v>0</v>
      </c>
      <c r="CL31" s="151">
        <f t="shared" si="43"/>
        <v>0</v>
      </c>
      <c r="CM31" s="151">
        <f t="shared" si="43"/>
        <v>0</v>
      </c>
      <c r="CN31" s="151">
        <f t="shared" si="43"/>
        <v>0</v>
      </c>
      <c r="CO31" s="151">
        <f t="shared" si="43"/>
        <v>0</v>
      </c>
      <c r="CP31" s="151">
        <f t="shared" si="43"/>
        <v>0</v>
      </c>
      <c r="CQ31" s="151">
        <f t="shared" ref="CQ31:CZ38" si="44">IF(AND($G31=99,$H31=99),CQ$22*$D31*(1+$L31)^(CQ$20)/((1+$I31)^(CQ$20)),IF(AND($H31=99,CQ$20&gt;=$G31,CQ$20&lt;=$D$20),$D31*(1+$L31)^(CQ$20)/((1+$I31)^(CQ$20)),IF(AND($G31=99,CQ$20&lt;=$H31,CQ$20&gt;=$D$18),$D31*(1+$L31)^(CQ$20)/((1+$I31)^(CQ$20)),IF(AND(CQ$20&lt;=$H31,CQ$20&gt;=$G31,$G31&lt;&gt;99,$H31&lt;&gt;99),$D31*(1+$L31)^(CQ$20)/((1+$I31)^(CQ$20)),0))))</f>
        <v>0</v>
      </c>
      <c r="CR31" s="151">
        <f t="shared" si="44"/>
        <v>0</v>
      </c>
      <c r="CS31" s="151">
        <f t="shared" si="44"/>
        <v>0</v>
      </c>
      <c r="CT31" s="151">
        <f t="shared" si="44"/>
        <v>0</v>
      </c>
      <c r="CU31" s="151">
        <f t="shared" si="44"/>
        <v>0</v>
      </c>
      <c r="CV31" s="151">
        <f t="shared" si="44"/>
        <v>0</v>
      </c>
      <c r="CW31" s="151">
        <f t="shared" si="44"/>
        <v>0</v>
      </c>
      <c r="CX31" s="151">
        <f t="shared" si="44"/>
        <v>0</v>
      </c>
      <c r="CY31" s="151">
        <f t="shared" si="44"/>
        <v>0</v>
      </c>
      <c r="CZ31" s="151">
        <f t="shared" si="44"/>
        <v>0</v>
      </c>
      <c r="DA31" s="151">
        <f t="shared" ref="DA31:DJ38" si="45">IF(AND($G31=99,$H31=99),DA$22*$D31*(1+$L31)^(DA$20)/((1+$I31)^(DA$20)),IF(AND($H31=99,DA$20&gt;=$G31,DA$20&lt;=$D$20),$D31*(1+$L31)^(DA$20)/((1+$I31)^(DA$20)),IF(AND($G31=99,DA$20&lt;=$H31,DA$20&gt;=$D$18),$D31*(1+$L31)^(DA$20)/((1+$I31)^(DA$20)),IF(AND(DA$20&lt;=$H31,DA$20&gt;=$G31,$G31&lt;&gt;99,$H31&lt;&gt;99),$D31*(1+$L31)^(DA$20)/((1+$I31)^(DA$20)),0))))</f>
        <v>0</v>
      </c>
      <c r="DB31" s="151">
        <f t="shared" si="45"/>
        <v>0</v>
      </c>
      <c r="DC31" s="151">
        <f t="shared" si="45"/>
        <v>0</v>
      </c>
      <c r="DD31" s="151">
        <f t="shared" si="45"/>
        <v>0</v>
      </c>
      <c r="DE31" s="151">
        <f t="shared" si="45"/>
        <v>0</v>
      </c>
      <c r="DF31" s="151">
        <f t="shared" si="45"/>
        <v>0</v>
      </c>
      <c r="DG31" s="151">
        <f t="shared" si="45"/>
        <v>0</v>
      </c>
      <c r="DH31" s="151">
        <f t="shared" si="45"/>
        <v>0</v>
      </c>
      <c r="DI31" s="151">
        <f t="shared" si="45"/>
        <v>0</v>
      </c>
      <c r="DJ31" s="151">
        <f t="shared" si="45"/>
        <v>0</v>
      </c>
      <c r="DK31" s="151">
        <f t="shared" ref="DK31:DX38" si="46">IF(AND($G31=99,$H31=99),DK$22*$D31*(1+$L31)^(DK$20)/((1+$I31)^(DK$20)),IF(AND($H31=99,DK$20&gt;=$G31,DK$20&lt;=$D$20),$D31*(1+$L31)^(DK$20)/((1+$I31)^(DK$20)),IF(AND($G31=99,DK$20&lt;=$H31,DK$20&gt;=$D$18),$D31*(1+$L31)^(DK$20)/((1+$I31)^(DK$20)),IF(AND(DK$20&lt;=$H31,DK$20&gt;=$G31,$G31&lt;&gt;99,$H31&lt;&gt;99),$D31*(1+$L31)^(DK$20)/((1+$I31)^(DK$20)),0))))</f>
        <v>0</v>
      </c>
      <c r="DL31" s="151">
        <f t="shared" si="46"/>
        <v>0</v>
      </c>
      <c r="DM31" s="151">
        <f t="shared" si="46"/>
        <v>0</v>
      </c>
      <c r="DN31" s="151">
        <f t="shared" si="46"/>
        <v>0</v>
      </c>
      <c r="DO31" s="151">
        <f t="shared" si="46"/>
        <v>0</v>
      </c>
      <c r="DP31" s="151">
        <f t="shared" si="46"/>
        <v>0</v>
      </c>
      <c r="DQ31" s="151">
        <f t="shared" si="46"/>
        <v>0</v>
      </c>
      <c r="DR31" s="151">
        <f t="shared" si="46"/>
        <v>0</v>
      </c>
      <c r="DS31" s="151">
        <f t="shared" si="46"/>
        <v>0</v>
      </c>
      <c r="DT31" s="151">
        <f t="shared" si="46"/>
        <v>0</v>
      </c>
      <c r="DU31" s="151">
        <f t="shared" si="46"/>
        <v>0</v>
      </c>
      <c r="DV31" s="151">
        <f t="shared" si="46"/>
        <v>0</v>
      </c>
      <c r="DW31" s="151">
        <f t="shared" si="46"/>
        <v>0</v>
      </c>
      <c r="DX31" s="151">
        <f t="shared" si="46"/>
        <v>0</v>
      </c>
      <c r="DZ31" s="158" t="str">
        <f t="shared" si="22"/>
        <v>Einsparung Arbeitskraft in €/Jahr</v>
      </c>
      <c r="EA31" s="151">
        <f t="shared" ref="EA31:EJ38" si="47">IF(AND($G31=99,$H31=99),EA$22*$F31*(1+$N31)^(EA$20)/((1+$K31)^(EA$20)),IF(AND($H31=99,EA$20&gt;=$G31,EA$20&lt;=$F$20),$F31*(1+$N31)^(EA$20)/((1+$K31)^(EA$20)),IF(AND($G31=99,EA$20&lt;=$H31,EA$20&gt;=$F$18),$F31*(1+$N31)^(EA$20)/((1+$K31)^(EA$20)),IF(AND(EA$20&lt;=$H31,EA$20&gt;=$G31,$G31&lt;&gt;99,$H31&lt;&gt;99),$F31*(1+$N31)^(EA$20)/((1+$K31)^(EA$20)),0))))</f>
        <v>0</v>
      </c>
      <c r="EB31" s="151">
        <f t="shared" si="47"/>
        <v>0</v>
      </c>
      <c r="EC31" s="151">
        <f t="shared" si="47"/>
        <v>0</v>
      </c>
      <c r="ED31" s="151">
        <f t="shared" si="47"/>
        <v>0</v>
      </c>
      <c r="EE31" s="151">
        <f t="shared" si="47"/>
        <v>0</v>
      </c>
      <c r="EF31" s="151">
        <f t="shared" si="47"/>
        <v>0</v>
      </c>
      <c r="EG31" s="151">
        <f t="shared" si="47"/>
        <v>0</v>
      </c>
      <c r="EH31" s="151">
        <f t="shared" si="47"/>
        <v>0</v>
      </c>
      <c r="EI31" s="151">
        <f t="shared" si="47"/>
        <v>0</v>
      </c>
      <c r="EJ31" s="151">
        <f t="shared" si="47"/>
        <v>0</v>
      </c>
      <c r="EK31" s="151">
        <f t="shared" ref="EK31:ET38" si="48">IF(AND($G31=99,$H31=99),EK$22*$F31*(1+$N31)^(EK$20)/((1+$K31)^(EK$20)),IF(AND($H31=99,EK$20&gt;=$G31,EK$20&lt;=$F$20),$F31*(1+$N31)^(EK$20)/((1+$K31)^(EK$20)),IF(AND($G31=99,EK$20&lt;=$H31,EK$20&gt;=$F$18),$F31*(1+$N31)^(EK$20)/((1+$K31)^(EK$20)),IF(AND(EK$20&lt;=$H31,EK$20&gt;=$G31,$G31&lt;&gt;99,$H31&lt;&gt;99),$F31*(1+$N31)^(EK$20)/((1+$K31)^(EK$20)),0))))</f>
        <v>0</v>
      </c>
      <c r="EL31" s="151">
        <f t="shared" si="48"/>
        <v>0</v>
      </c>
      <c r="EM31" s="151">
        <f t="shared" si="48"/>
        <v>0</v>
      </c>
      <c r="EN31" s="151">
        <f t="shared" si="48"/>
        <v>0</v>
      </c>
      <c r="EO31" s="151">
        <f t="shared" si="48"/>
        <v>0</v>
      </c>
      <c r="EP31" s="151">
        <f t="shared" si="48"/>
        <v>0</v>
      </c>
      <c r="EQ31" s="151">
        <f t="shared" si="48"/>
        <v>0</v>
      </c>
      <c r="ER31" s="151">
        <f t="shared" si="48"/>
        <v>0</v>
      </c>
      <c r="ES31" s="151">
        <f t="shared" si="48"/>
        <v>0</v>
      </c>
      <c r="ET31" s="151">
        <f t="shared" si="48"/>
        <v>0</v>
      </c>
      <c r="EU31" s="151">
        <f t="shared" ref="EU31:FD38" si="49">IF(AND($G31=99,$H31=99),EU$22*$F31*(1+$N31)^(EU$20)/((1+$K31)^(EU$20)),IF(AND($H31=99,EU$20&gt;=$G31,EU$20&lt;=$F$20),$F31*(1+$N31)^(EU$20)/((1+$K31)^(EU$20)),IF(AND($G31=99,EU$20&lt;=$H31,EU$20&gt;=$F$18),$F31*(1+$N31)^(EU$20)/((1+$K31)^(EU$20)),IF(AND(EU$20&lt;=$H31,EU$20&gt;=$G31,$G31&lt;&gt;99,$H31&lt;&gt;99),$F31*(1+$N31)^(EU$20)/((1+$K31)^(EU$20)),0))))</f>
        <v>0</v>
      </c>
      <c r="EV31" s="151">
        <f t="shared" si="49"/>
        <v>0</v>
      </c>
      <c r="EW31" s="151">
        <f t="shared" si="49"/>
        <v>0</v>
      </c>
      <c r="EX31" s="151">
        <f t="shared" si="49"/>
        <v>0</v>
      </c>
      <c r="EY31" s="151">
        <f t="shared" si="49"/>
        <v>0</v>
      </c>
      <c r="EZ31" s="151">
        <f t="shared" si="49"/>
        <v>0</v>
      </c>
      <c r="FA31" s="151">
        <f t="shared" si="49"/>
        <v>0</v>
      </c>
      <c r="FB31" s="151">
        <f t="shared" si="49"/>
        <v>0</v>
      </c>
      <c r="FC31" s="151">
        <f t="shared" si="49"/>
        <v>0</v>
      </c>
      <c r="FD31" s="151">
        <f t="shared" si="49"/>
        <v>0</v>
      </c>
      <c r="FE31" s="151">
        <f t="shared" ref="FE31:FN38" si="50">IF(AND($G31=99,$H31=99),FE$22*$F31*(1+$N31)^(FE$20)/((1+$K31)^(FE$20)),IF(AND($H31=99,FE$20&gt;=$G31,FE$20&lt;=$F$20),$F31*(1+$N31)^(FE$20)/((1+$K31)^(FE$20)),IF(AND($G31=99,FE$20&lt;=$H31,FE$20&gt;=$F$18),$F31*(1+$N31)^(FE$20)/((1+$K31)^(FE$20)),IF(AND(FE$20&lt;=$H31,FE$20&gt;=$G31,$G31&lt;&gt;99,$H31&lt;&gt;99),$F31*(1+$N31)^(FE$20)/((1+$K31)^(FE$20)),0))))</f>
        <v>0</v>
      </c>
      <c r="FF31" s="151">
        <f t="shared" si="50"/>
        <v>0</v>
      </c>
      <c r="FG31" s="151">
        <f t="shared" si="50"/>
        <v>0</v>
      </c>
      <c r="FH31" s="151">
        <f t="shared" si="50"/>
        <v>0</v>
      </c>
      <c r="FI31" s="151">
        <f t="shared" si="50"/>
        <v>0</v>
      </c>
      <c r="FJ31" s="151">
        <f t="shared" si="50"/>
        <v>0</v>
      </c>
      <c r="FK31" s="151">
        <f t="shared" si="50"/>
        <v>0</v>
      </c>
      <c r="FL31" s="151">
        <f t="shared" si="50"/>
        <v>0</v>
      </c>
      <c r="FM31" s="151">
        <f t="shared" si="50"/>
        <v>0</v>
      </c>
      <c r="FN31" s="151">
        <f t="shared" si="50"/>
        <v>0</v>
      </c>
      <c r="FO31" s="151">
        <f t="shared" ref="FO31:GB38" si="51">IF(AND($G31=99,$H31=99),FO$22*$F31*(1+$N31)^(FO$20)/((1+$K31)^(FO$20)),IF(AND($H31=99,FO$20&gt;=$G31,FO$20&lt;=$F$20),$F31*(1+$N31)^(FO$20)/((1+$K31)^(FO$20)),IF(AND($G31=99,FO$20&lt;=$H31,FO$20&gt;=$F$18),$F31*(1+$N31)^(FO$20)/((1+$K31)^(FO$20)),IF(AND(FO$20&lt;=$H31,FO$20&gt;=$G31,$G31&lt;&gt;99,$H31&lt;&gt;99),$F31*(1+$N31)^(FO$20)/((1+$K31)^(FO$20)),0))))</f>
        <v>0</v>
      </c>
      <c r="FP31" s="151">
        <f t="shared" si="51"/>
        <v>0</v>
      </c>
      <c r="FQ31" s="151">
        <f t="shared" si="51"/>
        <v>0</v>
      </c>
      <c r="FR31" s="151">
        <f t="shared" si="51"/>
        <v>0</v>
      </c>
      <c r="FS31" s="151">
        <f t="shared" si="51"/>
        <v>0</v>
      </c>
      <c r="FT31" s="151">
        <f t="shared" si="51"/>
        <v>0</v>
      </c>
      <c r="FU31" s="151">
        <f t="shared" si="51"/>
        <v>0</v>
      </c>
      <c r="FV31" s="151">
        <f t="shared" si="51"/>
        <v>0</v>
      </c>
      <c r="FW31" s="151">
        <f t="shared" si="51"/>
        <v>0</v>
      </c>
      <c r="FX31" s="151">
        <f t="shared" si="51"/>
        <v>0</v>
      </c>
      <c r="FY31" s="151">
        <f t="shared" si="51"/>
        <v>0</v>
      </c>
      <c r="FZ31" s="151">
        <f t="shared" si="51"/>
        <v>0</v>
      </c>
      <c r="GA31" s="151">
        <f t="shared" si="51"/>
        <v>0</v>
      </c>
      <c r="GB31" s="151">
        <f t="shared" si="51"/>
        <v>0</v>
      </c>
    </row>
    <row r="32" spans="1:184" ht="17.25" customHeight="1" x14ac:dyDescent="0.5">
      <c r="A32" s="88"/>
      <c r="B32" s="322"/>
      <c r="C32" s="101" t="s">
        <v>134</v>
      </c>
      <c r="D32" s="169"/>
      <c r="E32" s="169"/>
      <c r="F32" s="170"/>
      <c r="G32" s="177"/>
      <c r="H32" s="182"/>
      <c r="I32" s="154">
        <v>0</v>
      </c>
      <c r="J32" s="155">
        <v>0</v>
      </c>
      <c r="K32" s="156">
        <v>0</v>
      </c>
      <c r="L32" s="179">
        <f t="shared" si="13"/>
        <v>0.02</v>
      </c>
      <c r="M32" s="180">
        <f t="shared" si="14"/>
        <v>0.03</v>
      </c>
      <c r="N32" s="181">
        <f t="shared" si="15"/>
        <v>0.05</v>
      </c>
      <c r="R32" s="158" t="str">
        <f t="shared" si="16"/>
        <v>XX in €/Jahr</v>
      </c>
      <c r="S32" s="151">
        <f t="shared" si="37"/>
        <v>0</v>
      </c>
      <c r="T32" s="151">
        <f t="shared" si="37"/>
        <v>0</v>
      </c>
      <c r="U32" s="151">
        <f t="shared" si="37"/>
        <v>0</v>
      </c>
      <c r="V32" s="151">
        <f t="shared" si="37"/>
        <v>0</v>
      </c>
      <c r="W32" s="151">
        <f t="shared" si="37"/>
        <v>0</v>
      </c>
      <c r="X32" s="151">
        <f t="shared" si="37"/>
        <v>0</v>
      </c>
      <c r="Y32" s="151">
        <f t="shared" si="37"/>
        <v>0</v>
      </c>
      <c r="Z32" s="151">
        <f t="shared" si="37"/>
        <v>0</v>
      </c>
      <c r="AA32" s="151">
        <f t="shared" si="37"/>
        <v>0</v>
      </c>
      <c r="AB32" s="151">
        <f t="shared" si="37"/>
        <v>0</v>
      </c>
      <c r="AC32" s="151">
        <f t="shared" si="38"/>
        <v>0</v>
      </c>
      <c r="AD32" s="151">
        <f t="shared" si="38"/>
        <v>0</v>
      </c>
      <c r="AE32" s="151">
        <f t="shared" si="38"/>
        <v>0</v>
      </c>
      <c r="AF32" s="151">
        <f t="shared" si="38"/>
        <v>0</v>
      </c>
      <c r="AG32" s="151">
        <f t="shared" si="38"/>
        <v>0</v>
      </c>
      <c r="AH32" s="151">
        <f t="shared" si="38"/>
        <v>0</v>
      </c>
      <c r="AI32" s="151">
        <f t="shared" si="38"/>
        <v>0</v>
      </c>
      <c r="AJ32" s="151">
        <f t="shared" si="38"/>
        <v>0</v>
      </c>
      <c r="AK32" s="151">
        <f t="shared" si="38"/>
        <v>0</v>
      </c>
      <c r="AL32" s="151">
        <f t="shared" si="38"/>
        <v>0</v>
      </c>
      <c r="AM32" s="151">
        <f t="shared" si="39"/>
        <v>0</v>
      </c>
      <c r="AN32" s="151">
        <f t="shared" si="39"/>
        <v>0</v>
      </c>
      <c r="AO32" s="151">
        <f t="shared" si="39"/>
        <v>0</v>
      </c>
      <c r="AP32" s="151">
        <f t="shared" si="39"/>
        <v>0</v>
      </c>
      <c r="AQ32" s="151">
        <f t="shared" si="39"/>
        <v>0</v>
      </c>
      <c r="AR32" s="151">
        <f t="shared" si="39"/>
        <v>0</v>
      </c>
      <c r="AS32" s="151">
        <f t="shared" si="39"/>
        <v>0</v>
      </c>
      <c r="AT32" s="151">
        <f t="shared" si="39"/>
        <v>0</v>
      </c>
      <c r="AU32" s="151">
        <f t="shared" si="39"/>
        <v>0</v>
      </c>
      <c r="AV32" s="151">
        <f t="shared" si="39"/>
        <v>0</v>
      </c>
      <c r="AW32" s="151">
        <f t="shared" si="40"/>
        <v>0</v>
      </c>
      <c r="AX32" s="151">
        <f t="shared" si="40"/>
        <v>0</v>
      </c>
      <c r="AY32" s="151">
        <f t="shared" si="40"/>
        <v>0</v>
      </c>
      <c r="AZ32" s="151">
        <f t="shared" si="40"/>
        <v>0</v>
      </c>
      <c r="BA32" s="151">
        <f t="shared" si="40"/>
        <v>0</v>
      </c>
      <c r="BB32" s="151">
        <f t="shared" si="40"/>
        <v>0</v>
      </c>
      <c r="BC32" s="151">
        <f t="shared" si="40"/>
        <v>0</v>
      </c>
      <c r="BD32" s="151">
        <f t="shared" si="40"/>
        <v>0</v>
      </c>
      <c r="BE32" s="151">
        <f t="shared" si="40"/>
        <v>0</v>
      </c>
      <c r="BF32" s="151">
        <f t="shared" si="40"/>
        <v>0</v>
      </c>
      <c r="BG32" s="151">
        <f t="shared" si="41"/>
        <v>0</v>
      </c>
      <c r="BH32" s="151">
        <f t="shared" si="41"/>
        <v>0</v>
      </c>
      <c r="BI32" s="151">
        <f t="shared" si="41"/>
        <v>0</v>
      </c>
      <c r="BJ32" s="151">
        <f t="shared" si="41"/>
        <v>0</v>
      </c>
      <c r="BK32" s="151">
        <f t="shared" si="41"/>
        <v>0</v>
      </c>
      <c r="BL32" s="151">
        <f t="shared" si="41"/>
        <v>0</v>
      </c>
      <c r="BM32" s="151">
        <f t="shared" si="41"/>
        <v>0</v>
      </c>
      <c r="BN32" s="151">
        <f t="shared" si="41"/>
        <v>0</v>
      </c>
      <c r="BO32" s="151">
        <f t="shared" si="41"/>
        <v>0</v>
      </c>
      <c r="BP32" s="151">
        <f t="shared" si="41"/>
        <v>0</v>
      </c>
      <c r="BQ32" s="151">
        <f t="shared" si="41"/>
        <v>0</v>
      </c>
      <c r="BR32" s="151">
        <f t="shared" si="41"/>
        <v>0</v>
      </c>
      <c r="BS32" s="151">
        <f t="shared" si="41"/>
        <v>0</v>
      </c>
      <c r="BT32" s="151">
        <f t="shared" si="41"/>
        <v>0</v>
      </c>
      <c r="BV32" s="158" t="str">
        <f t="shared" si="19"/>
        <v>XX in €/Jahr</v>
      </c>
      <c r="BW32" s="151">
        <f t="shared" si="42"/>
        <v>0</v>
      </c>
      <c r="BX32" s="151">
        <f t="shared" si="42"/>
        <v>0</v>
      </c>
      <c r="BY32" s="151">
        <f t="shared" si="42"/>
        <v>0</v>
      </c>
      <c r="BZ32" s="151">
        <f t="shared" si="42"/>
        <v>0</v>
      </c>
      <c r="CA32" s="151">
        <f t="shared" si="42"/>
        <v>0</v>
      </c>
      <c r="CB32" s="151">
        <f t="shared" si="42"/>
        <v>0</v>
      </c>
      <c r="CC32" s="151">
        <f t="shared" si="42"/>
        <v>0</v>
      </c>
      <c r="CD32" s="151">
        <f t="shared" si="42"/>
        <v>0</v>
      </c>
      <c r="CE32" s="151">
        <f t="shared" si="42"/>
        <v>0</v>
      </c>
      <c r="CF32" s="151">
        <f t="shared" si="42"/>
        <v>0</v>
      </c>
      <c r="CG32" s="151">
        <f t="shared" si="43"/>
        <v>0</v>
      </c>
      <c r="CH32" s="151">
        <f t="shared" si="43"/>
        <v>0</v>
      </c>
      <c r="CI32" s="151">
        <f t="shared" si="43"/>
        <v>0</v>
      </c>
      <c r="CJ32" s="151">
        <f t="shared" si="43"/>
        <v>0</v>
      </c>
      <c r="CK32" s="151">
        <f t="shared" si="43"/>
        <v>0</v>
      </c>
      <c r="CL32" s="151">
        <f t="shared" si="43"/>
        <v>0</v>
      </c>
      <c r="CM32" s="151">
        <f t="shared" si="43"/>
        <v>0</v>
      </c>
      <c r="CN32" s="151">
        <f t="shared" si="43"/>
        <v>0</v>
      </c>
      <c r="CO32" s="151">
        <f t="shared" si="43"/>
        <v>0</v>
      </c>
      <c r="CP32" s="151">
        <f t="shared" si="43"/>
        <v>0</v>
      </c>
      <c r="CQ32" s="151">
        <f t="shared" si="44"/>
        <v>0</v>
      </c>
      <c r="CR32" s="151">
        <f t="shared" si="44"/>
        <v>0</v>
      </c>
      <c r="CS32" s="151">
        <f t="shared" si="44"/>
        <v>0</v>
      </c>
      <c r="CT32" s="151">
        <f t="shared" si="44"/>
        <v>0</v>
      </c>
      <c r="CU32" s="151">
        <f t="shared" si="44"/>
        <v>0</v>
      </c>
      <c r="CV32" s="151">
        <f t="shared" si="44"/>
        <v>0</v>
      </c>
      <c r="CW32" s="151">
        <f t="shared" si="44"/>
        <v>0</v>
      </c>
      <c r="CX32" s="151">
        <f t="shared" si="44"/>
        <v>0</v>
      </c>
      <c r="CY32" s="151">
        <f t="shared" si="44"/>
        <v>0</v>
      </c>
      <c r="CZ32" s="151">
        <f t="shared" si="44"/>
        <v>0</v>
      </c>
      <c r="DA32" s="151">
        <f t="shared" si="45"/>
        <v>0</v>
      </c>
      <c r="DB32" s="151">
        <f t="shared" si="45"/>
        <v>0</v>
      </c>
      <c r="DC32" s="151">
        <f t="shared" si="45"/>
        <v>0</v>
      </c>
      <c r="DD32" s="151">
        <f t="shared" si="45"/>
        <v>0</v>
      </c>
      <c r="DE32" s="151">
        <f t="shared" si="45"/>
        <v>0</v>
      </c>
      <c r="DF32" s="151">
        <f t="shared" si="45"/>
        <v>0</v>
      </c>
      <c r="DG32" s="151">
        <f t="shared" si="45"/>
        <v>0</v>
      </c>
      <c r="DH32" s="151">
        <f t="shared" si="45"/>
        <v>0</v>
      </c>
      <c r="DI32" s="151">
        <f t="shared" si="45"/>
        <v>0</v>
      </c>
      <c r="DJ32" s="151">
        <f t="shared" si="45"/>
        <v>0</v>
      </c>
      <c r="DK32" s="151">
        <f t="shared" si="46"/>
        <v>0</v>
      </c>
      <c r="DL32" s="151">
        <f t="shared" si="46"/>
        <v>0</v>
      </c>
      <c r="DM32" s="151">
        <f t="shared" si="46"/>
        <v>0</v>
      </c>
      <c r="DN32" s="151">
        <f t="shared" si="46"/>
        <v>0</v>
      </c>
      <c r="DO32" s="151">
        <f t="shared" si="46"/>
        <v>0</v>
      </c>
      <c r="DP32" s="151">
        <f t="shared" si="46"/>
        <v>0</v>
      </c>
      <c r="DQ32" s="151">
        <f t="shared" si="46"/>
        <v>0</v>
      </c>
      <c r="DR32" s="151">
        <f t="shared" si="46"/>
        <v>0</v>
      </c>
      <c r="DS32" s="151">
        <f t="shared" si="46"/>
        <v>0</v>
      </c>
      <c r="DT32" s="151">
        <f t="shared" si="46"/>
        <v>0</v>
      </c>
      <c r="DU32" s="151">
        <f t="shared" si="46"/>
        <v>0</v>
      </c>
      <c r="DV32" s="151">
        <f t="shared" si="46"/>
        <v>0</v>
      </c>
      <c r="DW32" s="151">
        <f t="shared" si="46"/>
        <v>0</v>
      </c>
      <c r="DX32" s="151">
        <f t="shared" si="46"/>
        <v>0</v>
      </c>
      <c r="DZ32" s="158" t="str">
        <f t="shared" si="22"/>
        <v>XX in €/Jahr</v>
      </c>
      <c r="EA32" s="151">
        <f t="shared" si="47"/>
        <v>0</v>
      </c>
      <c r="EB32" s="151">
        <f t="shared" si="47"/>
        <v>0</v>
      </c>
      <c r="EC32" s="151">
        <f t="shared" si="47"/>
        <v>0</v>
      </c>
      <c r="ED32" s="151">
        <f t="shared" si="47"/>
        <v>0</v>
      </c>
      <c r="EE32" s="151">
        <f t="shared" si="47"/>
        <v>0</v>
      </c>
      <c r="EF32" s="151">
        <f t="shared" si="47"/>
        <v>0</v>
      </c>
      <c r="EG32" s="151">
        <f t="shared" si="47"/>
        <v>0</v>
      </c>
      <c r="EH32" s="151">
        <f t="shared" si="47"/>
        <v>0</v>
      </c>
      <c r="EI32" s="151">
        <f t="shared" si="47"/>
        <v>0</v>
      </c>
      <c r="EJ32" s="151">
        <f t="shared" si="47"/>
        <v>0</v>
      </c>
      <c r="EK32" s="151">
        <f t="shared" si="48"/>
        <v>0</v>
      </c>
      <c r="EL32" s="151">
        <f t="shared" si="48"/>
        <v>0</v>
      </c>
      <c r="EM32" s="151">
        <f t="shared" si="48"/>
        <v>0</v>
      </c>
      <c r="EN32" s="151">
        <f t="shared" si="48"/>
        <v>0</v>
      </c>
      <c r="EO32" s="151">
        <f t="shared" si="48"/>
        <v>0</v>
      </c>
      <c r="EP32" s="151">
        <f t="shared" si="48"/>
        <v>0</v>
      </c>
      <c r="EQ32" s="151">
        <f t="shared" si="48"/>
        <v>0</v>
      </c>
      <c r="ER32" s="151">
        <f t="shared" si="48"/>
        <v>0</v>
      </c>
      <c r="ES32" s="151">
        <f t="shared" si="48"/>
        <v>0</v>
      </c>
      <c r="ET32" s="151">
        <f t="shared" si="48"/>
        <v>0</v>
      </c>
      <c r="EU32" s="151">
        <f t="shared" si="49"/>
        <v>0</v>
      </c>
      <c r="EV32" s="151">
        <f t="shared" si="49"/>
        <v>0</v>
      </c>
      <c r="EW32" s="151">
        <f t="shared" si="49"/>
        <v>0</v>
      </c>
      <c r="EX32" s="151">
        <f t="shared" si="49"/>
        <v>0</v>
      </c>
      <c r="EY32" s="151">
        <f t="shared" si="49"/>
        <v>0</v>
      </c>
      <c r="EZ32" s="151">
        <f t="shared" si="49"/>
        <v>0</v>
      </c>
      <c r="FA32" s="151">
        <f t="shared" si="49"/>
        <v>0</v>
      </c>
      <c r="FB32" s="151">
        <f t="shared" si="49"/>
        <v>0</v>
      </c>
      <c r="FC32" s="151">
        <f t="shared" si="49"/>
        <v>0</v>
      </c>
      <c r="FD32" s="151">
        <f t="shared" si="49"/>
        <v>0</v>
      </c>
      <c r="FE32" s="151">
        <f t="shared" si="50"/>
        <v>0</v>
      </c>
      <c r="FF32" s="151">
        <f t="shared" si="50"/>
        <v>0</v>
      </c>
      <c r="FG32" s="151">
        <f t="shared" si="50"/>
        <v>0</v>
      </c>
      <c r="FH32" s="151">
        <f t="shared" si="50"/>
        <v>0</v>
      </c>
      <c r="FI32" s="151">
        <f t="shared" si="50"/>
        <v>0</v>
      </c>
      <c r="FJ32" s="151">
        <f t="shared" si="50"/>
        <v>0</v>
      </c>
      <c r="FK32" s="151">
        <f t="shared" si="50"/>
        <v>0</v>
      </c>
      <c r="FL32" s="151">
        <f t="shared" si="50"/>
        <v>0</v>
      </c>
      <c r="FM32" s="151">
        <f t="shared" si="50"/>
        <v>0</v>
      </c>
      <c r="FN32" s="151">
        <f t="shared" si="50"/>
        <v>0</v>
      </c>
      <c r="FO32" s="151">
        <f t="shared" si="51"/>
        <v>0</v>
      </c>
      <c r="FP32" s="151">
        <f t="shared" si="51"/>
        <v>0</v>
      </c>
      <c r="FQ32" s="151">
        <f t="shared" si="51"/>
        <v>0</v>
      </c>
      <c r="FR32" s="151">
        <f t="shared" si="51"/>
        <v>0</v>
      </c>
      <c r="FS32" s="151">
        <f t="shared" si="51"/>
        <v>0</v>
      </c>
      <c r="FT32" s="151">
        <f t="shared" si="51"/>
        <v>0</v>
      </c>
      <c r="FU32" s="151">
        <f t="shared" si="51"/>
        <v>0</v>
      </c>
      <c r="FV32" s="151">
        <f t="shared" si="51"/>
        <v>0</v>
      </c>
      <c r="FW32" s="151">
        <f t="shared" si="51"/>
        <v>0</v>
      </c>
      <c r="FX32" s="151">
        <f t="shared" si="51"/>
        <v>0</v>
      </c>
      <c r="FY32" s="151">
        <f t="shared" si="51"/>
        <v>0</v>
      </c>
      <c r="FZ32" s="151">
        <f t="shared" si="51"/>
        <v>0</v>
      </c>
      <c r="GA32" s="151">
        <f t="shared" si="51"/>
        <v>0</v>
      </c>
      <c r="GB32" s="151">
        <f t="shared" si="51"/>
        <v>0</v>
      </c>
    </row>
    <row r="33" spans="1:184" ht="17.25" customHeight="1" x14ac:dyDescent="0.5">
      <c r="A33" s="88"/>
      <c r="B33" s="322"/>
      <c r="C33" s="101" t="s">
        <v>134</v>
      </c>
      <c r="D33" s="169"/>
      <c r="E33" s="169"/>
      <c r="F33" s="170"/>
      <c r="G33" s="177"/>
      <c r="H33" s="182"/>
      <c r="I33" s="154">
        <v>0</v>
      </c>
      <c r="J33" s="155">
        <v>0</v>
      </c>
      <c r="K33" s="156">
        <v>0</v>
      </c>
      <c r="L33" s="179">
        <f t="shared" si="13"/>
        <v>0.02</v>
      </c>
      <c r="M33" s="180">
        <f t="shared" si="14"/>
        <v>0.03</v>
      </c>
      <c r="N33" s="181">
        <f t="shared" si="15"/>
        <v>0.05</v>
      </c>
      <c r="R33" s="158" t="str">
        <f t="shared" si="16"/>
        <v>XX in €/Jahr</v>
      </c>
      <c r="S33" s="151">
        <f t="shared" si="37"/>
        <v>0</v>
      </c>
      <c r="T33" s="151">
        <f t="shared" si="37"/>
        <v>0</v>
      </c>
      <c r="U33" s="151">
        <f t="shared" si="37"/>
        <v>0</v>
      </c>
      <c r="V33" s="151">
        <f t="shared" si="37"/>
        <v>0</v>
      </c>
      <c r="W33" s="151">
        <f t="shared" si="37"/>
        <v>0</v>
      </c>
      <c r="X33" s="151">
        <f t="shared" si="37"/>
        <v>0</v>
      </c>
      <c r="Y33" s="151">
        <f t="shared" si="37"/>
        <v>0</v>
      </c>
      <c r="Z33" s="151">
        <f t="shared" si="37"/>
        <v>0</v>
      </c>
      <c r="AA33" s="151">
        <f t="shared" si="37"/>
        <v>0</v>
      </c>
      <c r="AB33" s="151">
        <f t="shared" si="37"/>
        <v>0</v>
      </c>
      <c r="AC33" s="151">
        <f t="shared" si="38"/>
        <v>0</v>
      </c>
      <c r="AD33" s="151">
        <f t="shared" si="38"/>
        <v>0</v>
      </c>
      <c r="AE33" s="151">
        <f t="shared" si="38"/>
        <v>0</v>
      </c>
      <c r="AF33" s="151">
        <f t="shared" si="38"/>
        <v>0</v>
      </c>
      <c r="AG33" s="151">
        <f t="shared" si="38"/>
        <v>0</v>
      </c>
      <c r="AH33" s="151">
        <f t="shared" si="38"/>
        <v>0</v>
      </c>
      <c r="AI33" s="151">
        <f t="shared" si="38"/>
        <v>0</v>
      </c>
      <c r="AJ33" s="151">
        <f t="shared" si="38"/>
        <v>0</v>
      </c>
      <c r="AK33" s="151">
        <f t="shared" si="38"/>
        <v>0</v>
      </c>
      <c r="AL33" s="151">
        <f t="shared" si="38"/>
        <v>0</v>
      </c>
      <c r="AM33" s="151">
        <f t="shared" si="39"/>
        <v>0</v>
      </c>
      <c r="AN33" s="151">
        <f t="shared" si="39"/>
        <v>0</v>
      </c>
      <c r="AO33" s="151">
        <f t="shared" si="39"/>
        <v>0</v>
      </c>
      <c r="AP33" s="151">
        <f t="shared" si="39"/>
        <v>0</v>
      </c>
      <c r="AQ33" s="151">
        <f t="shared" si="39"/>
        <v>0</v>
      </c>
      <c r="AR33" s="151">
        <f t="shared" si="39"/>
        <v>0</v>
      </c>
      <c r="AS33" s="151">
        <f t="shared" si="39"/>
        <v>0</v>
      </c>
      <c r="AT33" s="151">
        <f t="shared" si="39"/>
        <v>0</v>
      </c>
      <c r="AU33" s="151">
        <f t="shared" si="39"/>
        <v>0</v>
      </c>
      <c r="AV33" s="151">
        <f t="shared" si="39"/>
        <v>0</v>
      </c>
      <c r="AW33" s="151">
        <f t="shared" si="40"/>
        <v>0</v>
      </c>
      <c r="AX33" s="151">
        <f t="shared" si="40"/>
        <v>0</v>
      </c>
      <c r="AY33" s="151">
        <f t="shared" si="40"/>
        <v>0</v>
      </c>
      <c r="AZ33" s="151">
        <f t="shared" si="40"/>
        <v>0</v>
      </c>
      <c r="BA33" s="151">
        <f t="shared" si="40"/>
        <v>0</v>
      </c>
      <c r="BB33" s="151">
        <f t="shared" si="40"/>
        <v>0</v>
      </c>
      <c r="BC33" s="151">
        <f t="shared" si="40"/>
        <v>0</v>
      </c>
      <c r="BD33" s="151">
        <f t="shared" si="40"/>
        <v>0</v>
      </c>
      <c r="BE33" s="151">
        <f t="shared" si="40"/>
        <v>0</v>
      </c>
      <c r="BF33" s="151">
        <f t="shared" si="40"/>
        <v>0</v>
      </c>
      <c r="BG33" s="151">
        <f t="shared" si="41"/>
        <v>0</v>
      </c>
      <c r="BH33" s="151">
        <f t="shared" si="41"/>
        <v>0</v>
      </c>
      <c r="BI33" s="151">
        <f t="shared" si="41"/>
        <v>0</v>
      </c>
      <c r="BJ33" s="151">
        <f t="shared" si="41"/>
        <v>0</v>
      </c>
      <c r="BK33" s="151">
        <f t="shared" si="41"/>
        <v>0</v>
      </c>
      <c r="BL33" s="151">
        <f t="shared" si="41"/>
        <v>0</v>
      </c>
      <c r="BM33" s="151">
        <f t="shared" si="41"/>
        <v>0</v>
      </c>
      <c r="BN33" s="151">
        <f t="shared" si="41"/>
        <v>0</v>
      </c>
      <c r="BO33" s="151">
        <f t="shared" si="41"/>
        <v>0</v>
      </c>
      <c r="BP33" s="151">
        <f t="shared" si="41"/>
        <v>0</v>
      </c>
      <c r="BQ33" s="151">
        <f t="shared" si="41"/>
        <v>0</v>
      </c>
      <c r="BR33" s="151">
        <f t="shared" si="41"/>
        <v>0</v>
      </c>
      <c r="BS33" s="151">
        <f t="shared" si="41"/>
        <v>0</v>
      </c>
      <c r="BT33" s="151">
        <f t="shared" si="41"/>
        <v>0</v>
      </c>
      <c r="BV33" s="158" t="str">
        <f t="shared" si="19"/>
        <v>XX in €/Jahr</v>
      </c>
      <c r="BW33" s="151">
        <f t="shared" si="42"/>
        <v>0</v>
      </c>
      <c r="BX33" s="151">
        <f t="shared" si="42"/>
        <v>0</v>
      </c>
      <c r="BY33" s="151">
        <f t="shared" si="42"/>
        <v>0</v>
      </c>
      <c r="BZ33" s="151">
        <f t="shared" si="42"/>
        <v>0</v>
      </c>
      <c r="CA33" s="151">
        <f t="shared" si="42"/>
        <v>0</v>
      </c>
      <c r="CB33" s="151">
        <f t="shared" si="42"/>
        <v>0</v>
      </c>
      <c r="CC33" s="151">
        <f t="shared" si="42"/>
        <v>0</v>
      </c>
      <c r="CD33" s="151">
        <f t="shared" si="42"/>
        <v>0</v>
      </c>
      <c r="CE33" s="151">
        <f t="shared" si="42"/>
        <v>0</v>
      </c>
      <c r="CF33" s="151">
        <f t="shared" si="42"/>
        <v>0</v>
      </c>
      <c r="CG33" s="151">
        <f t="shared" si="43"/>
        <v>0</v>
      </c>
      <c r="CH33" s="151">
        <f t="shared" si="43"/>
        <v>0</v>
      </c>
      <c r="CI33" s="151">
        <f t="shared" si="43"/>
        <v>0</v>
      </c>
      <c r="CJ33" s="151">
        <f t="shared" si="43"/>
        <v>0</v>
      </c>
      <c r="CK33" s="151">
        <f t="shared" si="43"/>
        <v>0</v>
      </c>
      <c r="CL33" s="151">
        <f t="shared" si="43"/>
        <v>0</v>
      </c>
      <c r="CM33" s="151">
        <f t="shared" si="43"/>
        <v>0</v>
      </c>
      <c r="CN33" s="151">
        <f t="shared" si="43"/>
        <v>0</v>
      </c>
      <c r="CO33" s="151">
        <f t="shared" si="43"/>
        <v>0</v>
      </c>
      <c r="CP33" s="151">
        <f t="shared" si="43"/>
        <v>0</v>
      </c>
      <c r="CQ33" s="151">
        <f t="shared" si="44"/>
        <v>0</v>
      </c>
      <c r="CR33" s="151">
        <f t="shared" si="44"/>
        <v>0</v>
      </c>
      <c r="CS33" s="151">
        <f t="shared" si="44"/>
        <v>0</v>
      </c>
      <c r="CT33" s="151">
        <f t="shared" si="44"/>
        <v>0</v>
      </c>
      <c r="CU33" s="151">
        <f t="shared" si="44"/>
        <v>0</v>
      </c>
      <c r="CV33" s="151">
        <f t="shared" si="44"/>
        <v>0</v>
      </c>
      <c r="CW33" s="151">
        <f t="shared" si="44"/>
        <v>0</v>
      </c>
      <c r="CX33" s="151">
        <f t="shared" si="44"/>
        <v>0</v>
      </c>
      <c r="CY33" s="151">
        <f t="shared" si="44"/>
        <v>0</v>
      </c>
      <c r="CZ33" s="151">
        <f t="shared" si="44"/>
        <v>0</v>
      </c>
      <c r="DA33" s="151">
        <f t="shared" si="45"/>
        <v>0</v>
      </c>
      <c r="DB33" s="151">
        <f t="shared" si="45"/>
        <v>0</v>
      </c>
      <c r="DC33" s="151">
        <f t="shared" si="45"/>
        <v>0</v>
      </c>
      <c r="DD33" s="151">
        <f t="shared" si="45"/>
        <v>0</v>
      </c>
      <c r="DE33" s="151">
        <f t="shared" si="45"/>
        <v>0</v>
      </c>
      <c r="DF33" s="151">
        <f t="shared" si="45"/>
        <v>0</v>
      </c>
      <c r="DG33" s="151">
        <f t="shared" si="45"/>
        <v>0</v>
      </c>
      <c r="DH33" s="151">
        <f t="shared" si="45"/>
        <v>0</v>
      </c>
      <c r="DI33" s="151">
        <f t="shared" si="45"/>
        <v>0</v>
      </c>
      <c r="DJ33" s="151">
        <f t="shared" si="45"/>
        <v>0</v>
      </c>
      <c r="DK33" s="151">
        <f t="shared" si="46"/>
        <v>0</v>
      </c>
      <c r="DL33" s="151">
        <f t="shared" si="46"/>
        <v>0</v>
      </c>
      <c r="DM33" s="151">
        <f t="shared" si="46"/>
        <v>0</v>
      </c>
      <c r="DN33" s="151">
        <f t="shared" si="46"/>
        <v>0</v>
      </c>
      <c r="DO33" s="151">
        <f t="shared" si="46"/>
        <v>0</v>
      </c>
      <c r="DP33" s="151">
        <f t="shared" si="46"/>
        <v>0</v>
      </c>
      <c r="DQ33" s="151">
        <f t="shared" si="46"/>
        <v>0</v>
      </c>
      <c r="DR33" s="151">
        <f t="shared" si="46"/>
        <v>0</v>
      </c>
      <c r="DS33" s="151">
        <f t="shared" si="46"/>
        <v>0</v>
      </c>
      <c r="DT33" s="151">
        <f t="shared" si="46"/>
        <v>0</v>
      </c>
      <c r="DU33" s="151">
        <f t="shared" si="46"/>
        <v>0</v>
      </c>
      <c r="DV33" s="151">
        <f t="shared" si="46"/>
        <v>0</v>
      </c>
      <c r="DW33" s="151">
        <f t="shared" si="46"/>
        <v>0</v>
      </c>
      <c r="DX33" s="151">
        <f t="shared" si="46"/>
        <v>0</v>
      </c>
      <c r="DZ33" s="158" t="str">
        <f t="shared" si="22"/>
        <v>XX in €/Jahr</v>
      </c>
      <c r="EA33" s="151">
        <f t="shared" si="47"/>
        <v>0</v>
      </c>
      <c r="EB33" s="151">
        <f t="shared" si="47"/>
        <v>0</v>
      </c>
      <c r="EC33" s="151">
        <f t="shared" si="47"/>
        <v>0</v>
      </c>
      <c r="ED33" s="151">
        <f t="shared" si="47"/>
        <v>0</v>
      </c>
      <c r="EE33" s="151">
        <f t="shared" si="47"/>
        <v>0</v>
      </c>
      <c r="EF33" s="151">
        <f t="shared" si="47"/>
        <v>0</v>
      </c>
      <c r="EG33" s="151">
        <f t="shared" si="47"/>
        <v>0</v>
      </c>
      <c r="EH33" s="151">
        <f t="shared" si="47"/>
        <v>0</v>
      </c>
      <c r="EI33" s="151">
        <f t="shared" si="47"/>
        <v>0</v>
      </c>
      <c r="EJ33" s="151">
        <f t="shared" si="47"/>
        <v>0</v>
      </c>
      <c r="EK33" s="151">
        <f t="shared" si="48"/>
        <v>0</v>
      </c>
      <c r="EL33" s="151">
        <f t="shared" si="48"/>
        <v>0</v>
      </c>
      <c r="EM33" s="151">
        <f t="shared" si="48"/>
        <v>0</v>
      </c>
      <c r="EN33" s="151">
        <f t="shared" si="48"/>
        <v>0</v>
      </c>
      <c r="EO33" s="151">
        <f t="shared" si="48"/>
        <v>0</v>
      </c>
      <c r="EP33" s="151">
        <f t="shared" si="48"/>
        <v>0</v>
      </c>
      <c r="EQ33" s="151">
        <f t="shared" si="48"/>
        <v>0</v>
      </c>
      <c r="ER33" s="151">
        <f t="shared" si="48"/>
        <v>0</v>
      </c>
      <c r="ES33" s="151">
        <f t="shared" si="48"/>
        <v>0</v>
      </c>
      <c r="ET33" s="151">
        <f t="shared" si="48"/>
        <v>0</v>
      </c>
      <c r="EU33" s="151">
        <f t="shared" si="49"/>
        <v>0</v>
      </c>
      <c r="EV33" s="151">
        <f t="shared" si="49"/>
        <v>0</v>
      </c>
      <c r="EW33" s="151">
        <f t="shared" si="49"/>
        <v>0</v>
      </c>
      <c r="EX33" s="151">
        <f t="shared" si="49"/>
        <v>0</v>
      </c>
      <c r="EY33" s="151">
        <f t="shared" si="49"/>
        <v>0</v>
      </c>
      <c r="EZ33" s="151">
        <f t="shared" si="49"/>
        <v>0</v>
      </c>
      <c r="FA33" s="151">
        <f t="shared" si="49"/>
        <v>0</v>
      </c>
      <c r="FB33" s="151">
        <f t="shared" si="49"/>
        <v>0</v>
      </c>
      <c r="FC33" s="151">
        <f t="shared" si="49"/>
        <v>0</v>
      </c>
      <c r="FD33" s="151">
        <f t="shared" si="49"/>
        <v>0</v>
      </c>
      <c r="FE33" s="151">
        <f t="shared" si="50"/>
        <v>0</v>
      </c>
      <c r="FF33" s="151">
        <f t="shared" si="50"/>
        <v>0</v>
      </c>
      <c r="FG33" s="151">
        <f t="shared" si="50"/>
        <v>0</v>
      </c>
      <c r="FH33" s="151">
        <f t="shared" si="50"/>
        <v>0</v>
      </c>
      <c r="FI33" s="151">
        <f t="shared" si="50"/>
        <v>0</v>
      </c>
      <c r="FJ33" s="151">
        <f t="shared" si="50"/>
        <v>0</v>
      </c>
      <c r="FK33" s="151">
        <f t="shared" si="50"/>
        <v>0</v>
      </c>
      <c r="FL33" s="151">
        <f t="shared" si="50"/>
        <v>0</v>
      </c>
      <c r="FM33" s="151">
        <f t="shared" si="50"/>
        <v>0</v>
      </c>
      <c r="FN33" s="151">
        <f t="shared" si="50"/>
        <v>0</v>
      </c>
      <c r="FO33" s="151">
        <f t="shared" si="51"/>
        <v>0</v>
      </c>
      <c r="FP33" s="151">
        <f t="shared" si="51"/>
        <v>0</v>
      </c>
      <c r="FQ33" s="151">
        <f t="shared" si="51"/>
        <v>0</v>
      </c>
      <c r="FR33" s="151">
        <f t="shared" si="51"/>
        <v>0</v>
      </c>
      <c r="FS33" s="151">
        <f t="shared" si="51"/>
        <v>0</v>
      </c>
      <c r="FT33" s="151">
        <f t="shared" si="51"/>
        <v>0</v>
      </c>
      <c r="FU33" s="151">
        <f t="shared" si="51"/>
        <v>0</v>
      </c>
      <c r="FV33" s="151">
        <f t="shared" si="51"/>
        <v>0</v>
      </c>
      <c r="FW33" s="151">
        <f t="shared" si="51"/>
        <v>0</v>
      </c>
      <c r="FX33" s="151">
        <f t="shared" si="51"/>
        <v>0</v>
      </c>
      <c r="FY33" s="151">
        <f t="shared" si="51"/>
        <v>0</v>
      </c>
      <c r="FZ33" s="151">
        <f t="shared" si="51"/>
        <v>0</v>
      </c>
      <c r="GA33" s="151">
        <f t="shared" si="51"/>
        <v>0</v>
      </c>
      <c r="GB33" s="151">
        <f t="shared" si="51"/>
        <v>0</v>
      </c>
    </row>
    <row r="34" spans="1:184" ht="17.25" customHeight="1" x14ac:dyDescent="0.5">
      <c r="A34" s="88"/>
      <c r="B34" s="322"/>
      <c r="C34" s="101" t="s">
        <v>134</v>
      </c>
      <c r="D34" s="169"/>
      <c r="E34" s="169"/>
      <c r="F34" s="170"/>
      <c r="G34" s="177"/>
      <c r="H34" s="182"/>
      <c r="I34" s="154">
        <v>0</v>
      </c>
      <c r="J34" s="155">
        <v>0</v>
      </c>
      <c r="K34" s="156">
        <v>0</v>
      </c>
      <c r="L34" s="179">
        <f t="shared" si="13"/>
        <v>0.02</v>
      </c>
      <c r="M34" s="180">
        <f t="shared" si="14"/>
        <v>0.03</v>
      </c>
      <c r="N34" s="181">
        <f t="shared" si="15"/>
        <v>0.05</v>
      </c>
      <c r="R34" s="158" t="str">
        <f t="shared" si="16"/>
        <v>XX in €/Jahr</v>
      </c>
      <c r="S34" s="151">
        <f t="shared" si="37"/>
        <v>0</v>
      </c>
      <c r="T34" s="151">
        <f t="shared" si="37"/>
        <v>0</v>
      </c>
      <c r="U34" s="151">
        <f t="shared" si="37"/>
        <v>0</v>
      </c>
      <c r="V34" s="151">
        <f t="shared" si="37"/>
        <v>0</v>
      </c>
      <c r="W34" s="151">
        <f t="shared" si="37"/>
        <v>0</v>
      </c>
      <c r="X34" s="151">
        <f t="shared" si="37"/>
        <v>0</v>
      </c>
      <c r="Y34" s="151">
        <f t="shared" si="37"/>
        <v>0</v>
      </c>
      <c r="Z34" s="151">
        <f t="shared" si="37"/>
        <v>0</v>
      </c>
      <c r="AA34" s="151">
        <f t="shared" si="37"/>
        <v>0</v>
      </c>
      <c r="AB34" s="151">
        <f t="shared" si="37"/>
        <v>0</v>
      </c>
      <c r="AC34" s="151">
        <f t="shared" si="38"/>
        <v>0</v>
      </c>
      <c r="AD34" s="151">
        <f t="shared" si="38"/>
        <v>0</v>
      </c>
      <c r="AE34" s="151">
        <f t="shared" si="38"/>
        <v>0</v>
      </c>
      <c r="AF34" s="151">
        <f t="shared" si="38"/>
        <v>0</v>
      </c>
      <c r="AG34" s="151">
        <f t="shared" si="38"/>
        <v>0</v>
      </c>
      <c r="AH34" s="151">
        <f t="shared" si="38"/>
        <v>0</v>
      </c>
      <c r="AI34" s="151">
        <f t="shared" si="38"/>
        <v>0</v>
      </c>
      <c r="AJ34" s="151">
        <f t="shared" si="38"/>
        <v>0</v>
      </c>
      <c r="AK34" s="151">
        <f t="shared" si="38"/>
        <v>0</v>
      </c>
      <c r="AL34" s="151">
        <f t="shared" si="38"/>
        <v>0</v>
      </c>
      <c r="AM34" s="151">
        <f t="shared" si="39"/>
        <v>0</v>
      </c>
      <c r="AN34" s="151">
        <f t="shared" si="39"/>
        <v>0</v>
      </c>
      <c r="AO34" s="151">
        <f t="shared" si="39"/>
        <v>0</v>
      </c>
      <c r="AP34" s="151">
        <f t="shared" si="39"/>
        <v>0</v>
      </c>
      <c r="AQ34" s="151">
        <f t="shared" si="39"/>
        <v>0</v>
      </c>
      <c r="AR34" s="151">
        <f t="shared" si="39"/>
        <v>0</v>
      </c>
      <c r="AS34" s="151">
        <f t="shared" si="39"/>
        <v>0</v>
      </c>
      <c r="AT34" s="151">
        <f t="shared" si="39"/>
        <v>0</v>
      </c>
      <c r="AU34" s="151">
        <f t="shared" si="39"/>
        <v>0</v>
      </c>
      <c r="AV34" s="151">
        <f t="shared" si="39"/>
        <v>0</v>
      </c>
      <c r="AW34" s="151">
        <f t="shared" si="40"/>
        <v>0</v>
      </c>
      <c r="AX34" s="151">
        <f t="shared" si="40"/>
        <v>0</v>
      </c>
      <c r="AY34" s="151">
        <f t="shared" si="40"/>
        <v>0</v>
      </c>
      <c r="AZ34" s="151">
        <f t="shared" si="40"/>
        <v>0</v>
      </c>
      <c r="BA34" s="151">
        <f t="shared" si="40"/>
        <v>0</v>
      </c>
      <c r="BB34" s="151">
        <f t="shared" si="40"/>
        <v>0</v>
      </c>
      <c r="BC34" s="151">
        <f t="shared" si="40"/>
        <v>0</v>
      </c>
      <c r="BD34" s="151">
        <f t="shared" si="40"/>
        <v>0</v>
      </c>
      <c r="BE34" s="151">
        <f t="shared" si="40"/>
        <v>0</v>
      </c>
      <c r="BF34" s="151">
        <f t="shared" si="40"/>
        <v>0</v>
      </c>
      <c r="BG34" s="151">
        <f t="shared" si="41"/>
        <v>0</v>
      </c>
      <c r="BH34" s="151">
        <f t="shared" si="41"/>
        <v>0</v>
      </c>
      <c r="BI34" s="151">
        <f t="shared" si="41"/>
        <v>0</v>
      </c>
      <c r="BJ34" s="151">
        <f t="shared" si="41"/>
        <v>0</v>
      </c>
      <c r="BK34" s="151">
        <f t="shared" si="41"/>
        <v>0</v>
      </c>
      <c r="BL34" s="151">
        <f t="shared" si="41"/>
        <v>0</v>
      </c>
      <c r="BM34" s="151">
        <f t="shared" si="41"/>
        <v>0</v>
      </c>
      <c r="BN34" s="151">
        <f t="shared" si="41"/>
        <v>0</v>
      </c>
      <c r="BO34" s="151">
        <f t="shared" si="41"/>
        <v>0</v>
      </c>
      <c r="BP34" s="151">
        <f t="shared" si="41"/>
        <v>0</v>
      </c>
      <c r="BQ34" s="151">
        <f t="shared" si="41"/>
        <v>0</v>
      </c>
      <c r="BR34" s="151">
        <f t="shared" si="41"/>
        <v>0</v>
      </c>
      <c r="BS34" s="151">
        <f t="shared" si="41"/>
        <v>0</v>
      </c>
      <c r="BT34" s="151">
        <f t="shared" si="41"/>
        <v>0</v>
      </c>
      <c r="BV34" s="158" t="str">
        <f t="shared" si="19"/>
        <v>XX in €/Jahr</v>
      </c>
      <c r="BW34" s="151">
        <f t="shared" si="42"/>
        <v>0</v>
      </c>
      <c r="BX34" s="151">
        <f t="shared" si="42"/>
        <v>0</v>
      </c>
      <c r="BY34" s="151">
        <f t="shared" si="42"/>
        <v>0</v>
      </c>
      <c r="BZ34" s="151">
        <f t="shared" si="42"/>
        <v>0</v>
      </c>
      <c r="CA34" s="151">
        <f t="shared" si="42"/>
        <v>0</v>
      </c>
      <c r="CB34" s="151">
        <f t="shared" si="42"/>
        <v>0</v>
      </c>
      <c r="CC34" s="151">
        <f t="shared" si="42"/>
        <v>0</v>
      </c>
      <c r="CD34" s="151">
        <f t="shared" si="42"/>
        <v>0</v>
      </c>
      <c r="CE34" s="151">
        <f t="shared" si="42"/>
        <v>0</v>
      </c>
      <c r="CF34" s="151">
        <f t="shared" si="42"/>
        <v>0</v>
      </c>
      <c r="CG34" s="151">
        <f t="shared" si="43"/>
        <v>0</v>
      </c>
      <c r="CH34" s="151">
        <f t="shared" si="43"/>
        <v>0</v>
      </c>
      <c r="CI34" s="151">
        <f t="shared" si="43"/>
        <v>0</v>
      </c>
      <c r="CJ34" s="151">
        <f t="shared" si="43"/>
        <v>0</v>
      </c>
      <c r="CK34" s="151">
        <f t="shared" si="43"/>
        <v>0</v>
      </c>
      <c r="CL34" s="151">
        <f t="shared" si="43"/>
        <v>0</v>
      </c>
      <c r="CM34" s="151">
        <f t="shared" si="43"/>
        <v>0</v>
      </c>
      <c r="CN34" s="151">
        <f t="shared" si="43"/>
        <v>0</v>
      </c>
      <c r="CO34" s="151">
        <f t="shared" si="43"/>
        <v>0</v>
      </c>
      <c r="CP34" s="151">
        <f t="shared" si="43"/>
        <v>0</v>
      </c>
      <c r="CQ34" s="151">
        <f t="shared" si="44"/>
        <v>0</v>
      </c>
      <c r="CR34" s="151">
        <f t="shared" si="44"/>
        <v>0</v>
      </c>
      <c r="CS34" s="151">
        <f t="shared" si="44"/>
        <v>0</v>
      </c>
      <c r="CT34" s="151">
        <f t="shared" si="44"/>
        <v>0</v>
      </c>
      <c r="CU34" s="151">
        <f t="shared" si="44"/>
        <v>0</v>
      </c>
      <c r="CV34" s="151">
        <f t="shared" si="44"/>
        <v>0</v>
      </c>
      <c r="CW34" s="151">
        <f t="shared" si="44"/>
        <v>0</v>
      </c>
      <c r="CX34" s="151">
        <f t="shared" si="44"/>
        <v>0</v>
      </c>
      <c r="CY34" s="151">
        <f t="shared" si="44"/>
        <v>0</v>
      </c>
      <c r="CZ34" s="151">
        <f t="shared" si="44"/>
        <v>0</v>
      </c>
      <c r="DA34" s="151">
        <f t="shared" si="45"/>
        <v>0</v>
      </c>
      <c r="DB34" s="151">
        <f t="shared" si="45"/>
        <v>0</v>
      </c>
      <c r="DC34" s="151">
        <f t="shared" si="45"/>
        <v>0</v>
      </c>
      <c r="DD34" s="151">
        <f t="shared" si="45"/>
        <v>0</v>
      </c>
      <c r="DE34" s="151">
        <f t="shared" si="45"/>
        <v>0</v>
      </c>
      <c r="DF34" s="151">
        <f t="shared" si="45"/>
        <v>0</v>
      </c>
      <c r="DG34" s="151">
        <f t="shared" si="45"/>
        <v>0</v>
      </c>
      <c r="DH34" s="151">
        <f t="shared" si="45"/>
        <v>0</v>
      </c>
      <c r="DI34" s="151">
        <f t="shared" si="45"/>
        <v>0</v>
      </c>
      <c r="DJ34" s="151">
        <f t="shared" si="45"/>
        <v>0</v>
      </c>
      <c r="DK34" s="151">
        <f t="shared" si="46"/>
        <v>0</v>
      </c>
      <c r="DL34" s="151">
        <f t="shared" si="46"/>
        <v>0</v>
      </c>
      <c r="DM34" s="151">
        <f t="shared" si="46"/>
        <v>0</v>
      </c>
      <c r="DN34" s="151">
        <f t="shared" si="46"/>
        <v>0</v>
      </c>
      <c r="DO34" s="151">
        <f t="shared" si="46"/>
        <v>0</v>
      </c>
      <c r="DP34" s="151">
        <f t="shared" si="46"/>
        <v>0</v>
      </c>
      <c r="DQ34" s="151">
        <f t="shared" si="46"/>
        <v>0</v>
      </c>
      <c r="DR34" s="151">
        <f t="shared" si="46"/>
        <v>0</v>
      </c>
      <c r="DS34" s="151">
        <f t="shared" si="46"/>
        <v>0</v>
      </c>
      <c r="DT34" s="151">
        <f t="shared" si="46"/>
        <v>0</v>
      </c>
      <c r="DU34" s="151">
        <f t="shared" si="46"/>
        <v>0</v>
      </c>
      <c r="DV34" s="151">
        <f t="shared" si="46"/>
        <v>0</v>
      </c>
      <c r="DW34" s="151">
        <f t="shared" si="46"/>
        <v>0</v>
      </c>
      <c r="DX34" s="151">
        <f t="shared" si="46"/>
        <v>0</v>
      </c>
      <c r="DZ34" s="158" t="str">
        <f t="shared" si="22"/>
        <v>XX in €/Jahr</v>
      </c>
      <c r="EA34" s="151">
        <f t="shared" si="47"/>
        <v>0</v>
      </c>
      <c r="EB34" s="151">
        <f t="shared" si="47"/>
        <v>0</v>
      </c>
      <c r="EC34" s="151">
        <f t="shared" si="47"/>
        <v>0</v>
      </c>
      <c r="ED34" s="151">
        <f t="shared" si="47"/>
        <v>0</v>
      </c>
      <c r="EE34" s="151">
        <f t="shared" si="47"/>
        <v>0</v>
      </c>
      <c r="EF34" s="151">
        <f t="shared" si="47"/>
        <v>0</v>
      </c>
      <c r="EG34" s="151">
        <f t="shared" si="47"/>
        <v>0</v>
      </c>
      <c r="EH34" s="151">
        <f t="shared" si="47"/>
        <v>0</v>
      </c>
      <c r="EI34" s="151">
        <f t="shared" si="47"/>
        <v>0</v>
      </c>
      <c r="EJ34" s="151">
        <f t="shared" si="47"/>
        <v>0</v>
      </c>
      <c r="EK34" s="151">
        <f t="shared" si="48"/>
        <v>0</v>
      </c>
      <c r="EL34" s="151">
        <f t="shared" si="48"/>
        <v>0</v>
      </c>
      <c r="EM34" s="151">
        <f t="shared" si="48"/>
        <v>0</v>
      </c>
      <c r="EN34" s="151">
        <f t="shared" si="48"/>
        <v>0</v>
      </c>
      <c r="EO34" s="151">
        <f t="shared" si="48"/>
        <v>0</v>
      </c>
      <c r="EP34" s="151">
        <f t="shared" si="48"/>
        <v>0</v>
      </c>
      <c r="EQ34" s="151">
        <f t="shared" si="48"/>
        <v>0</v>
      </c>
      <c r="ER34" s="151">
        <f t="shared" si="48"/>
        <v>0</v>
      </c>
      <c r="ES34" s="151">
        <f t="shared" si="48"/>
        <v>0</v>
      </c>
      <c r="ET34" s="151">
        <f t="shared" si="48"/>
        <v>0</v>
      </c>
      <c r="EU34" s="151">
        <f t="shared" si="49"/>
        <v>0</v>
      </c>
      <c r="EV34" s="151">
        <f t="shared" si="49"/>
        <v>0</v>
      </c>
      <c r="EW34" s="151">
        <f t="shared" si="49"/>
        <v>0</v>
      </c>
      <c r="EX34" s="151">
        <f t="shared" si="49"/>
        <v>0</v>
      </c>
      <c r="EY34" s="151">
        <f t="shared" si="49"/>
        <v>0</v>
      </c>
      <c r="EZ34" s="151">
        <f t="shared" si="49"/>
        <v>0</v>
      </c>
      <c r="FA34" s="151">
        <f t="shared" si="49"/>
        <v>0</v>
      </c>
      <c r="FB34" s="151">
        <f t="shared" si="49"/>
        <v>0</v>
      </c>
      <c r="FC34" s="151">
        <f t="shared" si="49"/>
        <v>0</v>
      </c>
      <c r="FD34" s="151">
        <f t="shared" si="49"/>
        <v>0</v>
      </c>
      <c r="FE34" s="151">
        <f t="shared" si="50"/>
        <v>0</v>
      </c>
      <c r="FF34" s="151">
        <f t="shared" si="50"/>
        <v>0</v>
      </c>
      <c r="FG34" s="151">
        <f t="shared" si="50"/>
        <v>0</v>
      </c>
      <c r="FH34" s="151">
        <f t="shared" si="50"/>
        <v>0</v>
      </c>
      <c r="FI34" s="151">
        <f t="shared" si="50"/>
        <v>0</v>
      </c>
      <c r="FJ34" s="151">
        <f t="shared" si="50"/>
        <v>0</v>
      </c>
      <c r="FK34" s="151">
        <f t="shared" si="50"/>
        <v>0</v>
      </c>
      <c r="FL34" s="151">
        <f t="shared" si="50"/>
        <v>0</v>
      </c>
      <c r="FM34" s="151">
        <f t="shared" si="50"/>
        <v>0</v>
      </c>
      <c r="FN34" s="151">
        <f t="shared" si="50"/>
        <v>0</v>
      </c>
      <c r="FO34" s="151">
        <f t="shared" si="51"/>
        <v>0</v>
      </c>
      <c r="FP34" s="151">
        <f t="shared" si="51"/>
        <v>0</v>
      </c>
      <c r="FQ34" s="151">
        <f t="shared" si="51"/>
        <v>0</v>
      </c>
      <c r="FR34" s="151">
        <f t="shared" si="51"/>
        <v>0</v>
      </c>
      <c r="FS34" s="151">
        <f t="shared" si="51"/>
        <v>0</v>
      </c>
      <c r="FT34" s="151">
        <f t="shared" si="51"/>
        <v>0</v>
      </c>
      <c r="FU34" s="151">
        <f t="shared" si="51"/>
        <v>0</v>
      </c>
      <c r="FV34" s="151">
        <f t="shared" si="51"/>
        <v>0</v>
      </c>
      <c r="FW34" s="151">
        <f t="shared" si="51"/>
        <v>0</v>
      </c>
      <c r="FX34" s="151">
        <f t="shared" si="51"/>
        <v>0</v>
      </c>
      <c r="FY34" s="151">
        <f t="shared" si="51"/>
        <v>0</v>
      </c>
      <c r="FZ34" s="151">
        <f t="shared" si="51"/>
        <v>0</v>
      </c>
      <c r="GA34" s="151">
        <f t="shared" si="51"/>
        <v>0</v>
      </c>
      <c r="GB34" s="151">
        <f t="shared" si="51"/>
        <v>0</v>
      </c>
    </row>
    <row r="35" spans="1:184" ht="17.25" customHeight="1" x14ac:dyDescent="0.5">
      <c r="A35" s="88"/>
      <c r="B35" s="322"/>
      <c r="C35" s="101" t="s">
        <v>134</v>
      </c>
      <c r="D35" s="169"/>
      <c r="E35" s="169"/>
      <c r="F35" s="170"/>
      <c r="G35" s="177"/>
      <c r="H35" s="182"/>
      <c r="I35" s="154">
        <v>0</v>
      </c>
      <c r="J35" s="155">
        <v>0</v>
      </c>
      <c r="K35" s="156">
        <v>0</v>
      </c>
      <c r="L35" s="179">
        <f t="shared" si="13"/>
        <v>0.02</v>
      </c>
      <c r="M35" s="180">
        <f t="shared" si="14"/>
        <v>0.03</v>
      </c>
      <c r="N35" s="181">
        <f t="shared" si="15"/>
        <v>0.05</v>
      </c>
      <c r="R35" s="158" t="str">
        <f t="shared" si="16"/>
        <v>XX in €/Jahr</v>
      </c>
      <c r="S35" s="151">
        <f t="shared" si="37"/>
        <v>0</v>
      </c>
      <c r="T35" s="151">
        <f t="shared" si="37"/>
        <v>0</v>
      </c>
      <c r="U35" s="151">
        <f t="shared" si="37"/>
        <v>0</v>
      </c>
      <c r="V35" s="151">
        <f t="shared" si="37"/>
        <v>0</v>
      </c>
      <c r="W35" s="151">
        <f t="shared" si="37"/>
        <v>0</v>
      </c>
      <c r="X35" s="151">
        <f t="shared" si="37"/>
        <v>0</v>
      </c>
      <c r="Y35" s="151">
        <f t="shared" si="37"/>
        <v>0</v>
      </c>
      <c r="Z35" s="151">
        <f t="shared" si="37"/>
        <v>0</v>
      </c>
      <c r="AA35" s="151">
        <f t="shared" si="37"/>
        <v>0</v>
      </c>
      <c r="AB35" s="151">
        <f t="shared" si="37"/>
        <v>0</v>
      </c>
      <c r="AC35" s="151">
        <f t="shared" si="38"/>
        <v>0</v>
      </c>
      <c r="AD35" s="151">
        <f t="shared" si="38"/>
        <v>0</v>
      </c>
      <c r="AE35" s="151">
        <f t="shared" si="38"/>
        <v>0</v>
      </c>
      <c r="AF35" s="151">
        <f t="shared" si="38"/>
        <v>0</v>
      </c>
      <c r="AG35" s="151">
        <f t="shared" si="38"/>
        <v>0</v>
      </c>
      <c r="AH35" s="151">
        <f t="shared" si="38"/>
        <v>0</v>
      </c>
      <c r="AI35" s="151">
        <f t="shared" si="38"/>
        <v>0</v>
      </c>
      <c r="AJ35" s="151">
        <f t="shared" si="38"/>
        <v>0</v>
      </c>
      <c r="AK35" s="151">
        <f t="shared" si="38"/>
        <v>0</v>
      </c>
      <c r="AL35" s="151">
        <f t="shared" si="38"/>
        <v>0</v>
      </c>
      <c r="AM35" s="151">
        <f t="shared" si="39"/>
        <v>0</v>
      </c>
      <c r="AN35" s="151">
        <f t="shared" si="39"/>
        <v>0</v>
      </c>
      <c r="AO35" s="151">
        <f t="shared" si="39"/>
        <v>0</v>
      </c>
      <c r="AP35" s="151">
        <f t="shared" si="39"/>
        <v>0</v>
      </c>
      <c r="AQ35" s="151">
        <f t="shared" si="39"/>
        <v>0</v>
      </c>
      <c r="AR35" s="151">
        <f t="shared" si="39"/>
        <v>0</v>
      </c>
      <c r="AS35" s="151">
        <f t="shared" si="39"/>
        <v>0</v>
      </c>
      <c r="AT35" s="151">
        <f t="shared" si="39"/>
        <v>0</v>
      </c>
      <c r="AU35" s="151">
        <f t="shared" si="39"/>
        <v>0</v>
      </c>
      <c r="AV35" s="151">
        <f t="shared" si="39"/>
        <v>0</v>
      </c>
      <c r="AW35" s="151">
        <f t="shared" si="40"/>
        <v>0</v>
      </c>
      <c r="AX35" s="151">
        <f t="shared" si="40"/>
        <v>0</v>
      </c>
      <c r="AY35" s="151">
        <f t="shared" si="40"/>
        <v>0</v>
      </c>
      <c r="AZ35" s="151">
        <f t="shared" si="40"/>
        <v>0</v>
      </c>
      <c r="BA35" s="151">
        <f t="shared" si="40"/>
        <v>0</v>
      </c>
      <c r="BB35" s="151">
        <f t="shared" si="40"/>
        <v>0</v>
      </c>
      <c r="BC35" s="151">
        <f t="shared" si="40"/>
        <v>0</v>
      </c>
      <c r="BD35" s="151">
        <f t="shared" si="40"/>
        <v>0</v>
      </c>
      <c r="BE35" s="151">
        <f t="shared" si="40"/>
        <v>0</v>
      </c>
      <c r="BF35" s="151">
        <f t="shared" si="40"/>
        <v>0</v>
      </c>
      <c r="BG35" s="151">
        <f t="shared" si="41"/>
        <v>0</v>
      </c>
      <c r="BH35" s="151">
        <f t="shared" si="41"/>
        <v>0</v>
      </c>
      <c r="BI35" s="151">
        <f t="shared" si="41"/>
        <v>0</v>
      </c>
      <c r="BJ35" s="151">
        <f t="shared" si="41"/>
        <v>0</v>
      </c>
      <c r="BK35" s="151">
        <f t="shared" si="41"/>
        <v>0</v>
      </c>
      <c r="BL35" s="151">
        <f t="shared" si="41"/>
        <v>0</v>
      </c>
      <c r="BM35" s="151">
        <f t="shared" si="41"/>
        <v>0</v>
      </c>
      <c r="BN35" s="151">
        <f t="shared" si="41"/>
        <v>0</v>
      </c>
      <c r="BO35" s="151">
        <f t="shared" si="41"/>
        <v>0</v>
      </c>
      <c r="BP35" s="151">
        <f t="shared" si="41"/>
        <v>0</v>
      </c>
      <c r="BQ35" s="151">
        <f t="shared" si="41"/>
        <v>0</v>
      </c>
      <c r="BR35" s="151">
        <f t="shared" si="41"/>
        <v>0</v>
      </c>
      <c r="BS35" s="151">
        <f t="shared" si="41"/>
        <v>0</v>
      </c>
      <c r="BT35" s="151">
        <f t="shared" si="41"/>
        <v>0</v>
      </c>
      <c r="BV35" s="158" t="str">
        <f t="shared" si="19"/>
        <v>XX in €/Jahr</v>
      </c>
      <c r="BW35" s="151">
        <f t="shared" si="42"/>
        <v>0</v>
      </c>
      <c r="BX35" s="151">
        <f t="shared" si="42"/>
        <v>0</v>
      </c>
      <c r="BY35" s="151">
        <f t="shared" si="42"/>
        <v>0</v>
      </c>
      <c r="BZ35" s="151">
        <f t="shared" si="42"/>
        <v>0</v>
      </c>
      <c r="CA35" s="151">
        <f t="shared" si="42"/>
        <v>0</v>
      </c>
      <c r="CB35" s="151">
        <f t="shared" si="42"/>
        <v>0</v>
      </c>
      <c r="CC35" s="151">
        <f t="shared" si="42"/>
        <v>0</v>
      </c>
      <c r="CD35" s="151">
        <f t="shared" si="42"/>
        <v>0</v>
      </c>
      <c r="CE35" s="151">
        <f t="shared" si="42"/>
        <v>0</v>
      </c>
      <c r="CF35" s="151">
        <f t="shared" si="42"/>
        <v>0</v>
      </c>
      <c r="CG35" s="151">
        <f t="shared" si="43"/>
        <v>0</v>
      </c>
      <c r="CH35" s="151">
        <f t="shared" si="43"/>
        <v>0</v>
      </c>
      <c r="CI35" s="151">
        <f t="shared" si="43"/>
        <v>0</v>
      </c>
      <c r="CJ35" s="151">
        <f t="shared" si="43"/>
        <v>0</v>
      </c>
      <c r="CK35" s="151">
        <f t="shared" si="43"/>
        <v>0</v>
      </c>
      <c r="CL35" s="151">
        <f t="shared" si="43"/>
        <v>0</v>
      </c>
      <c r="CM35" s="151">
        <f t="shared" si="43"/>
        <v>0</v>
      </c>
      <c r="CN35" s="151">
        <f t="shared" si="43"/>
        <v>0</v>
      </c>
      <c r="CO35" s="151">
        <f t="shared" si="43"/>
        <v>0</v>
      </c>
      <c r="CP35" s="151">
        <f t="shared" si="43"/>
        <v>0</v>
      </c>
      <c r="CQ35" s="151">
        <f t="shared" si="44"/>
        <v>0</v>
      </c>
      <c r="CR35" s="151">
        <f t="shared" si="44"/>
        <v>0</v>
      </c>
      <c r="CS35" s="151">
        <f t="shared" si="44"/>
        <v>0</v>
      </c>
      <c r="CT35" s="151">
        <f t="shared" si="44"/>
        <v>0</v>
      </c>
      <c r="CU35" s="151">
        <f t="shared" si="44"/>
        <v>0</v>
      </c>
      <c r="CV35" s="151">
        <f t="shared" si="44"/>
        <v>0</v>
      </c>
      <c r="CW35" s="151">
        <f t="shared" si="44"/>
        <v>0</v>
      </c>
      <c r="CX35" s="151">
        <f t="shared" si="44"/>
        <v>0</v>
      </c>
      <c r="CY35" s="151">
        <f t="shared" si="44"/>
        <v>0</v>
      </c>
      <c r="CZ35" s="151">
        <f t="shared" si="44"/>
        <v>0</v>
      </c>
      <c r="DA35" s="151">
        <f t="shared" si="45"/>
        <v>0</v>
      </c>
      <c r="DB35" s="151">
        <f t="shared" si="45"/>
        <v>0</v>
      </c>
      <c r="DC35" s="151">
        <f t="shared" si="45"/>
        <v>0</v>
      </c>
      <c r="DD35" s="151">
        <f t="shared" si="45"/>
        <v>0</v>
      </c>
      <c r="DE35" s="151">
        <f t="shared" si="45"/>
        <v>0</v>
      </c>
      <c r="DF35" s="151">
        <f t="shared" si="45"/>
        <v>0</v>
      </c>
      <c r="DG35" s="151">
        <f t="shared" si="45"/>
        <v>0</v>
      </c>
      <c r="DH35" s="151">
        <f t="shared" si="45"/>
        <v>0</v>
      </c>
      <c r="DI35" s="151">
        <f t="shared" si="45"/>
        <v>0</v>
      </c>
      <c r="DJ35" s="151">
        <f t="shared" si="45"/>
        <v>0</v>
      </c>
      <c r="DK35" s="151">
        <f t="shared" si="46"/>
        <v>0</v>
      </c>
      <c r="DL35" s="151">
        <f t="shared" si="46"/>
        <v>0</v>
      </c>
      <c r="DM35" s="151">
        <f t="shared" si="46"/>
        <v>0</v>
      </c>
      <c r="DN35" s="151">
        <f t="shared" si="46"/>
        <v>0</v>
      </c>
      <c r="DO35" s="151">
        <f t="shared" si="46"/>
        <v>0</v>
      </c>
      <c r="DP35" s="151">
        <f t="shared" si="46"/>
        <v>0</v>
      </c>
      <c r="DQ35" s="151">
        <f t="shared" si="46"/>
        <v>0</v>
      </c>
      <c r="DR35" s="151">
        <f t="shared" si="46"/>
        <v>0</v>
      </c>
      <c r="DS35" s="151">
        <f t="shared" si="46"/>
        <v>0</v>
      </c>
      <c r="DT35" s="151">
        <f t="shared" si="46"/>
        <v>0</v>
      </c>
      <c r="DU35" s="151">
        <f t="shared" si="46"/>
        <v>0</v>
      </c>
      <c r="DV35" s="151">
        <f t="shared" si="46"/>
        <v>0</v>
      </c>
      <c r="DW35" s="151">
        <f t="shared" si="46"/>
        <v>0</v>
      </c>
      <c r="DX35" s="151">
        <f t="shared" si="46"/>
        <v>0</v>
      </c>
      <c r="DZ35" s="158" t="str">
        <f t="shared" si="22"/>
        <v>XX in €/Jahr</v>
      </c>
      <c r="EA35" s="151">
        <f t="shared" si="47"/>
        <v>0</v>
      </c>
      <c r="EB35" s="151">
        <f t="shared" si="47"/>
        <v>0</v>
      </c>
      <c r="EC35" s="151">
        <f t="shared" si="47"/>
        <v>0</v>
      </c>
      <c r="ED35" s="151">
        <f t="shared" si="47"/>
        <v>0</v>
      </c>
      <c r="EE35" s="151">
        <f t="shared" si="47"/>
        <v>0</v>
      </c>
      <c r="EF35" s="151">
        <f t="shared" si="47"/>
        <v>0</v>
      </c>
      <c r="EG35" s="151">
        <f t="shared" si="47"/>
        <v>0</v>
      </c>
      <c r="EH35" s="151">
        <f t="shared" si="47"/>
        <v>0</v>
      </c>
      <c r="EI35" s="151">
        <f t="shared" si="47"/>
        <v>0</v>
      </c>
      <c r="EJ35" s="151">
        <f t="shared" si="47"/>
        <v>0</v>
      </c>
      <c r="EK35" s="151">
        <f t="shared" si="48"/>
        <v>0</v>
      </c>
      <c r="EL35" s="151">
        <f t="shared" si="48"/>
        <v>0</v>
      </c>
      <c r="EM35" s="151">
        <f t="shared" si="48"/>
        <v>0</v>
      </c>
      <c r="EN35" s="151">
        <f t="shared" si="48"/>
        <v>0</v>
      </c>
      <c r="EO35" s="151">
        <f t="shared" si="48"/>
        <v>0</v>
      </c>
      <c r="EP35" s="151">
        <f t="shared" si="48"/>
        <v>0</v>
      </c>
      <c r="EQ35" s="151">
        <f t="shared" si="48"/>
        <v>0</v>
      </c>
      <c r="ER35" s="151">
        <f t="shared" si="48"/>
        <v>0</v>
      </c>
      <c r="ES35" s="151">
        <f t="shared" si="48"/>
        <v>0</v>
      </c>
      <c r="ET35" s="151">
        <f t="shared" si="48"/>
        <v>0</v>
      </c>
      <c r="EU35" s="151">
        <f t="shared" si="49"/>
        <v>0</v>
      </c>
      <c r="EV35" s="151">
        <f t="shared" si="49"/>
        <v>0</v>
      </c>
      <c r="EW35" s="151">
        <f t="shared" si="49"/>
        <v>0</v>
      </c>
      <c r="EX35" s="151">
        <f t="shared" si="49"/>
        <v>0</v>
      </c>
      <c r="EY35" s="151">
        <f t="shared" si="49"/>
        <v>0</v>
      </c>
      <c r="EZ35" s="151">
        <f t="shared" si="49"/>
        <v>0</v>
      </c>
      <c r="FA35" s="151">
        <f t="shared" si="49"/>
        <v>0</v>
      </c>
      <c r="FB35" s="151">
        <f t="shared" si="49"/>
        <v>0</v>
      </c>
      <c r="FC35" s="151">
        <f t="shared" si="49"/>
        <v>0</v>
      </c>
      <c r="FD35" s="151">
        <f t="shared" si="49"/>
        <v>0</v>
      </c>
      <c r="FE35" s="151">
        <f t="shared" si="50"/>
        <v>0</v>
      </c>
      <c r="FF35" s="151">
        <f t="shared" si="50"/>
        <v>0</v>
      </c>
      <c r="FG35" s="151">
        <f t="shared" si="50"/>
        <v>0</v>
      </c>
      <c r="FH35" s="151">
        <f t="shared" si="50"/>
        <v>0</v>
      </c>
      <c r="FI35" s="151">
        <f t="shared" si="50"/>
        <v>0</v>
      </c>
      <c r="FJ35" s="151">
        <f t="shared" si="50"/>
        <v>0</v>
      </c>
      <c r="FK35" s="151">
        <f t="shared" si="50"/>
        <v>0</v>
      </c>
      <c r="FL35" s="151">
        <f t="shared" si="50"/>
        <v>0</v>
      </c>
      <c r="FM35" s="151">
        <f t="shared" si="50"/>
        <v>0</v>
      </c>
      <c r="FN35" s="151">
        <f t="shared" si="50"/>
        <v>0</v>
      </c>
      <c r="FO35" s="151">
        <f t="shared" si="51"/>
        <v>0</v>
      </c>
      <c r="FP35" s="151">
        <f t="shared" si="51"/>
        <v>0</v>
      </c>
      <c r="FQ35" s="151">
        <f t="shared" si="51"/>
        <v>0</v>
      </c>
      <c r="FR35" s="151">
        <f t="shared" si="51"/>
        <v>0</v>
      </c>
      <c r="FS35" s="151">
        <f t="shared" si="51"/>
        <v>0</v>
      </c>
      <c r="FT35" s="151">
        <f t="shared" si="51"/>
        <v>0</v>
      </c>
      <c r="FU35" s="151">
        <f t="shared" si="51"/>
        <v>0</v>
      </c>
      <c r="FV35" s="151">
        <f t="shared" si="51"/>
        <v>0</v>
      </c>
      <c r="FW35" s="151">
        <f t="shared" si="51"/>
        <v>0</v>
      </c>
      <c r="FX35" s="151">
        <f t="shared" si="51"/>
        <v>0</v>
      </c>
      <c r="FY35" s="151">
        <f t="shared" si="51"/>
        <v>0</v>
      </c>
      <c r="FZ35" s="151">
        <f t="shared" si="51"/>
        <v>0</v>
      </c>
      <c r="GA35" s="151">
        <f t="shared" si="51"/>
        <v>0</v>
      </c>
      <c r="GB35" s="151">
        <f t="shared" si="51"/>
        <v>0</v>
      </c>
    </row>
    <row r="36" spans="1:184" ht="17.25" customHeight="1" x14ac:dyDescent="0.5">
      <c r="A36" s="88"/>
      <c r="B36" s="322"/>
      <c r="C36" s="101" t="s">
        <v>134</v>
      </c>
      <c r="D36" s="169"/>
      <c r="E36" s="169"/>
      <c r="F36" s="170"/>
      <c r="G36" s="177"/>
      <c r="H36" s="182"/>
      <c r="I36" s="154">
        <v>0</v>
      </c>
      <c r="J36" s="155">
        <v>0</v>
      </c>
      <c r="K36" s="156">
        <v>0</v>
      </c>
      <c r="L36" s="179">
        <f t="shared" si="13"/>
        <v>0.02</v>
      </c>
      <c r="M36" s="180">
        <f t="shared" si="14"/>
        <v>0.03</v>
      </c>
      <c r="N36" s="181">
        <f t="shared" si="15"/>
        <v>0.05</v>
      </c>
      <c r="R36" s="158" t="str">
        <f t="shared" si="16"/>
        <v>XX in €/Jahr</v>
      </c>
      <c r="S36" s="151">
        <f t="shared" si="37"/>
        <v>0</v>
      </c>
      <c r="T36" s="151">
        <f t="shared" si="37"/>
        <v>0</v>
      </c>
      <c r="U36" s="151">
        <f t="shared" si="37"/>
        <v>0</v>
      </c>
      <c r="V36" s="151">
        <f t="shared" si="37"/>
        <v>0</v>
      </c>
      <c r="W36" s="151">
        <f t="shared" si="37"/>
        <v>0</v>
      </c>
      <c r="X36" s="151">
        <f t="shared" si="37"/>
        <v>0</v>
      </c>
      <c r="Y36" s="151">
        <f t="shared" si="37"/>
        <v>0</v>
      </c>
      <c r="Z36" s="151">
        <f t="shared" si="37"/>
        <v>0</v>
      </c>
      <c r="AA36" s="151">
        <f t="shared" si="37"/>
        <v>0</v>
      </c>
      <c r="AB36" s="151">
        <f t="shared" si="37"/>
        <v>0</v>
      </c>
      <c r="AC36" s="151">
        <f t="shared" si="38"/>
        <v>0</v>
      </c>
      <c r="AD36" s="151">
        <f t="shared" si="38"/>
        <v>0</v>
      </c>
      <c r="AE36" s="151">
        <f t="shared" si="38"/>
        <v>0</v>
      </c>
      <c r="AF36" s="151">
        <f t="shared" si="38"/>
        <v>0</v>
      </c>
      <c r="AG36" s="151">
        <f t="shared" si="38"/>
        <v>0</v>
      </c>
      <c r="AH36" s="151">
        <f t="shared" si="38"/>
        <v>0</v>
      </c>
      <c r="AI36" s="151">
        <f t="shared" si="38"/>
        <v>0</v>
      </c>
      <c r="AJ36" s="151">
        <f t="shared" si="38"/>
        <v>0</v>
      </c>
      <c r="AK36" s="151">
        <f t="shared" si="38"/>
        <v>0</v>
      </c>
      <c r="AL36" s="151">
        <f t="shared" si="38"/>
        <v>0</v>
      </c>
      <c r="AM36" s="151">
        <f t="shared" si="39"/>
        <v>0</v>
      </c>
      <c r="AN36" s="151">
        <f t="shared" si="39"/>
        <v>0</v>
      </c>
      <c r="AO36" s="151">
        <f t="shared" si="39"/>
        <v>0</v>
      </c>
      <c r="AP36" s="151">
        <f t="shared" si="39"/>
        <v>0</v>
      </c>
      <c r="AQ36" s="151">
        <f t="shared" si="39"/>
        <v>0</v>
      </c>
      <c r="AR36" s="151">
        <f t="shared" si="39"/>
        <v>0</v>
      </c>
      <c r="AS36" s="151">
        <f t="shared" si="39"/>
        <v>0</v>
      </c>
      <c r="AT36" s="151">
        <f t="shared" si="39"/>
        <v>0</v>
      </c>
      <c r="AU36" s="151">
        <f t="shared" si="39"/>
        <v>0</v>
      </c>
      <c r="AV36" s="151">
        <f t="shared" si="39"/>
        <v>0</v>
      </c>
      <c r="AW36" s="151">
        <f t="shared" si="40"/>
        <v>0</v>
      </c>
      <c r="AX36" s="151">
        <f t="shared" si="40"/>
        <v>0</v>
      </c>
      <c r="AY36" s="151">
        <f t="shared" si="40"/>
        <v>0</v>
      </c>
      <c r="AZ36" s="151">
        <f t="shared" si="40"/>
        <v>0</v>
      </c>
      <c r="BA36" s="151">
        <f t="shared" si="40"/>
        <v>0</v>
      </c>
      <c r="BB36" s="151">
        <f t="shared" si="40"/>
        <v>0</v>
      </c>
      <c r="BC36" s="151">
        <f t="shared" si="40"/>
        <v>0</v>
      </c>
      <c r="BD36" s="151">
        <f t="shared" si="40"/>
        <v>0</v>
      </c>
      <c r="BE36" s="151">
        <f t="shared" si="40"/>
        <v>0</v>
      </c>
      <c r="BF36" s="151">
        <f t="shared" si="40"/>
        <v>0</v>
      </c>
      <c r="BG36" s="151">
        <f t="shared" si="41"/>
        <v>0</v>
      </c>
      <c r="BH36" s="151">
        <f t="shared" si="41"/>
        <v>0</v>
      </c>
      <c r="BI36" s="151">
        <f t="shared" si="41"/>
        <v>0</v>
      </c>
      <c r="BJ36" s="151">
        <f t="shared" si="41"/>
        <v>0</v>
      </c>
      <c r="BK36" s="151">
        <f t="shared" si="41"/>
        <v>0</v>
      </c>
      <c r="BL36" s="151">
        <f t="shared" si="41"/>
        <v>0</v>
      </c>
      <c r="BM36" s="151">
        <f t="shared" si="41"/>
        <v>0</v>
      </c>
      <c r="BN36" s="151">
        <f t="shared" si="41"/>
        <v>0</v>
      </c>
      <c r="BO36" s="151">
        <f t="shared" si="41"/>
        <v>0</v>
      </c>
      <c r="BP36" s="151">
        <f t="shared" si="41"/>
        <v>0</v>
      </c>
      <c r="BQ36" s="151">
        <f t="shared" si="41"/>
        <v>0</v>
      </c>
      <c r="BR36" s="151">
        <f t="shared" si="41"/>
        <v>0</v>
      </c>
      <c r="BS36" s="151">
        <f t="shared" si="41"/>
        <v>0</v>
      </c>
      <c r="BT36" s="151">
        <f t="shared" si="41"/>
        <v>0</v>
      </c>
      <c r="BV36" s="158" t="str">
        <f t="shared" si="19"/>
        <v>XX in €/Jahr</v>
      </c>
      <c r="BW36" s="151">
        <f t="shared" si="42"/>
        <v>0</v>
      </c>
      <c r="BX36" s="151">
        <f t="shared" si="42"/>
        <v>0</v>
      </c>
      <c r="BY36" s="151">
        <f t="shared" si="42"/>
        <v>0</v>
      </c>
      <c r="BZ36" s="151">
        <f t="shared" si="42"/>
        <v>0</v>
      </c>
      <c r="CA36" s="151">
        <f t="shared" si="42"/>
        <v>0</v>
      </c>
      <c r="CB36" s="151">
        <f t="shared" si="42"/>
        <v>0</v>
      </c>
      <c r="CC36" s="151">
        <f t="shared" si="42"/>
        <v>0</v>
      </c>
      <c r="CD36" s="151">
        <f t="shared" si="42"/>
        <v>0</v>
      </c>
      <c r="CE36" s="151">
        <f t="shared" si="42"/>
        <v>0</v>
      </c>
      <c r="CF36" s="151">
        <f t="shared" si="42"/>
        <v>0</v>
      </c>
      <c r="CG36" s="151">
        <f t="shared" si="43"/>
        <v>0</v>
      </c>
      <c r="CH36" s="151">
        <f t="shared" si="43"/>
        <v>0</v>
      </c>
      <c r="CI36" s="151">
        <f t="shared" si="43"/>
        <v>0</v>
      </c>
      <c r="CJ36" s="151">
        <f t="shared" si="43"/>
        <v>0</v>
      </c>
      <c r="CK36" s="151">
        <f t="shared" si="43"/>
        <v>0</v>
      </c>
      <c r="CL36" s="151">
        <f t="shared" si="43"/>
        <v>0</v>
      </c>
      <c r="CM36" s="151">
        <f t="shared" si="43"/>
        <v>0</v>
      </c>
      <c r="CN36" s="151">
        <f t="shared" si="43"/>
        <v>0</v>
      </c>
      <c r="CO36" s="151">
        <f t="shared" si="43"/>
        <v>0</v>
      </c>
      <c r="CP36" s="151">
        <f t="shared" si="43"/>
        <v>0</v>
      </c>
      <c r="CQ36" s="151">
        <f t="shared" si="44"/>
        <v>0</v>
      </c>
      <c r="CR36" s="151">
        <f t="shared" si="44"/>
        <v>0</v>
      </c>
      <c r="CS36" s="151">
        <f t="shared" si="44"/>
        <v>0</v>
      </c>
      <c r="CT36" s="151">
        <f t="shared" si="44"/>
        <v>0</v>
      </c>
      <c r="CU36" s="151">
        <f t="shared" si="44"/>
        <v>0</v>
      </c>
      <c r="CV36" s="151">
        <f t="shared" si="44"/>
        <v>0</v>
      </c>
      <c r="CW36" s="151">
        <f t="shared" si="44"/>
        <v>0</v>
      </c>
      <c r="CX36" s="151">
        <f t="shared" si="44"/>
        <v>0</v>
      </c>
      <c r="CY36" s="151">
        <f t="shared" si="44"/>
        <v>0</v>
      </c>
      <c r="CZ36" s="151">
        <f t="shared" si="44"/>
        <v>0</v>
      </c>
      <c r="DA36" s="151">
        <f t="shared" si="45"/>
        <v>0</v>
      </c>
      <c r="DB36" s="151">
        <f t="shared" si="45"/>
        <v>0</v>
      </c>
      <c r="DC36" s="151">
        <f t="shared" si="45"/>
        <v>0</v>
      </c>
      <c r="DD36" s="151">
        <f t="shared" si="45"/>
        <v>0</v>
      </c>
      <c r="DE36" s="151">
        <f t="shared" si="45"/>
        <v>0</v>
      </c>
      <c r="DF36" s="151">
        <f t="shared" si="45"/>
        <v>0</v>
      </c>
      <c r="DG36" s="151">
        <f t="shared" si="45"/>
        <v>0</v>
      </c>
      <c r="DH36" s="151">
        <f t="shared" si="45"/>
        <v>0</v>
      </c>
      <c r="DI36" s="151">
        <f t="shared" si="45"/>
        <v>0</v>
      </c>
      <c r="DJ36" s="151">
        <f t="shared" si="45"/>
        <v>0</v>
      </c>
      <c r="DK36" s="151">
        <f t="shared" si="46"/>
        <v>0</v>
      </c>
      <c r="DL36" s="151">
        <f t="shared" si="46"/>
        <v>0</v>
      </c>
      <c r="DM36" s="151">
        <f t="shared" si="46"/>
        <v>0</v>
      </c>
      <c r="DN36" s="151">
        <f t="shared" si="46"/>
        <v>0</v>
      </c>
      <c r="DO36" s="151">
        <f t="shared" si="46"/>
        <v>0</v>
      </c>
      <c r="DP36" s="151">
        <f t="shared" si="46"/>
        <v>0</v>
      </c>
      <c r="DQ36" s="151">
        <f t="shared" si="46"/>
        <v>0</v>
      </c>
      <c r="DR36" s="151">
        <f t="shared" si="46"/>
        <v>0</v>
      </c>
      <c r="DS36" s="151">
        <f t="shared" si="46"/>
        <v>0</v>
      </c>
      <c r="DT36" s="151">
        <f t="shared" si="46"/>
        <v>0</v>
      </c>
      <c r="DU36" s="151">
        <f t="shared" si="46"/>
        <v>0</v>
      </c>
      <c r="DV36" s="151">
        <f t="shared" si="46"/>
        <v>0</v>
      </c>
      <c r="DW36" s="151">
        <f t="shared" si="46"/>
        <v>0</v>
      </c>
      <c r="DX36" s="151">
        <f t="shared" si="46"/>
        <v>0</v>
      </c>
      <c r="DZ36" s="158" t="str">
        <f t="shared" si="22"/>
        <v>XX in €/Jahr</v>
      </c>
      <c r="EA36" s="151">
        <f t="shared" si="47"/>
        <v>0</v>
      </c>
      <c r="EB36" s="151">
        <f t="shared" si="47"/>
        <v>0</v>
      </c>
      <c r="EC36" s="151">
        <f t="shared" si="47"/>
        <v>0</v>
      </c>
      <c r="ED36" s="151">
        <f t="shared" si="47"/>
        <v>0</v>
      </c>
      <c r="EE36" s="151">
        <f t="shared" si="47"/>
        <v>0</v>
      </c>
      <c r="EF36" s="151">
        <f t="shared" si="47"/>
        <v>0</v>
      </c>
      <c r="EG36" s="151">
        <f t="shared" si="47"/>
        <v>0</v>
      </c>
      <c r="EH36" s="151">
        <f t="shared" si="47"/>
        <v>0</v>
      </c>
      <c r="EI36" s="151">
        <f t="shared" si="47"/>
        <v>0</v>
      </c>
      <c r="EJ36" s="151">
        <f t="shared" si="47"/>
        <v>0</v>
      </c>
      <c r="EK36" s="151">
        <f t="shared" si="48"/>
        <v>0</v>
      </c>
      <c r="EL36" s="151">
        <f t="shared" si="48"/>
        <v>0</v>
      </c>
      <c r="EM36" s="151">
        <f t="shared" si="48"/>
        <v>0</v>
      </c>
      <c r="EN36" s="151">
        <f t="shared" si="48"/>
        <v>0</v>
      </c>
      <c r="EO36" s="151">
        <f t="shared" si="48"/>
        <v>0</v>
      </c>
      <c r="EP36" s="151">
        <f t="shared" si="48"/>
        <v>0</v>
      </c>
      <c r="EQ36" s="151">
        <f t="shared" si="48"/>
        <v>0</v>
      </c>
      <c r="ER36" s="151">
        <f t="shared" si="48"/>
        <v>0</v>
      </c>
      <c r="ES36" s="151">
        <f t="shared" si="48"/>
        <v>0</v>
      </c>
      <c r="ET36" s="151">
        <f t="shared" si="48"/>
        <v>0</v>
      </c>
      <c r="EU36" s="151">
        <f t="shared" si="49"/>
        <v>0</v>
      </c>
      <c r="EV36" s="151">
        <f t="shared" si="49"/>
        <v>0</v>
      </c>
      <c r="EW36" s="151">
        <f t="shared" si="49"/>
        <v>0</v>
      </c>
      <c r="EX36" s="151">
        <f t="shared" si="49"/>
        <v>0</v>
      </c>
      <c r="EY36" s="151">
        <f t="shared" si="49"/>
        <v>0</v>
      </c>
      <c r="EZ36" s="151">
        <f t="shared" si="49"/>
        <v>0</v>
      </c>
      <c r="FA36" s="151">
        <f t="shared" si="49"/>
        <v>0</v>
      </c>
      <c r="FB36" s="151">
        <f t="shared" si="49"/>
        <v>0</v>
      </c>
      <c r="FC36" s="151">
        <f t="shared" si="49"/>
        <v>0</v>
      </c>
      <c r="FD36" s="151">
        <f t="shared" si="49"/>
        <v>0</v>
      </c>
      <c r="FE36" s="151">
        <f t="shared" si="50"/>
        <v>0</v>
      </c>
      <c r="FF36" s="151">
        <f t="shared" si="50"/>
        <v>0</v>
      </c>
      <c r="FG36" s="151">
        <f t="shared" si="50"/>
        <v>0</v>
      </c>
      <c r="FH36" s="151">
        <f t="shared" si="50"/>
        <v>0</v>
      </c>
      <c r="FI36" s="151">
        <f t="shared" si="50"/>
        <v>0</v>
      </c>
      <c r="FJ36" s="151">
        <f t="shared" si="50"/>
        <v>0</v>
      </c>
      <c r="FK36" s="151">
        <f t="shared" si="50"/>
        <v>0</v>
      </c>
      <c r="FL36" s="151">
        <f t="shared" si="50"/>
        <v>0</v>
      </c>
      <c r="FM36" s="151">
        <f t="shared" si="50"/>
        <v>0</v>
      </c>
      <c r="FN36" s="151">
        <f t="shared" si="50"/>
        <v>0</v>
      </c>
      <c r="FO36" s="151">
        <f t="shared" si="51"/>
        <v>0</v>
      </c>
      <c r="FP36" s="151">
        <f t="shared" si="51"/>
        <v>0</v>
      </c>
      <c r="FQ36" s="151">
        <f t="shared" si="51"/>
        <v>0</v>
      </c>
      <c r="FR36" s="151">
        <f t="shared" si="51"/>
        <v>0</v>
      </c>
      <c r="FS36" s="151">
        <f t="shared" si="51"/>
        <v>0</v>
      </c>
      <c r="FT36" s="151">
        <f t="shared" si="51"/>
        <v>0</v>
      </c>
      <c r="FU36" s="151">
        <f t="shared" si="51"/>
        <v>0</v>
      </c>
      <c r="FV36" s="151">
        <f t="shared" si="51"/>
        <v>0</v>
      </c>
      <c r="FW36" s="151">
        <f t="shared" si="51"/>
        <v>0</v>
      </c>
      <c r="FX36" s="151">
        <f t="shared" si="51"/>
        <v>0</v>
      </c>
      <c r="FY36" s="151">
        <f t="shared" si="51"/>
        <v>0</v>
      </c>
      <c r="FZ36" s="151">
        <f t="shared" si="51"/>
        <v>0</v>
      </c>
      <c r="GA36" s="151">
        <f t="shared" si="51"/>
        <v>0</v>
      </c>
      <c r="GB36" s="151">
        <f t="shared" si="51"/>
        <v>0</v>
      </c>
    </row>
    <row r="37" spans="1:184" ht="17.25" customHeight="1" x14ac:dyDescent="0.5">
      <c r="A37" s="88"/>
      <c r="B37" s="322"/>
      <c r="C37" s="101" t="s">
        <v>134</v>
      </c>
      <c r="D37" s="169"/>
      <c r="E37" s="169"/>
      <c r="F37" s="170"/>
      <c r="G37" s="177"/>
      <c r="H37" s="182"/>
      <c r="I37" s="154">
        <v>0</v>
      </c>
      <c r="J37" s="155">
        <v>0</v>
      </c>
      <c r="K37" s="156">
        <v>0</v>
      </c>
      <c r="L37" s="179">
        <f t="shared" si="13"/>
        <v>0.02</v>
      </c>
      <c r="M37" s="180">
        <f t="shared" si="14"/>
        <v>0.03</v>
      </c>
      <c r="N37" s="181">
        <f t="shared" si="15"/>
        <v>0.05</v>
      </c>
      <c r="R37" s="158" t="str">
        <f t="shared" si="16"/>
        <v>XX in €/Jahr</v>
      </c>
      <c r="S37" s="151">
        <f t="shared" si="37"/>
        <v>0</v>
      </c>
      <c r="T37" s="151">
        <f t="shared" si="37"/>
        <v>0</v>
      </c>
      <c r="U37" s="151">
        <f t="shared" si="37"/>
        <v>0</v>
      </c>
      <c r="V37" s="151">
        <f t="shared" si="37"/>
        <v>0</v>
      </c>
      <c r="W37" s="151">
        <f t="shared" si="37"/>
        <v>0</v>
      </c>
      <c r="X37" s="151">
        <f t="shared" si="37"/>
        <v>0</v>
      </c>
      <c r="Y37" s="151">
        <f t="shared" si="37"/>
        <v>0</v>
      </c>
      <c r="Z37" s="151">
        <f t="shared" si="37"/>
        <v>0</v>
      </c>
      <c r="AA37" s="151">
        <f t="shared" si="37"/>
        <v>0</v>
      </c>
      <c r="AB37" s="151">
        <f t="shared" si="37"/>
        <v>0</v>
      </c>
      <c r="AC37" s="151">
        <f t="shared" si="38"/>
        <v>0</v>
      </c>
      <c r="AD37" s="151">
        <f t="shared" si="38"/>
        <v>0</v>
      </c>
      <c r="AE37" s="151">
        <f t="shared" si="38"/>
        <v>0</v>
      </c>
      <c r="AF37" s="151">
        <f t="shared" si="38"/>
        <v>0</v>
      </c>
      <c r="AG37" s="151">
        <f t="shared" si="38"/>
        <v>0</v>
      </c>
      <c r="AH37" s="151">
        <f t="shared" si="38"/>
        <v>0</v>
      </c>
      <c r="AI37" s="151">
        <f t="shared" si="38"/>
        <v>0</v>
      </c>
      <c r="AJ37" s="151">
        <f t="shared" si="38"/>
        <v>0</v>
      </c>
      <c r="AK37" s="151">
        <f t="shared" si="38"/>
        <v>0</v>
      </c>
      <c r="AL37" s="151">
        <f t="shared" si="38"/>
        <v>0</v>
      </c>
      <c r="AM37" s="151">
        <f t="shared" si="39"/>
        <v>0</v>
      </c>
      <c r="AN37" s="151">
        <f t="shared" si="39"/>
        <v>0</v>
      </c>
      <c r="AO37" s="151">
        <f t="shared" si="39"/>
        <v>0</v>
      </c>
      <c r="AP37" s="151">
        <f t="shared" si="39"/>
        <v>0</v>
      </c>
      <c r="AQ37" s="151">
        <f t="shared" si="39"/>
        <v>0</v>
      </c>
      <c r="AR37" s="151">
        <f t="shared" si="39"/>
        <v>0</v>
      </c>
      <c r="AS37" s="151">
        <f t="shared" si="39"/>
        <v>0</v>
      </c>
      <c r="AT37" s="151">
        <f t="shared" si="39"/>
        <v>0</v>
      </c>
      <c r="AU37" s="151">
        <f t="shared" si="39"/>
        <v>0</v>
      </c>
      <c r="AV37" s="151">
        <f t="shared" si="39"/>
        <v>0</v>
      </c>
      <c r="AW37" s="151">
        <f t="shared" si="40"/>
        <v>0</v>
      </c>
      <c r="AX37" s="151">
        <f t="shared" si="40"/>
        <v>0</v>
      </c>
      <c r="AY37" s="151">
        <f t="shared" si="40"/>
        <v>0</v>
      </c>
      <c r="AZ37" s="151">
        <f t="shared" si="40"/>
        <v>0</v>
      </c>
      <c r="BA37" s="151">
        <f t="shared" si="40"/>
        <v>0</v>
      </c>
      <c r="BB37" s="151">
        <f t="shared" si="40"/>
        <v>0</v>
      </c>
      <c r="BC37" s="151">
        <f t="shared" si="40"/>
        <v>0</v>
      </c>
      <c r="BD37" s="151">
        <f t="shared" si="40"/>
        <v>0</v>
      </c>
      <c r="BE37" s="151">
        <f t="shared" si="40"/>
        <v>0</v>
      </c>
      <c r="BF37" s="151">
        <f t="shared" si="40"/>
        <v>0</v>
      </c>
      <c r="BG37" s="151">
        <f t="shared" si="41"/>
        <v>0</v>
      </c>
      <c r="BH37" s="151">
        <f t="shared" si="41"/>
        <v>0</v>
      </c>
      <c r="BI37" s="151">
        <f t="shared" si="41"/>
        <v>0</v>
      </c>
      <c r="BJ37" s="151">
        <f t="shared" si="41"/>
        <v>0</v>
      </c>
      <c r="BK37" s="151">
        <f t="shared" si="41"/>
        <v>0</v>
      </c>
      <c r="BL37" s="151">
        <f t="shared" si="41"/>
        <v>0</v>
      </c>
      <c r="BM37" s="151">
        <f t="shared" si="41"/>
        <v>0</v>
      </c>
      <c r="BN37" s="151">
        <f t="shared" si="41"/>
        <v>0</v>
      </c>
      <c r="BO37" s="151">
        <f t="shared" si="41"/>
        <v>0</v>
      </c>
      <c r="BP37" s="151">
        <f t="shared" si="41"/>
        <v>0</v>
      </c>
      <c r="BQ37" s="151">
        <f t="shared" si="41"/>
        <v>0</v>
      </c>
      <c r="BR37" s="151">
        <f t="shared" si="41"/>
        <v>0</v>
      </c>
      <c r="BS37" s="151">
        <f t="shared" si="41"/>
        <v>0</v>
      </c>
      <c r="BT37" s="151">
        <f t="shared" si="41"/>
        <v>0</v>
      </c>
      <c r="BV37" s="158" t="str">
        <f t="shared" si="19"/>
        <v>XX in €/Jahr</v>
      </c>
      <c r="BW37" s="151">
        <f t="shared" si="42"/>
        <v>0</v>
      </c>
      <c r="BX37" s="151">
        <f t="shared" si="42"/>
        <v>0</v>
      </c>
      <c r="BY37" s="151">
        <f t="shared" si="42"/>
        <v>0</v>
      </c>
      <c r="BZ37" s="151">
        <f t="shared" si="42"/>
        <v>0</v>
      </c>
      <c r="CA37" s="151">
        <f t="shared" si="42"/>
        <v>0</v>
      </c>
      <c r="CB37" s="151">
        <f t="shared" si="42"/>
        <v>0</v>
      </c>
      <c r="CC37" s="151">
        <f t="shared" si="42"/>
        <v>0</v>
      </c>
      <c r="CD37" s="151">
        <f t="shared" si="42"/>
        <v>0</v>
      </c>
      <c r="CE37" s="151">
        <f t="shared" si="42"/>
        <v>0</v>
      </c>
      <c r="CF37" s="151">
        <f t="shared" si="42"/>
        <v>0</v>
      </c>
      <c r="CG37" s="151">
        <f t="shared" si="43"/>
        <v>0</v>
      </c>
      <c r="CH37" s="151">
        <f t="shared" si="43"/>
        <v>0</v>
      </c>
      <c r="CI37" s="151">
        <f t="shared" si="43"/>
        <v>0</v>
      </c>
      <c r="CJ37" s="151">
        <f t="shared" si="43"/>
        <v>0</v>
      </c>
      <c r="CK37" s="151">
        <f t="shared" si="43"/>
        <v>0</v>
      </c>
      <c r="CL37" s="151">
        <f t="shared" si="43"/>
        <v>0</v>
      </c>
      <c r="CM37" s="151">
        <f t="shared" si="43"/>
        <v>0</v>
      </c>
      <c r="CN37" s="151">
        <f t="shared" si="43"/>
        <v>0</v>
      </c>
      <c r="CO37" s="151">
        <f t="shared" si="43"/>
        <v>0</v>
      </c>
      <c r="CP37" s="151">
        <f t="shared" si="43"/>
        <v>0</v>
      </c>
      <c r="CQ37" s="151">
        <f t="shared" si="44"/>
        <v>0</v>
      </c>
      <c r="CR37" s="151">
        <f t="shared" si="44"/>
        <v>0</v>
      </c>
      <c r="CS37" s="151">
        <f t="shared" si="44"/>
        <v>0</v>
      </c>
      <c r="CT37" s="151">
        <f t="shared" si="44"/>
        <v>0</v>
      </c>
      <c r="CU37" s="151">
        <f t="shared" si="44"/>
        <v>0</v>
      </c>
      <c r="CV37" s="151">
        <f t="shared" si="44"/>
        <v>0</v>
      </c>
      <c r="CW37" s="151">
        <f t="shared" si="44"/>
        <v>0</v>
      </c>
      <c r="CX37" s="151">
        <f t="shared" si="44"/>
        <v>0</v>
      </c>
      <c r="CY37" s="151">
        <f t="shared" si="44"/>
        <v>0</v>
      </c>
      <c r="CZ37" s="151">
        <f t="shared" si="44"/>
        <v>0</v>
      </c>
      <c r="DA37" s="151">
        <f t="shared" si="45"/>
        <v>0</v>
      </c>
      <c r="DB37" s="151">
        <f t="shared" si="45"/>
        <v>0</v>
      </c>
      <c r="DC37" s="151">
        <f t="shared" si="45"/>
        <v>0</v>
      </c>
      <c r="DD37" s="151">
        <f t="shared" si="45"/>
        <v>0</v>
      </c>
      <c r="DE37" s="151">
        <f t="shared" si="45"/>
        <v>0</v>
      </c>
      <c r="DF37" s="151">
        <f t="shared" si="45"/>
        <v>0</v>
      </c>
      <c r="DG37" s="151">
        <f t="shared" si="45"/>
        <v>0</v>
      </c>
      <c r="DH37" s="151">
        <f t="shared" si="45"/>
        <v>0</v>
      </c>
      <c r="DI37" s="151">
        <f t="shared" si="45"/>
        <v>0</v>
      </c>
      <c r="DJ37" s="151">
        <f t="shared" si="45"/>
        <v>0</v>
      </c>
      <c r="DK37" s="151">
        <f t="shared" si="46"/>
        <v>0</v>
      </c>
      <c r="DL37" s="151">
        <f t="shared" si="46"/>
        <v>0</v>
      </c>
      <c r="DM37" s="151">
        <f t="shared" si="46"/>
        <v>0</v>
      </c>
      <c r="DN37" s="151">
        <f t="shared" si="46"/>
        <v>0</v>
      </c>
      <c r="DO37" s="151">
        <f t="shared" si="46"/>
        <v>0</v>
      </c>
      <c r="DP37" s="151">
        <f t="shared" si="46"/>
        <v>0</v>
      </c>
      <c r="DQ37" s="151">
        <f t="shared" si="46"/>
        <v>0</v>
      </c>
      <c r="DR37" s="151">
        <f t="shared" si="46"/>
        <v>0</v>
      </c>
      <c r="DS37" s="151">
        <f t="shared" si="46"/>
        <v>0</v>
      </c>
      <c r="DT37" s="151">
        <f t="shared" si="46"/>
        <v>0</v>
      </c>
      <c r="DU37" s="151">
        <f t="shared" si="46"/>
        <v>0</v>
      </c>
      <c r="DV37" s="151">
        <f t="shared" si="46"/>
        <v>0</v>
      </c>
      <c r="DW37" s="151">
        <f t="shared" si="46"/>
        <v>0</v>
      </c>
      <c r="DX37" s="151">
        <f t="shared" si="46"/>
        <v>0</v>
      </c>
      <c r="DZ37" s="158" t="str">
        <f t="shared" si="22"/>
        <v>XX in €/Jahr</v>
      </c>
      <c r="EA37" s="151">
        <f t="shared" si="47"/>
        <v>0</v>
      </c>
      <c r="EB37" s="151">
        <f t="shared" si="47"/>
        <v>0</v>
      </c>
      <c r="EC37" s="151">
        <f t="shared" si="47"/>
        <v>0</v>
      </c>
      <c r="ED37" s="151">
        <f t="shared" si="47"/>
        <v>0</v>
      </c>
      <c r="EE37" s="151">
        <f t="shared" si="47"/>
        <v>0</v>
      </c>
      <c r="EF37" s="151">
        <f t="shared" si="47"/>
        <v>0</v>
      </c>
      <c r="EG37" s="151">
        <f t="shared" si="47"/>
        <v>0</v>
      </c>
      <c r="EH37" s="151">
        <f t="shared" si="47"/>
        <v>0</v>
      </c>
      <c r="EI37" s="151">
        <f t="shared" si="47"/>
        <v>0</v>
      </c>
      <c r="EJ37" s="151">
        <f t="shared" si="47"/>
        <v>0</v>
      </c>
      <c r="EK37" s="151">
        <f t="shared" si="48"/>
        <v>0</v>
      </c>
      <c r="EL37" s="151">
        <f t="shared" si="48"/>
        <v>0</v>
      </c>
      <c r="EM37" s="151">
        <f t="shared" si="48"/>
        <v>0</v>
      </c>
      <c r="EN37" s="151">
        <f t="shared" si="48"/>
        <v>0</v>
      </c>
      <c r="EO37" s="151">
        <f t="shared" si="48"/>
        <v>0</v>
      </c>
      <c r="EP37" s="151">
        <f t="shared" si="48"/>
        <v>0</v>
      </c>
      <c r="EQ37" s="151">
        <f t="shared" si="48"/>
        <v>0</v>
      </c>
      <c r="ER37" s="151">
        <f t="shared" si="48"/>
        <v>0</v>
      </c>
      <c r="ES37" s="151">
        <f t="shared" si="48"/>
        <v>0</v>
      </c>
      <c r="ET37" s="151">
        <f t="shared" si="48"/>
        <v>0</v>
      </c>
      <c r="EU37" s="151">
        <f t="shared" si="49"/>
        <v>0</v>
      </c>
      <c r="EV37" s="151">
        <f t="shared" si="49"/>
        <v>0</v>
      </c>
      <c r="EW37" s="151">
        <f t="shared" si="49"/>
        <v>0</v>
      </c>
      <c r="EX37" s="151">
        <f t="shared" si="49"/>
        <v>0</v>
      </c>
      <c r="EY37" s="151">
        <f t="shared" si="49"/>
        <v>0</v>
      </c>
      <c r="EZ37" s="151">
        <f t="shared" si="49"/>
        <v>0</v>
      </c>
      <c r="FA37" s="151">
        <f t="shared" si="49"/>
        <v>0</v>
      </c>
      <c r="FB37" s="151">
        <f t="shared" si="49"/>
        <v>0</v>
      </c>
      <c r="FC37" s="151">
        <f t="shared" si="49"/>
        <v>0</v>
      </c>
      <c r="FD37" s="151">
        <f t="shared" si="49"/>
        <v>0</v>
      </c>
      <c r="FE37" s="151">
        <f t="shared" si="50"/>
        <v>0</v>
      </c>
      <c r="FF37" s="151">
        <f t="shared" si="50"/>
        <v>0</v>
      </c>
      <c r="FG37" s="151">
        <f t="shared" si="50"/>
        <v>0</v>
      </c>
      <c r="FH37" s="151">
        <f t="shared" si="50"/>
        <v>0</v>
      </c>
      <c r="FI37" s="151">
        <f t="shared" si="50"/>
        <v>0</v>
      </c>
      <c r="FJ37" s="151">
        <f t="shared" si="50"/>
        <v>0</v>
      </c>
      <c r="FK37" s="151">
        <f t="shared" si="50"/>
        <v>0</v>
      </c>
      <c r="FL37" s="151">
        <f t="shared" si="50"/>
        <v>0</v>
      </c>
      <c r="FM37" s="151">
        <f t="shared" si="50"/>
        <v>0</v>
      </c>
      <c r="FN37" s="151">
        <f t="shared" si="50"/>
        <v>0</v>
      </c>
      <c r="FO37" s="151">
        <f t="shared" si="51"/>
        <v>0</v>
      </c>
      <c r="FP37" s="151">
        <f t="shared" si="51"/>
        <v>0</v>
      </c>
      <c r="FQ37" s="151">
        <f t="shared" si="51"/>
        <v>0</v>
      </c>
      <c r="FR37" s="151">
        <f t="shared" si="51"/>
        <v>0</v>
      </c>
      <c r="FS37" s="151">
        <f t="shared" si="51"/>
        <v>0</v>
      </c>
      <c r="FT37" s="151">
        <f t="shared" si="51"/>
        <v>0</v>
      </c>
      <c r="FU37" s="151">
        <f t="shared" si="51"/>
        <v>0</v>
      </c>
      <c r="FV37" s="151">
        <f t="shared" si="51"/>
        <v>0</v>
      </c>
      <c r="FW37" s="151">
        <f t="shared" si="51"/>
        <v>0</v>
      </c>
      <c r="FX37" s="151">
        <f t="shared" si="51"/>
        <v>0</v>
      </c>
      <c r="FY37" s="151">
        <f t="shared" si="51"/>
        <v>0</v>
      </c>
      <c r="FZ37" s="151">
        <f t="shared" si="51"/>
        <v>0</v>
      </c>
      <c r="GA37" s="151">
        <f t="shared" si="51"/>
        <v>0</v>
      </c>
      <c r="GB37" s="151">
        <f t="shared" si="51"/>
        <v>0</v>
      </c>
    </row>
    <row r="38" spans="1:184" ht="18" customHeight="1" x14ac:dyDescent="0.5">
      <c r="A38" s="88"/>
      <c r="B38" s="322"/>
      <c r="C38" s="114" t="s">
        <v>135</v>
      </c>
      <c r="D38" s="169"/>
      <c r="E38" s="169"/>
      <c r="F38" s="170"/>
      <c r="G38" s="183"/>
      <c r="H38" s="184"/>
      <c r="I38" s="185">
        <v>0</v>
      </c>
      <c r="J38" s="186">
        <v>0</v>
      </c>
      <c r="K38" s="187">
        <v>0</v>
      </c>
      <c r="L38" s="188">
        <f t="shared" si="13"/>
        <v>0.02</v>
      </c>
      <c r="M38" s="189">
        <f t="shared" si="14"/>
        <v>0.03</v>
      </c>
      <c r="N38" s="190">
        <f t="shared" si="15"/>
        <v>0.05</v>
      </c>
      <c r="R38" s="158" t="str">
        <f t="shared" si="16"/>
        <v xml:space="preserve">XX in €/Jahr </v>
      </c>
      <c r="S38" s="151">
        <f t="shared" si="37"/>
        <v>0</v>
      </c>
      <c r="T38" s="151">
        <f t="shared" si="37"/>
        <v>0</v>
      </c>
      <c r="U38" s="151">
        <f t="shared" si="37"/>
        <v>0</v>
      </c>
      <c r="V38" s="151">
        <f t="shared" si="37"/>
        <v>0</v>
      </c>
      <c r="W38" s="151">
        <f t="shared" si="37"/>
        <v>0</v>
      </c>
      <c r="X38" s="151">
        <f t="shared" si="37"/>
        <v>0</v>
      </c>
      <c r="Y38" s="151">
        <f t="shared" si="37"/>
        <v>0</v>
      </c>
      <c r="Z38" s="151">
        <f t="shared" si="37"/>
        <v>0</v>
      </c>
      <c r="AA38" s="151">
        <f t="shared" si="37"/>
        <v>0</v>
      </c>
      <c r="AB38" s="151">
        <f t="shared" si="37"/>
        <v>0</v>
      </c>
      <c r="AC38" s="151">
        <f t="shared" si="38"/>
        <v>0</v>
      </c>
      <c r="AD38" s="151">
        <f t="shared" si="38"/>
        <v>0</v>
      </c>
      <c r="AE38" s="151">
        <f t="shared" si="38"/>
        <v>0</v>
      </c>
      <c r="AF38" s="151">
        <f t="shared" si="38"/>
        <v>0</v>
      </c>
      <c r="AG38" s="151">
        <f t="shared" si="38"/>
        <v>0</v>
      </c>
      <c r="AH38" s="151">
        <f t="shared" si="38"/>
        <v>0</v>
      </c>
      <c r="AI38" s="151">
        <f t="shared" si="38"/>
        <v>0</v>
      </c>
      <c r="AJ38" s="151">
        <f t="shared" si="38"/>
        <v>0</v>
      </c>
      <c r="AK38" s="151">
        <f t="shared" si="38"/>
        <v>0</v>
      </c>
      <c r="AL38" s="151">
        <f t="shared" si="38"/>
        <v>0</v>
      </c>
      <c r="AM38" s="151">
        <f t="shared" si="39"/>
        <v>0</v>
      </c>
      <c r="AN38" s="151">
        <f t="shared" si="39"/>
        <v>0</v>
      </c>
      <c r="AO38" s="151">
        <f t="shared" si="39"/>
        <v>0</v>
      </c>
      <c r="AP38" s="151">
        <f t="shared" si="39"/>
        <v>0</v>
      </c>
      <c r="AQ38" s="151">
        <f t="shared" si="39"/>
        <v>0</v>
      </c>
      <c r="AR38" s="151">
        <f t="shared" si="39"/>
        <v>0</v>
      </c>
      <c r="AS38" s="151">
        <f t="shared" si="39"/>
        <v>0</v>
      </c>
      <c r="AT38" s="151">
        <f t="shared" si="39"/>
        <v>0</v>
      </c>
      <c r="AU38" s="151">
        <f t="shared" si="39"/>
        <v>0</v>
      </c>
      <c r="AV38" s="151">
        <f t="shared" si="39"/>
        <v>0</v>
      </c>
      <c r="AW38" s="151">
        <f t="shared" si="40"/>
        <v>0</v>
      </c>
      <c r="AX38" s="151">
        <f t="shared" si="40"/>
        <v>0</v>
      </c>
      <c r="AY38" s="151">
        <f t="shared" si="40"/>
        <v>0</v>
      </c>
      <c r="AZ38" s="151">
        <f t="shared" si="40"/>
        <v>0</v>
      </c>
      <c r="BA38" s="151">
        <f t="shared" si="40"/>
        <v>0</v>
      </c>
      <c r="BB38" s="151">
        <f t="shared" si="40"/>
        <v>0</v>
      </c>
      <c r="BC38" s="151">
        <f t="shared" si="40"/>
        <v>0</v>
      </c>
      <c r="BD38" s="151">
        <f t="shared" si="40"/>
        <v>0</v>
      </c>
      <c r="BE38" s="151">
        <f t="shared" si="40"/>
        <v>0</v>
      </c>
      <c r="BF38" s="151">
        <f t="shared" si="40"/>
        <v>0</v>
      </c>
      <c r="BG38" s="151">
        <f t="shared" si="41"/>
        <v>0</v>
      </c>
      <c r="BH38" s="151">
        <f t="shared" si="41"/>
        <v>0</v>
      </c>
      <c r="BI38" s="151">
        <f t="shared" si="41"/>
        <v>0</v>
      </c>
      <c r="BJ38" s="151">
        <f t="shared" si="41"/>
        <v>0</v>
      </c>
      <c r="BK38" s="151">
        <f t="shared" si="41"/>
        <v>0</v>
      </c>
      <c r="BL38" s="151">
        <f t="shared" si="41"/>
        <v>0</v>
      </c>
      <c r="BM38" s="151">
        <f t="shared" si="41"/>
        <v>0</v>
      </c>
      <c r="BN38" s="151">
        <f t="shared" si="41"/>
        <v>0</v>
      </c>
      <c r="BO38" s="151">
        <f t="shared" si="41"/>
        <v>0</v>
      </c>
      <c r="BP38" s="151">
        <f t="shared" si="41"/>
        <v>0</v>
      </c>
      <c r="BQ38" s="151">
        <f t="shared" si="41"/>
        <v>0</v>
      </c>
      <c r="BR38" s="151">
        <f t="shared" si="41"/>
        <v>0</v>
      </c>
      <c r="BS38" s="151">
        <f t="shared" si="41"/>
        <v>0</v>
      </c>
      <c r="BT38" s="151">
        <f t="shared" si="41"/>
        <v>0</v>
      </c>
      <c r="BV38" s="158" t="str">
        <f t="shared" si="19"/>
        <v xml:space="preserve">XX in €/Jahr </v>
      </c>
      <c r="BW38" s="151">
        <f t="shared" si="42"/>
        <v>0</v>
      </c>
      <c r="BX38" s="151">
        <f t="shared" si="42"/>
        <v>0</v>
      </c>
      <c r="BY38" s="151">
        <f t="shared" si="42"/>
        <v>0</v>
      </c>
      <c r="BZ38" s="151">
        <f t="shared" si="42"/>
        <v>0</v>
      </c>
      <c r="CA38" s="151">
        <f t="shared" si="42"/>
        <v>0</v>
      </c>
      <c r="CB38" s="151">
        <f t="shared" si="42"/>
        <v>0</v>
      </c>
      <c r="CC38" s="151">
        <f t="shared" si="42"/>
        <v>0</v>
      </c>
      <c r="CD38" s="151">
        <f t="shared" si="42"/>
        <v>0</v>
      </c>
      <c r="CE38" s="151">
        <f t="shared" si="42"/>
        <v>0</v>
      </c>
      <c r="CF38" s="151">
        <f t="shared" si="42"/>
        <v>0</v>
      </c>
      <c r="CG38" s="151">
        <f t="shared" si="43"/>
        <v>0</v>
      </c>
      <c r="CH38" s="151">
        <f t="shared" si="43"/>
        <v>0</v>
      </c>
      <c r="CI38" s="151">
        <f t="shared" si="43"/>
        <v>0</v>
      </c>
      <c r="CJ38" s="151">
        <f t="shared" si="43"/>
        <v>0</v>
      </c>
      <c r="CK38" s="151">
        <f t="shared" si="43"/>
        <v>0</v>
      </c>
      <c r="CL38" s="151">
        <f t="shared" si="43"/>
        <v>0</v>
      </c>
      <c r="CM38" s="151">
        <f t="shared" si="43"/>
        <v>0</v>
      </c>
      <c r="CN38" s="151">
        <f t="shared" si="43"/>
        <v>0</v>
      </c>
      <c r="CO38" s="151">
        <f t="shared" si="43"/>
        <v>0</v>
      </c>
      <c r="CP38" s="151">
        <f t="shared" si="43"/>
        <v>0</v>
      </c>
      <c r="CQ38" s="151">
        <f t="shared" si="44"/>
        <v>0</v>
      </c>
      <c r="CR38" s="151">
        <f t="shared" si="44"/>
        <v>0</v>
      </c>
      <c r="CS38" s="151">
        <f t="shared" si="44"/>
        <v>0</v>
      </c>
      <c r="CT38" s="151">
        <f t="shared" si="44"/>
        <v>0</v>
      </c>
      <c r="CU38" s="151">
        <f t="shared" si="44"/>
        <v>0</v>
      </c>
      <c r="CV38" s="151">
        <f t="shared" si="44"/>
        <v>0</v>
      </c>
      <c r="CW38" s="151">
        <f t="shared" si="44"/>
        <v>0</v>
      </c>
      <c r="CX38" s="151">
        <f t="shared" si="44"/>
        <v>0</v>
      </c>
      <c r="CY38" s="151">
        <f t="shared" si="44"/>
        <v>0</v>
      </c>
      <c r="CZ38" s="151">
        <f t="shared" si="44"/>
        <v>0</v>
      </c>
      <c r="DA38" s="151">
        <f t="shared" si="45"/>
        <v>0</v>
      </c>
      <c r="DB38" s="151">
        <f t="shared" si="45"/>
        <v>0</v>
      </c>
      <c r="DC38" s="151">
        <f t="shared" si="45"/>
        <v>0</v>
      </c>
      <c r="DD38" s="151">
        <f t="shared" si="45"/>
        <v>0</v>
      </c>
      <c r="DE38" s="151">
        <f t="shared" si="45"/>
        <v>0</v>
      </c>
      <c r="DF38" s="151">
        <f t="shared" si="45"/>
        <v>0</v>
      </c>
      <c r="DG38" s="151">
        <f t="shared" si="45"/>
        <v>0</v>
      </c>
      <c r="DH38" s="151">
        <f t="shared" si="45"/>
        <v>0</v>
      </c>
      <c r="DI38" s="151">
        <f t="shared" si="45"/>
        <v>0</v>
      </c>
      <c r="DJ38" s="151">
        <f t="shared" si="45"/>
        <v>0</v>
      </c>
      <c r="DK38" s="151">
        <f t="shared" si="46"/>
        <v>0</v>
      </c>
      <c r="DL38" s="151">
        <f t="shared" si="46"/>
        <v>0</v>
      </c>
      <c r="DM38" s="151">
        <f t="shared" si="46"/>
        <v>0</v>
      </c>
      <c r="DN38" s="151">
        <f t="shared" si="46"/>
        <v>0</v>
      </c>
      <c r="DO38" s="151">
        <f t="shared" si="46"/>
        <v>0</v>
      </c>
      <c r="DP38" s="151">
        <f t="shared" si="46"/>
        <v>0</v>
      </c>
      <c r="DQ38" s="151">
        <f t="shared" si="46"/>
        <v>0</v>
      </c>
      <c r="DR38" s="151">
        <f t="shared" si="46"/>
        <v>0</v>
      </c>
      <c r="DS38" s="151">
        <f t="shared" si="46"/>
        <v>0</v>
      </c>
      <c r="DT38" s="151">
        <f t="shared" si="46"/>
        <v>0</v>
      </c>
      <c r="DU38" s="151">
        <f t="shared" si="46"/>
        <v>0</v>
      </c>
      <c r="DV38" s="151">
        <f t="shared" si="46"/>
        <v>0</v>
      </c>
      <c r="DW38" s="151">
        <f t="shared" si="46"/>
        <v>0</v>
      </c>
      <c r="DX38" s="151">
        <f t="shared" si="46"/>
        <v>0</v>
      </c>
      <c r="DZ38" s="158" t="str">
        <f t="shared" si="22"/>
        <v xml:space="preserve">XX in €/Jahr </v>
      </c>
      <c r="EA38" s="151">
        <f t="shared" si="47"/>
        <v>0</v>
      </c>
      <c r="EB38" s="151">
        <f t="shared" si="47"/>
        <v>0</v>
      </c>
      <c r="EC38" s="151">
        <f t="shared" si="47"/>
        <v>0</v>
      </c>
      <c r="ED38" s="151">
        <f t="shared" si="47"/>
        <v>0</v>
      </c>
      <c r="EE38" s="151">
        <f t="shared" si="47"/>
        <v>0</v>
      </c>
      <c r="EF38" s="151">
        <f t="shared" si="47"/>
        <v>0</v>
      </c>
      <c r="EG38" s="151">
        <f t="shared" si="47"/>
        <v>0</v>
      </c>
      <c r="EH38" s="151">
        <f t="shared" si="47"/>
        <v>0</v>
      </c>
      <c r="EI38" s="151">
        <f t="shared" si="47"/>
        <v>0</v>
      </c>
      <c r="EJ38" s="151">
        <f t="shared" si="47"/>
        <v>0</v>
      </c>
      <c r="EK38" s="151">
        <f t="shared" si="48"/>
        <v>0</v>
      </c>
      <c r="EL38" s="151">
        <f t="shared" si="48"/>
        <v>0</v>
      </c>
      <c r="EM38" s="151">
        <f t="shared" si="48"/>
        <v>0</v>
      </c>
      <c r="EN38" s="151">
        <f t="shared" si="48"/>
        <v>0</v>
      </c>
      <c r="EO38" s="151">
        <f t="shared" si="48"/>
        <v>0</v>
      </c>
      <c r="EP38" s="151">
        <f t="shared" si="48"/>
        <v>0</v>
      </c>
      <c r="EQ38" s="151">
        <f t="shared" si="48"/>
        <v>0</v>
      </c>
      <c r="ER38" s="151">
        <f t="shared" si="48"/>
        <v>0</v>
      </c>
      <c r="ES38" s="151">
        <f t="shared" si="48"/>
        <v>0</v>
      </c>
      <c r="ET38" s="151">
        <f t="shared" si="48"/>
        <v>0</v>
      </c>
      <c r="EU38" s="151">
        <f t="shared" si="49"/>
        <v>0</v>
      </c>
      <c r="EV38" s="151">
        <f t="shared" si="49"/>
        <v>0</v>
      </c>
      <c r="EW38" s="151">
        <f t="shared" si="49"/>
        <v>0</v>
      </c>
      <c r="EX38" s="151">
        <f t="shared" si="49"/>
        <v>0</v>
      </c>
      <c r="EY38" s="151">
        <f t="shared" si="49"/>
        <v>0</v>
      </c>
      <c r="EZ38" s="151">
        <f t="shared" si="49"/>
        <v>0</v>
      </c>
      <c r="FA38" s="151">
        <f t="shared" si="49"/>
        <v>0</v>
      </c>
      <c r="FB38" s="151">
        <f t="shared" si="49"/>
        <v>0</v>
      </c>
      <c r="FC38" s="151">
        <f t="shared" si="49"/>
        <v>0</v>
      </c>
      <c r="FD38" s="151">
        <f t="shared" si="49"/>
        <v>0</v>
      </c>
      <c r="FE38" s="151">
        <f t="shared" si="50"/>
        <v>0</v>
      </c>
      <c r="FF38" s="151">
        <f t="shared" si="50"/>
        <v>0</v>
      </c>
      <c r="FG38" s="151">
        <f t="shared" si="50"/>
        <v>0</v>
      </c>
      <c r="FH38" s="151">
        <f t="shared" si="50"/>
        <v>0</v>
      </c>
      <c r="FI38" s="151">
        <f t="shared" si="50"/>
        <v>0</v>
      </c>
      <c r="FJ38" s="151">
        <f t="shared" si="50"/>
        <v>0</v>
      </c>
      <c r="FK38" s="151">
        <f t="shared" si="50"/>
        <v>0</v>
      </c>
      <c r="FL38" s="151">
        <f t="shared" si="50"/>
        <v>0</v>
      </c>
      <c r="FM38" s="151">
        <f t="shared" si="50"/>
        <v>0</v>
      </c>
      <c r="FN38" s="151">
        <f t="shared" si="50"/>
        <v>0</v>
      </c>
      <c r="FO38" s="151">
        <f t="shared" si="51"/>
        <v>0</v>
      </c>
      <c r="FP38" s="151">
        <f t="shared" si="51"/>
        <v>0</v>
      </c>
      <c r="FQ38" s="151">
        <f t="shared" si="51"/>
        <v>0</v>
      </c>
      <c r="FR38" s="151">
        <f t="shared" si="51"/>
        <v>0</v>
      </c>
      <c r="FS38" s="151">
        <f t="shared" si="51"/>
        <v>0</v>
      </c>
      <c r="FT38" s="151">
        <f t="shared" si="51"/>
        <v>0</v>
      </c>
      <c r="FU38" s="151">
        <f t="shared" si="51"/>
        <v>0</v>
      </c>
      <c r="FV38" s="151">
        <f t="shared" si="51"/>
        <v>0</v>
      </c>
      <c r="FW38" s="151">
        <f t="shared" si="51"/>
        <v>0</v>
      </c>
      <c r="FX38" s="151">
        <f t="shared" si="51"/>
        <v>0</v>
      </c>
      <c r="FY38" s="151">
        <f t="shared" si="51"/>
        <v>0</v>
      </c>
      <c r="FZ38" s="151">
        <f t="shared" si="51"/>
        <v>0</v>
      </c>
      <c r="GA38" s="151">
        <f t="shared" si="51"/>
        <v>0</v>
      </c>
      <c r="GB38" s="151">
        <f t="shared" si="51"/>
        <v>0</v>
      </c>
    </row>
    <row r="39" spans="1:184" ht="17.25" customHeight="1" x14ac:dyDescent="0.5">
      <c r="A39" s="88"/>
      <c r="B39" s="323" t="s">
        <v>136</v>
      </c>
      <c r="C39" s="134" t="s">
        <v>231</v>
      </c>
      <c r="D39" s="191">
        <f t="array" ref="D39">IFERROR(_xlfn.IFS(D11&gt;=G11,0,D11=0,1),(G11-D11)/D11)</f>
        <v>0</v>
      </c>
      <c r="E39" s="191">
        <f t="array" ref="E39">IFERROR(_xlfn.IFS(E11&gt;=H11,0,E11=0,1),(H11-E11)/E11)</f>
        <v>0</v>
      </c>
      <c r="F39" s="191">
        <f t="array" ref="F39">IFERROR(_xlfn.IFS(F11&gt;=I11,0,F11=0,1),(I11-F11)/F11)</f>
        <v>0</v>
      </c>
      <c r="G39" s="3">
        <v>99</v>
      </c>
      <c r="H39" s="192">
        <v>99</v>
      </c>
      <c r="I39" s="193">
        <v>0</v>
      </c>
      <c r="J39" s="194">
        <v>0</v>
      </c>
      <c r="K39" s="195">
        <v>0</v>
      </c>
      <c r="L39" s="196">
        <f>'Allgemeine Unternehmensdaten'!$E$8</f>
        <v>0.04</v>
      </c>
      <c r="M39" s="197">
        <f>'Allgemeine Unternehmensdaten'!$F$8</f>
        <v>0.03</v>
      </c>
      <c r="N39" s="198">
        <f>'Allgemeine Unternehmensdaten'!$G$8</f>
        <v>0.02</v>
      </c>
      <c r="R39" s="199" t="str">
        <f t="shared" si="16"/>
        <v>Mehrverbrauch Strom in %</v>
      </c>
      <c r="S39" s="200">
        <f>IF(AND($E39=1,$E11=0),'Allgemeine Unternehmensdaten'!$F$7*S22*$H11*($M39+1)^(S20)*((1+$J39)^(S$20)),'Allgemeine Unternehmensdaten'!$F$7*S22*$E11*$E39*($M39+1)^(S20)*((1+$J39)^(S$20)))</f>
        <v>0</v>
      </c>
      <c r="T39" s="200">
        <f>IF(AND($E39=1,$E11=0),'Allgemeine Unternehmensdaten'!$F$7*T22*$H11*($M39+1)^(T20)*((1+$J39)^(T$20)),'Allgemeine Unternehmensdaten'!$F$7*T22*$E11*$E39*($M39+1)^(T20)*((1+$J39)^(T$20)))</f>
        <v>0</v>
      </c>
      <c r="U39" s="200">
        <f>IF(AND($E39=1,$E11=0),'Allgemeine Unternehmensdaten'!$F$7*U22*$H11*($M39+1)^(U20)*((1+$J39)^(U$20)),'Allgemeine Unternehmensdaten'!$F$7*U22*$E11*$E39*($M39+1)^(U20)*((1+$J39)^(U$20)))</f>
        <v>0</v>
      </c>
      <c r="V39" s="200">
        <f>IF(AND($E39=1,$E11=0),'Allgemeine Unternehmensdaten'!$F$7*V22*$H11*($M39+1)^(V20)*((1+$J39)^(V$20)),'Allgemeine Unternehmensdaten'!$F$7*V22*$E11*$E39*($M39+1)^(V20)*((1+$J39)^(V$20)))</f>
        <v>0</v>
      </c>
      <c r="W39" s="200">
        <f>IF(AND($E39=1,$E11=0),'Allgemeine Unternehmensdaten'!$F$7*W22*$H11*($M39+1)^(W20)*((1+$J39)^(W$20)),'Allgemeine Unternehmensdaten'!$F$7*W22*$E11*$E39*($M39+1)^(W20)*((1+$J39)^(W$20)))</f>
        <v>0</v>
      </c>
      <c r="X39" s="200">
        <f>IF(AND($E39=1,$E11=0),'Allgemeine Unternehmensdaten'!$F$7*X22*$H11*($M39+1)^(X20)*((1+$J39)^(X$20)),'Allgemeine Unternehmensdaten'!$F$7*X22*$E11*$E39*($M39+1)^(X20)*((1+$J39)^(X$20)))</f>
        <v>0</v>
      </c>
      <c r="Y39" s="200">
        <f>IF(AND($E39=1,$E11=0),'Allgemeine Unternehmensdaten'!$F$7*Y22*$H11*($M39+1)^(Y20)*((1+$J39)^(Y$20)),'Allgemeine Unternehmensdaten'!$F$7*Y22*$E11*$E39*($M39+1)^(Y20)*((1+$J39)^(Y$20)))</f>
        <v>0</v>
      </c>
      <c r="Z39" s="200">
        <f>IF(AND($E39=1,$E11=0),'Allgemeine Unternehmensdaten'!$F$7*Z22*$H11*($M39+1)^(Z20)*((1+$J39)^(Z$20)),'Allgemeine Unternehmensdaten'!$F$7*Z22*$E11*$E39*($M39+1)^(Z20)*((1+$J39)^(Z$20)))</f>
        <v>0</v>
      </c>
      <c r="AA39" s="200">
        <f>IF(AND($E39=1,$E11=0),'Allgemeine Unternehmensdaten'!$F$7*AA22*$H11*($M39+1)^(AA20)*((1+$J39)^(AA$20)),'Allgemeine Unternehmensdaten'!$F$7*AA22*$E11*$E39*($M39+1)^(AA20)*((1+$J39)^(AA$20)))</f>
        <v>0</v>
      </c>
      <c r="AB39" s="200">
        <f>IF(AND($E39=1,$E11=0),'Allgemeine Unternehmensdaten'!$F$7*AB22*$H11*($M39+1)^(AB20)*((1+$J39)^(AB$20)),'Allgemeine Unternehmensdaten'!$F$7*AB22*$E11*$E39*($M39+1)^(AB20)*((1+$J39)^(AB$20)))</f>
        <v>0</v>
      </c>
      <c r="AC39" s="200">
        <f>IF(AND($E39=1,$E11=0),'Allgemeine Unternehmensdaten'!$F$7*AC22*$H11*($M39+1)^(AC20)*((1+$J39)^(AC$20)),'Allgemeine Unternehmensdaten'!$F$7*AC22*$E11*$E39*($M39+1)^(AC20)*((1+$J39)^(AC$20)))</f>
        <v>0</v>
      </c>
      <c r="AD39" s="200">
        <f>IF(AND($E39=1,$E11=0),'Allgemeine Unternehmensdaten'!$F$7*AD22*$H11*($M39+1)^(AD20)*((1+$J39)^(AD$20)),'Allgemeine Unternehmensdaten'!$F$7*AD22*$E11*$E39*($M39+1)^(AD20)*((1+$J39)^(AD$20)))</f>
        <v>0</v>
      </c>
      <c r="AE39" s="200">
        <f>IF(AND($E39=1,$E11=0),'Allgemeine Unternehmensdaten'!$F$7*AE22*$H11*($M39+1)^(AE20)*((1+$J39)^(AE$20)),'Allgemeine Unternehmensdaten'!$F$7*AE22*$E11*$E39*($M39+1)^(AE20)*((1+$J39)^(AE$20)))</f>
        <v>0</v>
      </c>
      <c r="AF39" s="200">
        <f>IF(AND($E39=1,$E11=0),'Allgemeine Unternehmensdaten'!$F$7*AF22*$H11*($M39+1)^(AF20)*((1+$J39)^(AF$20)),'Allgemeine Unternehmensdaten'!$F$7*AF22*$E11*$E39*($M39+1)^(AF20)*((1+$J39)^(AF$20)))</f>
        <v>0</v>
      </c>
      <c r="AG39" s="200">
        <f>IF(AND($E39=1,$E11=0),'Allgemeine Unternehmensdaten'!$F$7*AG22*$H11*($M39+1)^(AG20)*((1+$J39)^(AG$20)),'Allgemeine Unternehmensdaten'!$F$7*AG22*$E11*$E39*($M39+1)^(AG20)*((1+$J39)^(AG$20)))</f>
        <v>0</v>
      </c>
      <c r="AH39" s="200">
        <f>IF(AND($E39=1,$E11=0),'Allgemeine Unternehmensdaten'!$F$7*AH22*$H11*($M39+1)^(AH20)*((1+$J39)^(AH$20)),'Allgemeine Unternehmensdaten'!$F$7*AH22*$E11*$E39*($M39+1)^(AH20)*((1+$J39)^(AH$20)))</f>
        <v>0</v>
      </c>
      <c r="AI39" s="200">
        <f>IF(AND($E39=1,$E11=0),'Allgemeine Unternehmensdaten'!$F$7*AI22*$H11*($M39+1)^(AI20)*((1+$J39)^(AI$20)),'Allgemeine Unternehmensdaten'!$F$7*AI22*$E11*$E39*($M39+1)^(AI20)*((1+$J39)^(AI$20)))</f>
        <v>0</v>
      </c>
      <c r="AJ39" s="200">
        <f>IF(AND($E39=1,$E11=0),'Allgemeine Unternehmensdaten'!$F$7*AJ22*$H11*($M39+1)^(AJ20)*((1+$J39)^(AJ$20)),'Allgemeine Unternehmensdaten'!$F$7*AJ22*$E11*$E39*($M39+1)^(AJ20)*((1+$J39)^(AJ$20)))</f>
        <v>0</v>
      </c>
      <c r="AK39" s="200">
        <f>IF(AND($E39=1,$E11=0),'Allgemeine Unternehmensdaten'!$F$7*AK22*$H11*($M39+1)^(AK20)*((1+$J39)^(AK$20)),'Allgemeine Unternehmensdaten'!$F$7*AK22*$E11*$E39*($M39+1)^(AK20)*((1+$J39)^(AK$20)))</f>
        <v>0</v>
      </c>
      <c r="AL39" s="200">
        <f>IF(AND($E39=1,$E11=0),'Allgemeine Unternehmensdaten'!$F$7*AL22*$H11*($M39+1)^(AL20)*((1+$J39)^(AL$20)),'Allgemeine Unternehmensdaten'!$F$7*AL22*$E11*$E39*($M39+1)^(AL20)*((1+$J39)^(AL$20)))</f>
        <v>0</v>
      </c>
      <c r="AM39" s="200">
        <f>IF(AND($E39=1,$E11=0),'Allgemeine Unternehmensdaten'!$F$7*AM22*$H11*($M39+1)^(AM20)*((1+$J39)^(AM$20)),'Allgemeine Unternehmensdaten'!$F$7*AM22*$E11*$E39*($M39+1)^(AM20)*((1+$J39)^(AM$20)))</f>
        <v>0</v>
      </c>
      <c r="AN39" s="200">
        <f>IF(AND($E39=1,$E11=0),'Allgemeine Unternehmensdaten'!$F$7*AN22*$H11*($M39+1)^(AN20)*((1+$J39)^(AN$20)),'Allgemeine Unternehmensdaten'!$F$7*AN22*$E11*$E39*($M39+1)^(AN20)*((1+$J39)^(AN$20)))</f>
        <v>0</v>
      </c>
      <c r="AO39" s="200">
        <f>IF(AND($E39=1,$E11=0),'Allgemeine Unternehmensdaten'!$F$7*AO22*$H11*($M39+1)^(AO20)*((1+$J39)^(AO$20)),'Allgemeine Unternehmensdaten'!$F$7*AO22*$E11*$E39*($M39+1)^(AO20)*((1+$J39)^(AO$20)))</f>
        <v>0</v>
      </c>
      <c r="AP39" s="200">
        <f>IF(AND($E39=1,$E11=0),'Allgemeine Unternehmensdaten'!$F$7*AP22*$H11*($M39+1)^(AP20)*((1+$J39)^(AP$20)),'Allgemeine Unternehmensdaten'!$F$7*AP22*$E11*$E39*($M39+1)^(AP20)*((1+$J39)^(AP$20)))</f>
        <v>0</v>
      </c>
      <c r="AQ39" s="200">
        <f>IF(AND($E39=1,$E11=0),'Allgemeine Unternehmensdaten'!$F$7*AQ22*$H11*($M39+1)^(AQ20)*((1+$J39)^(AQ$20)),'Allgemeine Unternehmensdaten'!$F$7*AQ22*$E11*$E39*($M39+1)^(AQ20)*((1+$J39)^(AQ$20)))</f>
        <v>0</v>
      </c>
      <c r="AR39" s="200">
        <f>IF(AND($E39=1,$E11=0),'Allgemeine Unternehmensdaten'!$F$7*AR22*$H11*($M39+1)^(AR20)*((1+$J39)^(AR$20)),'Allgemeine Unternehmensdaten'!$F$7*AR22*$E11*$E39*($M39+1)^(AR20)*((1+$J39)^(AR$20)))</f>
        <v>0</v>
      </c>
      <c r="AS39" s="200">
        <f>IF(AND($E39=1,$E11=0),'Allgemeine Unternehmensdaten'!$F$7*AS22*$H11*($M39+1)^(AS20)*((1+$J39)^(AS$20)),'Allgemeine Unternehmensdaten'!$F$7*AS22*$E11*$E39*($M39+1)^(AS20)*((1+$J39)^(AS$20)))</f>
        <v>0</v>
      </c>
      <c r="AT39" s="200">
        <f>IF(AND($E39=1,$E11=0),'Allgemeine Unternehmensdaten'!$F$7*AT22*$H11*($M39+1)^(AT20)*((1+$J39)^(AT$20)),'Allgemeine Unternehmensdaten'!$F$7*AT22*$E11*$E39*($M39+1)^(AT20)*((1+$J39)^(AT$20)))</f>
        <v>0</v>
      </c>
      <c r="AU39" s="200">
        <f>IF(AND($E39=1,$E11=0),'Allgemeine Unternehmensdaten'!$F$7*AU22*$H11*($M39+1)^(AU20)*((1+$J39)^(AU$20)),'Allgemeine Unternehmensdaten'!$F$7*AU22*$E11*$E39*($M39+1)^(AU20)*((1+$J39)^(AU$20)))</f>
        <v>0</v>
      </c>
      <c r="AV39" s="200">
        <f>IF(AND($E39=1,$E11=0),'Allgemeine Unternehmensdaten'!$F$7*AV22*$H11*($M39+1)^(AV20)*((1+$J39)^(AV$20)),'Allgemeine Unternehmensdaten'!$F$7*AV22*$E11*$E39*($M39+1)^(AV20)*((1+$J39)^(AV$20)))</f>
        <v>0</v>
      </c>
      <c r="AW39" s="200">
        <f>IF(AND($E39=1,$E11=0),'Allgemeine Unternehmensdaten'!$F$7*AW22*$H11*($M39+1)^(AW20)*((1+$J39)^(AW$20)),'Allgemeine Unternehmensdaten'!$F$7*AW22*$E11*$E39*($M39+1)^(AW20)*((1+$J39)^(AW$20)))</f>
        <v>0</v>
      </c>
      <c r="AX39" s="200">
        <f>IF(AND($E39=1,$E11=0),'Allgemeine Unternehmensdaten'!$F$7*AX22*$H11*($M39+1)^(AX20)*((1+$J39)^(AX$20)),'Allgemeine Unternehmensdaten'!$F$7*AX22*$E11*$E39*($M39+1)^(AX20)*((1+$J39)^(AX$20)))</f>
        <v>0</v>
      </c>
      <c r="AY39" s="200">
        <f>IF(AND($E39=1,$E11=0),'Allgemeine Unternehmensdaten'!$F$7*AY22*$H11*($M39+1)^(AY20)*((1+$J39)^(AY$20)),'Allgemeine Unternehmensdaten'!$F$7*AY22*$E11*$E39*($M39+1)^(AY20)*((1+$J39)^(AY$20)))</f>
        <v>0</v>
      </c>
      <c r="AZ39" s="200">
        <f>IF(AND($E39=1,$E11=0),'Allgemeine Unternehmensdaten'!$F$7*AZ22*$H11*($M39+1)^(AZ20)*((1+$J39)^(AZ$20)),'Allgemeine Unternehmensdaten'!$F$7*AZ22*$E11*$E39*($M39+1)^(AZ20)*((1+$J39)^(AZ$20)))</f>
        <v>0</v>
      </c>
      <c r="BA39" s="200">
        <f>IF(AND($E39=1,$E11=0),'Allgemeine Unternehmensdaten'!$F$7*BA22*$H11*($M39+1)^(BA20)*((1+$J39)^(BA$20)),'Allgemeine Unternehmensdaten'!$F$7*BA22*$E11*$E39*($M39+1)^(BA20)*((1+$J39)^(BA$20)))</f>
        <v>0</v>
      </c>
      <c r="BB39" s="200">
        <f>IF(AND($E39=1,$E11=0),'Allgemeine Unternehmensdaten'!$F$7*BB22*$H11*($M39+1)^(BB20)*((1+$J39)^(BB$20)),'Allgemeine Unternehmensdaten'!$F$7*BB22*$E11*$E39*($M39+1)^(BB20)*((1+$J39)^(BB$20)))</f>
        <v>0</v>
      </c>
      <c r="BC39" s="200">
        <f>IF(AND($E39=1,$E11=0),'Allgemeine Unternehmensdaten'!$F$7*BC22*$H11*($M39+1)^(BC20)*((1+$J39)^(BC$20)),'Allgemeine Unternehmensdaten'!$F$7*BC22*$E11*$E39*($M39+1)^(BC20)*((1+$J39)^(BC$20)))</f>
        <v>0</v>
      </c>
      <c r="BD39" s="200">
        <f>IF(AND($E39=1,$E11=0),'Allgemeine Unternehmensdaten'!$F$7*BD22*$H11*($M39+1)^(BD20)*((1+$J39)^(BD$20)),'Allgemeine Unternehmensdaten'!$F$7*BD22*$E11*$E39*($M39+1)^(BD20)*((1+$J39)^(BD$20)))</f>
        <v>0</v>
      </c>
      <c r="BE39" s="200">
        <f>IF(AND($E39=1,$E11=0),'Allgemeine Unternehmensdaten'!$F$7*BE22*$H11*($M39+1)^(BE20)*((1+$J39)^(BE$20)),'Allgemeine Unternehmensdaten'!$F$7*BE22*$E11*$E39*($M39+1)^(BE20)*((1+$J39)^(BE$20)))</f>
        <v>0</v>
      </c>
      <c r="BF39" s="200">
        <f>IF(AND($E39=1,$E11=0),'Allgemeine Unternehmensdaten'!$F$7*BF22*$H11*($M39+1)^(BF20)*((1+$J39)^(BF$20)),'Allgemeine Unternehmensdaten'!$F$7*BF22*$E11*$E39*($M39+1)^(BF20)*((1+$J39)^(BF$20)))</f>
        <v>0</v>
      </c>
      <c r="BG39" s="200">
        <f>IF(AND($E39=1,$E11=0),'Allgemeine Unternehmensdaten'!$F$7*BG22*$H11*($M39+1)^(BG20)*((1+$J39)^(BG$20)),'Allgemeine Unternehmensdaten'!$F$7*BG22*$E11*$E39*($M39+1)^(BG20)*((1+$J39)^(BG$20)))</f>
        <v>0</v>
      </c>
      <c r="BH39" s="200">
        <f>IF(AND($E39=1,$E11=0),'Allgemeine Unternehmensdaten'!$F$7*BH22*$H11*($M39+1)^(BH20)*((1+$J39)^(BH$20)),'Allgemeine Unternehmensdaten'!$F$7*BH22*$E11*$E39*($M39+1)^(BH20)*((1+$J39)^(BH$20)))</f>
        <v>0</v>
      </c>
      <c r="BI39" s="200">
        <f>IF(AND($E39=1,$E11=0),'Allgemeine Unternehmensdaten'!$F$7*BI22*$H11*($M39+1)^(BI20)*((1+$J39)^(BI$20)),'Allgemeine Unternehmensdaten'!$F$7*BI22*$E11*$E39*($M39+1)^(BI20)*((1+$J39)^(BI$20)))</f>
        <v>0</v>
      </c>
      <c r="BJ39" s="200">
        <f>IF(AND($E39=1,$E11=0),'Allgemeine Unternehmensdaten'!$F$7*BJ22*$H11*($M39+1)^(BJ20)*((1+$J39)^(BJ$20)),'Allgemeine Unternehmensdaten'!$F$7*BJ22*$E11*$E39*($M39+1)^(BJ20)*((1+$J39)^(BJ$20)))</f>
        <v>0</v>
      </c>
      <c r="BK39" s="200">
        <f>IF(AND($E39=1,$E11=0),'Allgemeine Unternehmensdaten'!$F$7*BK22*$H11*($M39+1)^(BK20)*((1+$J39)^(BK$20)),'Allgemeine Unternehmensdaten'!$F$7*BK22*$E11*$E39*($M39+1)^(BK20)*((1+$J39)^(BK$20)))</f>
        <v>0</v>
      </c>
      <c r="BL39" s="200">
        <f>IF(AND($E39=1,$E11=0),'Allgemeine Unternehmensdaten'!$F$7*BL22*$H11*($M39+1)^(BL20)*((1+$J39)^(BL$20)),'Allgemeine Unternehmensdaten'!$F$7*BL22*$E11*$E39*($M39+1)^(BL20)*((1+$J39)^(BL$20)))</f>
        <v>0</v>
      </c>
      <c r="BM39" s="200">
        <f>IF(AND($E39=1,$E11=0),'Allgemeine Unternehmensdaten'!$F$7*BM22*$H11*($M39+1)^(BM20)*((1+$J39)^(BM$20)),'Allgemeine Unternehmensdaten'!$F$7*BM22*$E11*$E39*($M39+1)^(BM20)*((1+$J39)^(BM$20)))</f>
        <v>0</v>
      </c>
      <c r="BN39" s="200">
        <f>IF(AND($E39=1,$E11=0),'Allgemeine Unternehmensdaten'!$F$7*BN22*$H11*($M39+1)^(BN20)*((1+$J39)^(BN$20)),'Allgemeine Unternehmensdaten'!$F$7*BN22*$E11*$E39*($M39+1)^(BN20)*((1+$J39)^(BN$20)))</f>
        <v>0</v>
      </c>
      <c r="BO39" s="200">
        <f>IF(AND($E39=1,$E11=0),'Allgemeine Unternehmensdaten'!$F$7*BO22*$H11*($M39+1)^(BO20)*((1+$J39)^(BO$20)),'Allgemeine Unternehmensdaten'!$F$7*BO22*$E11*$E39*($M39+1)^(BO20)*((1+$J39)^(BO$20)))</f>
        <v>0</v>
      </c>
      <c r="BP39" s="200">
        <f>IF(AND($E39=1,$E11=0),'Allgemeine Unternehmensdaten'!$F$7*BP22*$H11*($M39+1)^(BP20)*((1+$J39)^(BP$20)),'Allgemeine Unternehmensdaten'!$F$7*BP22*$E11*$E39*($M39+1)^(BP20)*((1+$J39)^(BP$20)))</f>
        <v>0</v>
      </c>
      <c r="BQ39" s="200">
        <f>IF(AND($E39=1,$E11=0),'Allgemeine Unternehmensdaten'!$F$7*BQ22*$H11*($M39+1)^(BQ20)*((1+$J39)^(BQ$20)),'Allgemeine Unternehmensdaten'!$F$7*BQ22*$E11*$E39*($M39+1)^(BQ20)*((1+$J39)^(BQ$20)))</f>
        <v>0</v>
      </c>
      <c r="BR39" s="200">
        <f>IF(AND($E39=1,$E11=0),'Allgemeine Unternehmensdaten'!$F$7*BR22*$H11*($M39+1)^(BR20)*((1+$J39)^(BR$20)),'Allgemeine Unternehmensdaten'!$F$7*BR22*$E11*$E39*($M39+1)^(BR20)*((1+$J39)^(BR$20)))</f>
        <v>0</v>
      </c>
      <c r="BS39" s="200">
        <f>IF(AND($E39=1,$E11=0),'Allgemeine Unternehmensdaten'!$F$7*BS22*$H11*($M39+1)^(BS20)*((1+$J39)^(BS$20)),'Allgemeine Unternehmensdaten'!$F$7*BS22*$E11*$E39*($M39+1)^(BS20)*((1+$J39)^(BS$20)))</f>
        <v>0</v>
      </c>
      <c r="BT39" s="200">
        <f>IF(AND($E39=1,$E11=0),'Allgemeine Unternehmensdaten'!$F$7*BT22*$H11*($M39+1)^(BT20)*((1+$J39)^(BT$20)),'Allgemeine Unternehmensdaten'!$F$7*BT22*$E11*$E39*($M39+1)^(BT20)*((1+$J39)^(BT$20)))</f>
        <v>0</v>
      </c>
      <c r="BV39" s="199" t="str">
        <f t="shared" si="19"/>
        <v>Mehrverbrauch Strom in %</v>
      </c>
      <c r="BW39" s="200">
        <f>IF(AND($D39=1,$D11=0),'Allgemeine Unternehmensdaten'!$E$7*BW22*$G11*($L39+1)^(BW20)*((1+$I39)^(BW$20)),'Allgemeine Unternehmensdaten'!$E$7*BW22*$D11*$D39*($L39+1)^(BW20)*((1+$I39)^(BW$20)))</f>
        <v>0</v>
      </c>
      <c r="BX39" s="200">
        <f>IF(AND($D39=1,$D11=0),'Allgemeine Unternehmensdaten'!$E$7*BX22*$G11*($L39+1)^(BX20)*((1+$I39)^(BX$20)),'Allgemeine Unternehmensdaten'!$E$7*BX22*$D11*$D39*($L39+1)^(BX20)*((1+$I39)^(BX$20)))</f>
        <v>0</v>
      </c>
      <c r="BY39" s="200">
        <f>IF(AND($D39=1,$D11=0),'Allgemeine Unternehmensdaten'!$E$7*BY22*$G11*($L39+1)^(BY20)*((1+$I39)^(BY$20)),'Allgemeine Unternehmensdaten'!$E$7*BY22*$D11*$D39*($L39+1)^(BY20)*((1+$I39)^(BY$20)))</f>
        <v>0</v>
      </c>
      <c r="BZ39" s="200">
        <f>IF(AND($D39=1,$D11=0),'Allgemeine Unternehmensdaten'!$E$7*BZ22*$G11*($L39+1)^(BZ20)*((1+$I39)^(BZ$20)),'Allgemeine Unternehmensdaten'!$E$7*BZ22*$D11*$D39*($L39+1)^(BZ20)*((1+$I39)^(BZ$20)))</f>
        <v>0</v>
      </c>
      <c r="CA39" s="200">
        <f>IF(AND($D39=1,$D11=0),'Allgemeine Unternehmensdaten'!$E$7*CA22*$G11*($L39+1)^(CA20)*((1+$I39)^(CA$20)),'Allgemeine Unternehmensdaten'!$E$7*CA22*$D11*$D39*($L39+1)^(CA20)*((1+$I39)^(CA$20)))</f>
        <v>0</v>
      </c>
      <c r="CB39" s="200">
        <f>IF(AND($D39=1,$D11=0),'Allgemeine Unternehmensdaten'!$E$7*CB22*$G11*($L39+1)^(CB20)*((1+$I39)^(CB$20)),'Allgemeine Unternehmensdaten'!$E$7*CB22*$D11*$D39*($L39+1)^(CB20)*((1+$I39)^(CB$20)))</f>
        <v>0</v>
      </c>
      <c r="CC39" s="200">
        <f>IF(AND($D39=1,$D11=0),'Allgemeine Unternehmensdaten'!$E$7*CC22*$G11*($L39+1)^(CC20)*((1+$I39)^(CC$20)),'Allgemeine Unternehmensdaten'!$E$7*CC22*$D11*$D39*($L39+1)^(CC20)*((1+$I39)^(CC$20)))</f>
        <v>0</v>
      </c>
      <c r="CD39" s="200">
        <f>IF(AND($D39=1,$D11=0),'Allgemeine Unternehmensdaten'!$E$7*CD22*$G11*($L39+1)^(CD20)*((1+$I39)^(CD$20)),'Allgemeine Unternehmensdaten'!$E$7*CD22*$D11*$D39*($L39+1)^(CD20)*((1+$I39)^(CD$20)))</f>
        <v>0</v>
      </c>
      <c r="CE39" s="200">
        <f>IF(AND($D39=1,$D11=0),'Allgemeine Unternehmensdaten'!$E$7*CE22*$G11*($L39+1)^(CE20)*((1+$I39)^(CE$20)),'Allgemeine Unternehmensdaten'!$E$7*CE22*$D11*$D39*($L39+1)^(CE20)*((1+$I39)^(CE$20)))</f>
        <v>0</v>
      </c>
      <c r="CF39" s="200">
        <f>IF(AND($D39=1,$D11=0),'Allgemeine Unternehmensdaten'!$E$7*CF22*$G11*($L39+1)^(CF20)*((1+$I39)^(CF$20)),'Allgemeine Unternehmensdaten'!$E$7*CF22*$D11*$D39*($L39+1)^(CF20)*((1+$I39)^(CF$20)))</f>
        <v>0</v>
      </c>
      <c r="CG39" s="200">
        <f>IF(AND($D39=1,$D11=0),'Allgemeine Unternehmensdaten'!$E$7*CG22*$G11*($L39+1)^(CG20)*((1+$I39)^(CG$20)),'Allgemeine Unternehmensdaten'!$E$7*CG22*$D11*$D39*($L39+1)^(CG20)*((1+$I39)^(CG$20)))</f>
        <v>0</v>
      </c>
      <c r="CH39" s="200">
        <f>IF(AND($D39=1,$D11=0),'Allgemeine Unternehmensdaten'!$E$7*CH22*$G11*($L39+1)^(CH20)*((1+$I39)^(CH$20)),'Allgemeine Unternehmensdaten'!$E$7*CH22*$D11*$D39*($L39+1)^(CH20)*((1+$I39)^(CH$20)))</f>
        <v>0</v>
      </c>
      <c r="CI39" s="200">
        <f>IF(AND($D39=1,$D11=0),'Allgemeine Unternehmensdaten'!$E$7*CI22*$G11*($L39+1)^(CI20)*((1+$I39)^(CI$20)),'Allgemeine Unternehmensdaten'!$E$7*CI22*$D11*$D39*($L39+1)^(CI20)*((1+$I39)^(CI$20)))</f>
        <v>0</v>
      </c>
      <c r="CJ39" s="200">
        <f>IF(AND($D39=1,$D11=0),'Allgemeine Unternehmensdaten'!$E$7*CJ22*$G11*($L39+1)^(CJ20)*((1+$I39)^(CJ$20)),'Allgemeine Unternehmensdaten'!$E$7*CJ22*$D11*$D39*($L39+1)^(CJ20)*((1+$I39)^(CJ$20)))</f>
        <v>0</v>
      </c>
      <c r="CK39" s="200">
        <f>IF(AND($D39=1,$D11=0),'Allgemeine Unternehmensdaten'!$E$7*CK22*$G11*($L39+1)^(CK20)*((1+$I39)^(CK$20)),'Allgemeine Unternehmensdaten'!$E$7*CK22*$D11*$D39*($L39+1)^(CK20)*((1+$I39)^(CK$20)))</f>
        <v>0</v>
      </c>
      <c r="CL39" s="200">
        <f>IF(AND($D39=1,$D11=0),'Allgemeine Unternehmensdaten'!$E$7*CL22*$G11*($L39+1)^(CL20)*((1+$I39)^(CL$20)),'Allgemeine Unternehmensdaten'!$E$7*CL22*$D11*$D39*($L39+1)^(CL20)*((1+$I39)^(CL$20)))</f>
        <v>0</v>
      </c>
      <c r="CM39" s="200">
        <f>IF(AND($D39=1,$D11=0),'Allgemeine Unternehmensdaten'!$E$7*CM22*$G11*($L39+1)^(CM20)*((1+$I39)^(CM$20)),'Allgemeine Unternehmensdaten'!$E$7*CM22*$D11*$D39*($L39+1)^(CM20)*((1+$I39)^(CM$20)))</f>
        <v>0</v>
      </c>
      <c r="CN39" s="200">
        <f>IF(AND($D39=1,$D11=0),'Allgemeine Unternehmensdaten'!$E$7*CN22*$G11*($L39+1)^(CN20)*((1+$I39)^(CN$20)),'Allgemeine Unternehmensdaten'!$E$7*CN22*$D11*$D39*($L39+1)^(CN20)*((1+$I39)^(CN$20)))</f>
        <v>0</v>
      </c>
      <c r="CO39" s="200">
        <f>IF(AND($D39=1,$D11=0),'Allgemeine Unternehmensdaten'!$E$7*CO22*$G11*($L39+1)^(CO20)*((1+$I39)^(CO$20)),'Allgemeine Unternehmensdaten'!$E$7*CO22*$D11*$D39*($L39+1)^(CO20)*((1+$I39)^(CO$20)))</f>
        <v>0</v>
      </c>
      <c r="CP39" s="200">
        <f>IF(AND($D39=1,$D11=0),'Allgemeine Unternehmensdaten'!$E$7*CP22*$G11*($L39+1)^(CP20)*((1+$I39)^(CP$20)),'Allgemeine Unternehmensdaten'!$E$7*CP22*$D11*$D39*($L39+1)^(CP20)*((1+$I39)^(CP$20)))</f>
        <v>0</v>
      </c>
      <c r="CQ39" s="200">
        <f>IF(AND($D39=1,$D11=0),'Allgemeine Unternehmensdaten'!$E$7*CQ22*$G11*($L39+1)^(CQ20)*((1+$I39)^(CQ$20)),'Allgemeine Unternehmensdaten'!$E$7*CQ22*$D11*$D39*($L39+1)^(CQ20)*((1+$I39)^(CQ$20)))</f>
        <v>0</v>
      </c>
      <c r="CR39" s="200">
        <f>IF(AND($D39=1,$D11=0),'Allgemeine Unternehmensdaten'!$E$7*CR22*$G11*($L39+1)^(CR20)*((1+$I39)^(CR$20)),'Allgemeine Unternehmensdaten'!$E$7*CR22*$D11*$D39*($L39+1)^(CR20)*((1+$I39)^(CR$20)))</f>
        <v>0</v>
      </c>
      <c r="CS39" s="200">
        <f>IF(AND($D39=1,$D11=0),'Allgemeine Unternehmensdaten'!$E$7*CS22*$G11*($L39+1)^(CS20)*((1+$I39)^(CS$20)),'Allgemeine Unternehmensdaten'!$E$7*CS22*$D11*$D39*($L39+1)^(CS20)*((1+$I39)^(CS$20)))</f>
        <v>0</v>
      </c>
      <c r="CT39" s="200">
        <f>IF(AND($D39=1,$D11=0),'Allgemeine Unternehmensdaten'!$E$7*CT22*$G11*($L39+1)^(CT20)*((1+$I39)^(CT$20)),'Allgemeine Unternehmensdaten'!$E$7*CT22*$D11*$D39*($L39+1)^(CT20)*((1+$I39)^(CT$20)))</f>
        <v>0</v>
      </c>
      <c r="CU39" s="200">
        <f>IF(AND($D39=1,$D11=0),'Allgemeine Unternehmensdaten'!$E$7*CU22*$G11*($L39+1)^(CU20)*((1+$I39)^(CU$20)),'Allgemeine Unternehmensdaten'!$E$7*CU22*$D11*$D39*($L39+1)^(CU20)*((1+$I39)^(CU$20)))</f>
        <v>0</v>
      </c>
      <c r="CV39" s="200">
        <f>IF(AND($D39=1,$D11=0),'Allgemeine Unternehmensdaten'!$E$7*CV22*$G11*($L39+1)^(CV20)*((1+$I39)^(CV$20)),'Allgemeine Unternehmensdaten'!$E$7*CV22*$D11*$D39*($L39+1)^(CV20)*((1+$I39)^(CV$20)))</f>
        <v>0</v>
      </c>
      <c r="CW39" s="200">
        <f>IF(AND($D39=1,$D11=0),'Allgemeine Unternehmensdaten'!$E$7*CW22*$G11*($L39+1)^(CW20)*((1+$I39)^(CW$20)),'Allgemeine Unternehmensdaten'!$E$7*CW22*$D11*$D39*($L39+1)^(CW20)*((1+$I39)^(CW$20)))</f>
        <v>0</v>
      </c>
      <c r="CX39" s="200">
        <f>IF(AND($D39=1,$D11=0),'Allgemeine Unternehmensdaten'!$E$7*CX22*$G11*($L39+1)^(CX20)*((1+$I39)^(CX$20)),'Allgemeine Unternehmensdaten'!$E$7*CX22*$D11*$D39*($L39+1)^(CX20)*((1+$I39)^(CX$20)))</f>
        <v>0</v>
      </c>
      <c r="CY39" s="200">
        <f>IF(AND($D39=1,$D11=0),'Allgemeine Unternehmensdaten'!$E$7*CY22*$G11*($L39+1)^(CY20)*((1+$I39)^(CY$20)),'Allgemeine Unternehmensdaten'!$E$7*CY22*$D11*$D39*($L39+1)^(CY20)*((1+$I39)^(CY$20)))</f>
        <v>0</v>
      </c>
      <c r="CZ39" s="200">
        <f>IF(AND($D39=1,$D11=0),'Allgemeine Unternehmensdaten'!$E$7*CZ22*$G11*($L39+1)^(CZ20)*((1+$I39)^(CZ$20)),'Allgemeine Unternehmensdaten'!$E$7*CZ22*$D11*$D39*($L39+1)^(CZ20)*((1+$I39)^(CZ$20)))</f>
        <v>0</v>
      </c>
      <c r="DA39" s="200">
        <f>IF(AND($D39=1,$D11=0),'Allgemeine Unternehmensdaten'!$E$7*DA22*$G11*($L39+1)^(DA20)*((1+$I39)^(DA$20)),'Allgemeine Unternehmensdaten'!$E$7*DA22*$D11*$D39*($L39+1)^(DA20)*((1+$I39)^(DA$20)))</f>
        <v>0</v>
      </c>
      <c r="DB39" s="200">
        <f>IF(AND($D39=1,$D11=0),'Allgemeine Unternehmensdaten'!$E$7*DB22*$G11*($L39+1)^(DB20)*((1+$I39)^(DB$20)),'Allgemeine Unternehmensdaten'!$E$7*DB22*$D11*$D39*($L39+1)^(DB20)*((1+$I39)^(DB$20)))</f>
        <v>0</v>
      </c>
      <c r="DC39" s="200">
        <f>IF(AND($D39=1,$D11=0),'Allgemeine Unternehmensdaten'!$E$7*DC22*$G11*($L39+1)^(DC20)*((1+$I39)^(DC$20)),'Allgemeine Unternehmensdaten'!$E$7*DC22*$D11*$D39*($L39+1)^(DC20)*((1+$I39)^(DC$20)))</f>
        <v>0</v>
      </c>
      <c r="DD39" s="200">
        <f>IF(AND($D39=1,$D11=0),'Allgemeine Unternehmensdaten'!$E$7*DD22*$G11*($L39+1)^(DD20)*((1+$I39)^(DD$20)),'Allgemeine Unternehmensdaten'!$E$7*DD22*$D11*$D39*($L39+1)^(DD20)*((1+$I39)^(DD$20)))</f>
        <v>0</v>
      </c>
      <c r="DE39" s="200">
        <f>IF(AND($D39=1,$D11=0),'Allgemeine Unternehmensdaten'!$E$7*DE22*$G11*($L39+1)^(DE20)*((1+$I39)^(DE$20)),'Allgemeine Unternehmensdaten'!$E$7*DE22*$D11*$D39*($L39+1)^(DE20)*((1+$I39)^(DE$20)))</f>
        <v>0</v>
      </c>
      <c r="DF39" s="200">
        <f>IF(AND($D39=1,$D11=0),'Allgemeine Unternehmensdaten'!$E$7*DF22*$G11*($L39+1)^(DF20)*((1+$I39)^(DF$20)),'Allgemeine Unternehmensdaten'!$E$7*DF22*$D11*$D39*($L39+1)^(DF20)*((1+$I39)^(DF$20)))</f>
        <v>0</v>
      </c>
      <c r="DG39" s="200">
        <f>IF(AND($D39=1,$D11=0),'Allgemeine Unternehmensdaten'!$E$7*DG22*$G11*($L39+1)^(DG20)*((1+$I39)^(DG$20)),'Allgemeine Unternehmensdaten'!$E$7*DG22*$D11*$D39*($L39+1)^(DG20)*((1+$I39)^(DG$20)))</f>
        <v>0</v>
      </c>
      <c r="DH39" s="200">
        <f>IF(AND($D39=1,$D11=0),'Allgemeine Unternehmensdaten'!$E$7*DH22*$G11*($L39+1)^(DH20)*((1+$I39)^(DH$20)),'Allgemeine Unternehmensdaten'!$E$7*DH22*$D11*$D39*($L39+1)^(DH20)*((1+$I39)^(DH$20)))</f>
        <v>0</v>
      </c>
      <c r="DI39" s="200">
        <f>IF(AND($D39=1,$D11=0),'Allgemeine Unternehmensdaten'!$E$7*DI22*$G11*($L39+1)^(DI20)*((1+$I39)^(DI$20)),'Allgemeine Unternehmensdaten'!$E$7*DI22*$D11*$D39*($L39+1)^(DI20)*((1+$I39)^(DI$20)))</f>
        <v>0</v>
      </c>
      <c r="DJ39" s="200">
        <f>IF(AND($D39=1,$D11=0),'Allgemeine Unternehmensdaten'!$E$7*DJ22*$G11*($L39+1)^(DJ20)*((1+$I39)^(DJ$20)),'Allgemeine Unternehmensdaten'!$E$7*DJ22*$D11*$D39*($L39+1)^(DJ20)*((1+$I39)^(DJ$20)))</f>
        <v>0</v>
      </c>
      <c r="DK39" s="200">
        <f>IF(AND($D39=1,$D11=0),'Allgemeine Unternehmensdaten'!$E$7*DK22*$G11*($L39+1)^(DK20)*((1+$I39)^(DK$20)),'Allgemeine Unternehmensdaten'!$E$7*DK22*$D11*$D39*($L39+1)^(DK20)*((1+$I39)^(DK$20)))</f>
        <v>0</v>
      </c>
      <c r="DL39" s="200">
        <f>IF(AND($D39=1,$D11=0),'Allgemeine Unternehmensdaten'!$E$7*DL22*$G11*($L39+1)^(DL20)*((1+$I39)^(DL$20)),'Allgemeine Unternehmensdaten'!$E$7*DL22*$D11*$D39*($L39+1)^(DL20)*((1+$I39)^(DL$20)))</f>
        <v>0</v>
      </c>
      <c r="DM39" s="200">
        <f>IF(AND($D39=1,$D11=0),'Allgemeine Unternehmensdaten'!$E$7*DM22*$G11*($L39+1)^(DM20)*((1+$I39)^(DM$20)),'Allgemeine Unternehmensdaten'!$E$7*DM22*$D11*$D39*($L39+1)^(DM20)*((1+$I39)^(DM$20)))</f>
        <v>0</v>
      </c>
      <c r="DN39" s="200">
        <f>IF(AND($D39=1,$D11=0),'Allgemeine Unternehmensdaten'!$E$7*DN22*$G11*($L39+1)^(DN20)*((1+$I39)^(DN$20)),'Allgemeine Unternehmensdaten'!$E$7*DN22*$D11*$D39*($L39+1)^(DN20)*((1+$I39)^(DN$20)))</f>
        <v>0</v>
      </c>
      <c r="DO39" s="200">
        <f>IF(AND($D39=1,$D11=0),'Allgemeine Unternehmensdaten'!$E$7*DO22*$G11*($L39+1)^(DO20)*((1+$I39)^(DO$20)),'Allgemeine Unternehmensdaten'!$E$7*DO22*$D11*$D39*($L39+1)^(DO20)*((1+$I39)^(DO$20)))</f>
        <v>0</v>
      </c>
      <c r="DP39" s="200">
        <f>IF(AND($D39=1,$D11=0),'Allgemeine Unternehmensdaten'!$E$7*DP22*$G11*($L39+1)^(DP20)*((1+$I39)^(DP$20)),'Allgemeine Unternehmensdaten'!$E$7*DP22*$D11*$D39*($L39+1)^(DP20)*((1+$I39)^(DP$20)))</f>
        <v>0</v>
      </c>
      <c r="DQ39" s="200">
        <f>IF(AND($D39=1,$D11=0),'Allgemeine Unternehmensdaten'!$E$7*DQ22*$G11*($L39+1)^(DQ20)*((1+$I39)^(DQ$20)),'Allgemeine Unternehmensdaten'!$E$7*DQ22*$D11*$D39*($L39+1)^(DQ20)*((1+$I39)^(DQ$20)))</f>
        <v>0</v>
      </c>
      <c r="DR39" s="200">
        <f>IF(AND($D39=1,$D11=0),'Allgemeine Unternehmensdaten'!$E$7*DR22*$G11*($L39+1)^(DR20)*((1+$I39)^(DR$20)),'Allgemeine Unternehmensdaten'!$E$7*DR22*$D11*$D39*($L39+1)^(DR20)*((1+$I39)^(DR$20)))</f>
        <v>0</v>
      </c>
      <c r="DS39" s="200">
        <f>IF(AND($D39=1,$D11=0),'Allgemeine Unternehmensdaten'!$E$7*DS22*$G11*($L39+1)^(DS20)*((1+$I39)^(DS$20)),'Allgemeine Unternehmensdaten'!$E$7*DS22*$D11*$D39*($L39+1)^(DS20)*((1+$I39)^(DS$20)))</f>
        <v>0</v>
      </c>
      <c r="DT39" s="200">
        <f>IF(AND($D39=1,$D11=0),'Allgemeine Unternehmensdaten'!$E$7*DT22*$G11*($L39+1)^(DT20)*((1+$I39)^(DT$20)),'Allgemeine Unternehmensdaten'!$E$7*DT22*$D11*$D39*($L39+1)^(DT20)*((1+$I39)^(DT$20)))</f>
        <v>0</v>
      </c>
      <c r="DU39" s="200">
        <f>IF(AND($D39=1,$D11=0),'Allgemeine Unternehmensdaten'!$E$7*DU22*$G11*($L39+1)^(DU20)*((1+$I39)^(DU$20)),'Allgemeine Unternehmensdaten'!$E$7*DU22*$D11*$D39*($L39+1)^(DU20)*((1+$I39)^(DU$20)))</f>
        <v>0</v>
      </c>
      <c r="DV39" s="200">
        <f>IF(AND($D39=1,$D11=0),'Allgemeine Unternehmensdaten'!$E$7*DV22*$G11*($L39+1)^(DV20)*((1+$I39)^(DV$20)),'Allgemeine Unternehmensdaten'!$E$7*DV22*$D11*$D39*($L39+1)^(DV20)*((1+$I39)^(DV$20)))</f>
        <v>0</v>
      </c>
      <c r="DW39" s="200">
        <f>IF(AND($D39=1,$D11=0),'Allgemeine Unternehmensdaten'!$E$7*DW22*$G11*($L39+1)^(DW20)*((1+$I39)^(DW$20)),'Allgemeine Unternehmensdaten'!$E$7*DW22*$D11*$D39*($L39+1)^(DW20)*((1+$I39)^(DW$20)))</f>
        <v>0</v>
      </c>
      <c r="DX39" s="200">
        <f>IF(AND($D39=1,$D11=0),'Allgemeine Unternehmensdaten'!$E$7*DX22*$G11*($L39+1)^(DX20)*((1+$I39)^(DX$20)),'Allgemeine Unternehmensdaten'!$E$7*DX22*$D11*$D39*($L39+1)^(DX20)*((1+$I39)^(DX$20)))</f>
        <v>0</v>
      </c>
      <c r="DZ39" s="199" t="str">
        <f t="shared" si="22"/>
        <v>Mehrverbrauch Strom in %</v>
      </c>
      <c r="EA39" s="200">
        <f>IF(AND($F39=1,$F11=0),'Allgemeine Unternehmensdaten'!$G$7*EA22*$I11*($N39+1)^(EA20)*((1+$K39)^(EA$20)),'Allgemeine Unternehmensdaten'!$G$7*EA22*$F11*$F39*($N39+1)^(EA20)*((1+$K39)^(EA$20)))</f>
        <v>0</v>
      </c>
      <c r="EB39" s="200">
        <f>IF(AND($F39=1,$F11=0),'Allgemeine Unternehmensdaten'!$G$7*EB22*$I11*($N39+1)^(EB20)*((1+$K39)^(EB$20)),'Allgemeine Unternehmensdaten'!$G$7*EB22*$F11*$F39*($N39+1)^(EB20)*((1+$K39)^(EB$20)))</f>
        <v>0</v>
      </c>
      <c r="EC39" s="200">
        <f>IF(AND($F39=1,$F11=0),'Allgemeine Unternehmensdaten'!$G$7*EC22*$I11*($N39+1)^(EC20)*((1+$K39)^(EC$20)),'Allgemeine Unternehmensdaten'!$G$7*EC22*$F11*$F39*($N39+1)^(EC20)*((1+$K39)^(EC$20)))</f>
        <v>0</v>
      </c>
      <c r="ED39" s="200">
        <f>IF(AND($F39=1,$F11=0),'Allgemeine Unternehmensdaten'!$G$7*ED22*$I11*($N39+1)^(ED20)*((1+$K39)^(ED$20)),'Allgemeine Unternehmensdaten'!$G$7*ED22*$F11*$F39*($N39+1)^(ED20)*((1+$K39)^(ED$20)))</f>
        <v>0</v>
      </c>
      <c r="EE39" s="200">
        <f>IF(AND($F39=1,$F11=0),'Allgemeine Unternehmensdaten'!$G$7*EE22*$I11*($N39+1)^(EE20)*((1+$K39)^(EE$20)),'Allgemeine Unternehmensdaten'!$G$7*EE22*$F11*$F39*($N39+1)^(EE20)*((1+$K39)^(EE$20)))</f>
        <v>0</v>
      </c>
      <c r="EF39" s="200">
        <f>IF(AND($F39=1,$F11=0),'Allgemeine Unternehmensdaten'!$G$7*EF22*$I11*($N39+1)^(EF20)*((1+$K39)^(EF$20)),'Allgemeine Unternehmensdaten'!$G$7*EF22*$F11*$F39*($N39+1)^(EF20)*((1+$K39)^(EF$20)))</f>
        <v>0</v>
      </c>
      <c r="EG39" s="200">
        <f>IF(AND($F39=1,$F11=0),'Allgemeine Unternehmensdaten'!$G$7*EG22*$I11*($N39+1)^(EG20)*((1+$K39)^(EG$20)),'Allgemeine Unternehmensdaten'!$G$7*EG22*$F11*$F39*($N39+1)^(EG20)*((1+$K39)^(EG$20)))</f>
        <v>0</v>
      </c>
      <c r="EH39" s="200">
        <f>IF(AND($F39=1,$F11=0),'Allgemeine Unternehmensdaten'!$G$7*EH22*$I11*($N39+1)^(EH20)*((1+$K39)^(EH$20)),'Allgemeine Unternehmensdaten'!$G$7*EH22*$F11*$F39*($N39+1)^(EH20)*((1+$K39)^(EH$20)))</f>
        <v>0</v>
      </c>
      <c r="EI39" s="200">
        <f>IF(AND($F39=1,$F11=0),'Allgemeine Unternehmensdaten'!$G$7*EI22*$I11*($N39+1)^(EI20)*((1+$K39)^(EI$20)),'Allgemeine Unternehmensdaten'!$G$7*EI22*$F11*$F39*($N39+1)^(EI20)*((1+$K39)^(EI$20)))</f>
        <v>0</v>
      </c>
      <c r="EJ39" s="200">
        <f>IF(AND($F39=1,$F11=0),'Allgemeine Unternehmensdaten'!$G$7*EJ22*$I11*($N39+1)^(EJ20)*((1+$K39)^(EJ$20)),'Allgemeine Unternehmensdaten'!$G$7*EJ22*$F11*$F39*($N39+1)^(EJ20)*((1+$K39)^(EJ$20)))</f>
        <v>0</v>
      </c>
      <c r="EK39" s="200">
        <f>IF(AND($F39=1,$F11=0),'Allgemeine Unternehmensdaten'!$G$7*EK22*$I11*($N39+1)^(EK20)*((1+$K39)^(EK$20)),'Allgemeine Unternehmensdaten'!$G$7*EK22*$F11*$F39*($N39+1)^(EK20)*((1+$K39)^(EK$20)))</f>
        <v>0</v>
      </c>
      <c r="EL39" s="200">
        <f>IF(AND($F39=1,$F11=0),'Allgemeine Unternehmensdaten'!$G$7*EL22*$I11*($N39+1)^(EL20)*((1+$K39)^(EL$20)),'Allgemeine Unternehmensdaten'!$G$7*EL22*$F11*$F39*($N39+1)^(EL20)*((1+$K39)^(EL$20)))</f>
        <v>0</v>
      </c>
      <c r="EM39" s="200">
        <f>IF(AND($F39=1,$F11=0),'Allgemeine Unternehmensdaten'!$G$7*EM22*$I11*($N39+1)^(EM20)*((1+$K39)^(EM$20)),'Allgemeine Unternehmensdaten'!$G$7*EM22*$F11*$F39*($N39+1)^(EM20)*((1+$K39)^(EM$20)))</f>
        <v>0</v>
      </c>
      <c r="EN39" s="200">
        <f>IF(AND($F39=1,$F11=0),'Allgemeine Unternehmensdaten'!$G$7*EN22*$I11*($N39+1)^(EN20)*((1+$K39)^(EN$20)),'Allgemeine Unternehmensdaten'!$G$7*EN22*$F11*$F39*($N39+1)^(EN20)*((1+$K39)^(EN$20)))</f>
        <v>0</v>
      </c>
      <c r="EO39" s="200">
        <f>IF(AND($F39=1,$F11=0),'Allgemeine Unternehmensdaten'!$G$7*EO22*$I11*($N39+1)^(EO20)*((1+$K39)^(EO$20)),'Allgemeine Unternehmensdaten'!$G$7*EO22*$F11*$F39*($N39+1)^(EO20)*((1+$K39)^(EO$20)))</f>
        <v>0</v>
      </c>
      <c r="EP39" s="200">
        <f>IF(AND($F39=1,$F11=0),'Allgemeine Unternehmensdaten'!$G$7*EP22*$I11*($N39+1)^(EP20)*((1+$K39)^(EP$20)),'Allgemeine Unternehmensdaten'!$G$7*EP22*$F11*$F39*($N39+1)^(EP20)*((1+$K39)^(EP$20)))</f>
        <v>0</v>
      </c>
      <c r="EQ39" s="200">
        <f>IF(AND($F39=1,$F11=0),'Allgemeine Unternehmensdaten'!$G$7*EQ22*$I11*($N39+1)^(EQ20)*((1+$K39)^(EQ$20)),'Allgemeine Unternehmensdaten'!$G$7*EQ22*$F11*$F39*($N39+1)^(EQ20)*((1+$K39)^(EQ$20)))</f>
        <v>0</v>
      </c>
      <c r="ER39" s="200">
        <f>IF(AND($F39=1,$F11=0),'Allgemeine Unternehmensdaten'!$G$7*ER22*$I11*($N39+1)^(ER20)*((1+$K39)^(ER$20)),'Allgemeine Unternehmensdaten'!$G$7*ER22*$F11*$F39*($N39+1)^(ER20)*((1+$K39)^(ER$20)))</f>
        <v>0</v>
      </c>
      <c r="ES39" s="200">
        <f>IF(AND($F39=1,$F11=0),'Allgemeine Unternehmensdaten'!$G$7*ES22*$I11*($N39+1)^(ES20)*((1+$K39)^(ES$20)),'Allgemeine Unternehmensdaten'!$G$7*ES22*$F11*$F39*($N39+1)^(ES20)*((1+$K39)^(ES$20)))</f>
        <v>0</v>
      </c>
      <c r="ET39" s="200">
        <f>IF(AND($F39=1,$F11=0),'Allgemeine Unternehmensdaten'!$G$7*ET22*$I11*($N39+1)^(ET20)*((1+$K39)^(ET$20)),'Allgemeine Unternehmensdaten'!$G$7*ET22*$F11*$F39*($N39+1)^(ET20)*((1+$K39)^(ET$20)))</f>
        <v>0</v>
      </c>
      <c r="EU39" s="200">
        <f>IF(AND($F39=1,$F11=0),'Allgemeine Unternehmensdaten'!$G$7*EU22*$I11*($N39+1)^(EU20)*((1+$K39)^(EU$20)),'Allgemeine Unternehmensdaten'!$G$7*EU22*$F11*$F39*($N39+1)^(EU20)*((1+$K39)^(EU$20)))</f>
        <v>0</v>
      </c>
      <c r="EV39" s="200">
        <f>IF(AND($F39=1,$F11=0),'Allgemeine Unternehmensdaten'!$G$7*EV22*$I11*($N39+1)^(EV20)*((1+$K39)^(EV$20)),'Allgemeine Unternehmensdaten'!$G$7*EV22*$F11*$F39*($N39+1)^(EV20)*((1+$K39)^(EV$20)))</f>
        <v>0</v>
      </c>
      <c r="EW39" s="200">
        <f>IF(AND($F39=1,$F11=0),'Allgemeine Unternehmensdaten'!$G$7*EW22*$I11*($N39+1)^(EW20)*((1+$K39)^(EW$20)),'Allgemeine Unternehmensdaten'!$G$7*EW22*$F11*$F39*($N39+1)^(EW20)*((1+$K39)^(EW$20)))</f>
        <v>0</v>
      </c>
      <c r="EX39" s="200">
        <f>IF(AND($F39=1,$F11=0),'Allgemeine Unternehmensdaten'!$G$7*EX22*$I11*($N39+1)^(EX20)*((1+$K39)^(EX$20)),'Allgemeine Unternehmensdaten'!$G$7*EX22*$F11*$F39*($N39+1)^(EX20)*((1+$K39)^(EX$20)))</f>
        <v>0</v>
      </c>
      <c r="EY39" s="200">
        <f>IF(AND($F39=1,$F11=0),'Allgemeine Unternehmensdaten'!$G$7*EY22*$I11*($N39+1)^(EY20)*((1+$K39)^(EY$20)),'Allgemeine Unternehmensdaten'!$G$7*EY22*$F11*$F39*($N39+1)^(EY20)*((1+$K39)^(EY$20)))</f>
        <v>0</v>
      </c>
      <c r="EZ39" s="200">
        <f>IF(AND($F39=1,$F11=0),'Allgemeine Unternehmensdaten'!$G$7*EZ22*$I11*($N39+1)^(EZ20)*((1+$K39)^(EZ$20)),'Allgemeine Unternehmensdaten'!$G$7*EZ22*$F11*$F39*($N39+1)^(EZ20)*((1+$K39)^(EZ$20)))</f>
        <v>0</v>
      </c>
      <c r="FA39" s="200">
        <f>IF(AND($F39=1,$F11=0),'Allgemeine Unternehmensdaten'!$G$7*FA22*$I11*($N39+1)^(FA20)*((1+$K39)^(FA$20)),'Allgemeine Unternehmensdaten'!$G$7*FA22*$F11*$F39*($N39+1)^(FA20)*((1+$K39)^(FA$20)))</f>
        <v>0</v>
      </c>
      <c r="FB39" s="200">
        <f>IF(AND($F39=1,$F11=0),'Allgemeine Unternehmensdaten'!$G$7*FB22*$I11*($N39+1)^(FB20)*((1+$K39)^(FB$20)),'Allgemeine Unternehmensdaten'!$G$7*FB22*$F11*$F39*($N39+1)^(FB20)*((1+$K39)^(FB$20)))</f>
        <v>0</v>
      </c>
      <c r="FC39" s="200">
        <f>IF(AND($F39=1,$F11=0),'Allgemeine Unternehmensdaten'!$G$7*FC22*$I11*($N39+1)^(FC20)*((1+$K39)^(FC$20)),'Allgemeine Unternehmensdaten'!$G$7*FC22*$F11*$F39*($N39+1)^(FC20)*((1+$K39)^(FC$20)))</f>
        <v>0</v>
      </c>
      <c r="FD39" s="200">
        <f>IF(AND($F39=1,$F11=0),'Allgemeine Unternehmensdaten'!$G$7*FD22*$I11*($N39+1)^(FD20)*((1+$K39)^(FD$20)),'Allgemeine Unternehmensdaten'!$G$7*FD22*$F11*$F39*($N39+1)^(FD20)*((1+$K39)^(FD$20)))</f>
        <v>0</v>
      </c>
      <c r="FE39" s="200">
        <f>IF(AND($F39=1,$F11=0),'Allgemeine Unternehmensdaten'!$G$7*FE22*$I11*($N39+1)^(FE20)*((1+$K39)^(FE$20)),'Allgemeine Unternehmensdaten'!$G$7*FE22*$F11*$F39*($N39+1)^(FE20)*((1+$K39)^(FE$20)))</f>
        <v>0</v>
      </c>
      <c r="FF39" s="200">
        <f>IF(AND($F39=1,$F11=0),'Allgemeine Unternehmensdaten'!$G$7*FF22*$I11*($N39+1)^(FF20)*((1+$K39)^(FF$20)),'Allgemeine Unternehmensdaten'!$G$7*FF22*$F11*$F39*($N39+1)^(FF20)*((1+$K39)^(FF$20)))</f>
        <v>0</v>
      </c>
      <c r="FG39" s="200">
        <f>IF(AND($F39=1,$F11=0),'Allgemeine Unternehmensdaten'!$G$7*FG22*$I11*($N39+1)^(FG20)*((1+$K39)^(FG$20)),'Allgemeine Unternehmensdaten'!$G$7*FG22*$F11*$F39*($N39+1)^(FG20)*((1+$K39)^(FG$20)))</f>
        <v>0</v>
      </c>
      <c r="FH39" s="200">
        <f>IF(AND($F39=1,$F11=0),'Allgemeine Unternehmensdaten'!$G$7*FH22*$I11*($N39+1)^(FH20)*((1+$K39)^(FH$20)),'Allgemeine Unternehmensdaten'!$G$7*FH22*$F11*$F39*($N39+1)^(FH20)*((1+$K39)^(FH$20)))</f>
        <v>0</v>
      </c>
      <c r="FI39" s="200">
        <f>IF(AND($F39=1,$F11=0),'Allgemeine Unternehmensdaten'!$G$7*FI22*$I11*($N39+1)^(FI20)*((1+$K39)^(FI$20)),'Allgemeine Unternehmensdaten'!$G$7*FI22*$F11*$F39*($N39+1)^(FI20)*((1+$K39)^(FI$20)))</f>
        <v>0</v>
      </c>
      <c r="FJ39" s="200">
        <f>IF(AND($F39=1,$F11=0),'Allgemeine Unternehmensdaten'!$G$7*FJ22*$I11*($N39+1)^(FJ20)*((1+$K39)^(FJ$20)),'Allgemeine Unternehmensdaten'!$G$7*FJ22*$F11*$F39*($N39+1)^(FJ20)*((1+$K39)^(FJ$20)))</f>
        <v>0</v>
      </c>
      <c r="FK39" s="200">
        <f>IF(AND($F39=1,$F11=0),'Allgemeine Unternehmensdaten'!$G$7*FK22*$I11*($N39+1)^(FK20)*((1+$K39)^(FK$20)),'Allgemeine Unternehmensdaten'!$G$7*FK22*$F11*$F39*($N39+1)^(FK20)*((1+$K39)^(FK$20)))</f>
        <v>0</v>
      </c>
      <c r="FL39" s="200">
        <f>IF(AND($F39=1,$F11=0),'Allgemeine Unternehmensdaten'!$G$7*FL22*$I11*($N39+1)^(FL20)*((1+$K39)^(FL$20)),'Allgemeine Unternehmensdaten'!$G$7*FL22*$F11*$F39*($N39+1)^(FL20)*((1+$K39)^(FL$20)))</f>
        <v>0</v>
      </c>
      <c r="FM39" s="200">
        <f>IF(AND($F39=1,$F11=0),'Allgemeine Unternehmensdaten'!$G$7*FM22*$I11*($N39+1)^(FM20)*((1+$K39)^(FM$20)),'Allgemeine Unternehmensdaten'!$G$7*FM22*$F11*$F39*($N39+1)^(FM20)*((1+$K39)^(FM$20)))</f>
        <v>0</v>
      </c>
      <c r="FN39" s="200">
        <f>IF(AND($F39=1,$F11=0),'Allgemeine Unternehmensdaten'!$G$7*FN22*$I11*($N39+1)^(FN20)*((1+$K39)^(FN$20)),'Allgemeine Unternehmensdaten'!$G$7*FN22*$F11*$F39*($N39+1)^(FN20)*((1+$K39)^(FN$20)))</f>
        <v>0</v>
      </c>
      <c r="FO39" s="200">
        <f>IF(AND($F39=1,$F11=0),'Allgemeine Unternehmensdaten'!$G$7*FO22*$I11*($N39+1)^(FO20)*((1+$K39)^(FO$20)),'Allgemeine Unternehmensdaten'!$G$7*FO22*$F11*$F39*($N39+1)^(FO20)*((1+$K39)^(FO$20)))</f>
        <v>0</v>
      </c>
      <c r="FP39" s="200">
        <f>IF(AND($F39=1,$F11=0),'Allgemeine Unternehmensdaten'!$G$7*FP22*$I11*($N39+1)^(FP20)*((1+$K39)^(FP$20)),'Allgemeine Unternehmensdaten'!$G$7*FP22*$F11*$F39*($N39+1)^(FP20)*((1+$K39)^(FP$20)))</f>
        <v>0</v>
      </c>
      <c r="FQ39" s="200">
        <f>IF(AND($F39=1,$F11=0),'Allgemeine Unternehmensdaten'!$G$7*FQ22*$I11*($N39+1)^(FQ20)*((1+$K39)^(FQ$20)),'Allgemeine Unternehmensdaten'!$G$7*FQ22*$F11*$F39*($N39+1)^(FQ20)*((1+$K39)^(FQ$20)))</f>
        <v>0</v>
      </c>
      <c r="FR39" s="200">
        <f>IF(AND($F39=1,$F11=0),'Allgemeine Unternehmensdaten'!$G$7*FR22*$I11*($N39+1)^(FR20)*((1+$K39)^(FR$20)),'Allgemeine Unternehmensdaten'!$G$7*FR22*$F11*$F39*($N39+1)^(FR20)*((1+$K39)^(FR$20)))</f>
        <v>0</v>
      </c>
      <c r="FS39" s="200">
        <f>IF(AND($F39=1,$F11=0),'Allgemeine Unternehmensdaten'!$G$7*FS22*$I11*($N39+1)^(FS20)*((1+$K39)^(FS$20)),'Allgemeine Unternehmensdaten'!$G$7*FS22*$F11*$F39*($N39+1)^(FS20)*((1+$K39)^(FS$20)))</f>
        <v>0</v>
      </c>
      <c r="FT39" s="200">
        <f>IF(AND($F39=1,$F11=0),'Allgemeine Unternehmensdaten'!$G$7*FT22*$I11*($N39+1)^(FT20)*((1+$K39)^(FT$20)),'Allgemeine Unternehmensdaten'!$G$7*FT22*$F11*$F39*($N39+1)^(FT20)*((1+$K39)^(FT$20)))</f>
        <v>0</v>
      </c>
      <c r="FU39" s="200">
        <f>IF(AND($F39=1,$F11=0),'Allgemeine Unternehmensdaten'!$G$7*FU22*$I11*($N39+1)^(FU20)*((1+$K39)^(FU$20)),'Allgemeine Unternehmensdaten'!$G$7*FU22*$F11*$F39*($N39+1)^(FU20)*((1+$K39)^(FU$20)))</f>
        <v>0</v>
      </c>
      <c r="FV39" s="200">
        <f>IF(AND($F39=1,$F11=0),'Allgemeine Unternehmensdaten'!$G$7*FV22*$I11*($N39+1)^(FV20)*((1+$K39)^(FV$20)),'Allgemeine Unternehmensdaten'!$G$7*FV22*$F11*$F39*($N39+1)^(FV20)*((1+$K39)^(FV$20)))</f>
        <v>0</v>
      </c>
      <c r="FW39" s="200">
        <f>IF(AND($F39=1,$F11=0),'Allgemeine Unternehmensdaten'!$G$7*FW22*$I11*($N39+1)^(FW20)*((1+$K39)^(FW$20)),'Allgemeine Unternehmensdaten'!$G$7*FW22*$F11*$F39*($N39+1)^(FW20)*((1+$K39)^(FW$20)))</f>
        <v>0</v>
      </c>
      <c r="FX39" s="200">
        <f>IF(AND($F39=1,$F11=0),'Allgemeine Unternehmensdaten'!$G$7*FX22*$I11*($N39+1)^(FX20)*((1+$K39)^(FX$20)),'Allgemeine Unternehmensdaten'!$G$7*FX22*$F11*$F39*($N39+1)^(FX20)*((1+$K39)^(FX$20)))</f>
        <v>0</v>
      </c>
      <c r="FY39" s="200">
        <f>IF(AND($F39=1,$F11=0),'Allgemeine Unternehmensdaten'!$G$7*FY22*$I11*($N39+1)^(FY20)*((1+$K39)^(FY$20)),'Allgemeine Unternehmensdaten'!$G$7*FY22*$F11*$F39*($N39+1)^(FY20)*((1+$K39)^(FY$20)))</f>
        <v>0</v>
      </c>
      <c r="FZ39" s="200">
        <f>IF(AND($F39=1,$F11=0),'Allgemeine Unternehmensdaten'!$G$7*FZ22*$I11*($N39+1)^(FZ20)*((1+$K39)^(FZ$20)),'Allgemeine Unternehmensdaten'!$G$7*FZ22*$F11*$F39*($N39+1)^(FZ20)*((1+$K39)^(FZ$20)))</f>
        <v>0</v>
      </c>
      <c r="GA39" s="200">
        <f>IF(AND($F39=1,$F11=0),'Allgemeine Unternehmensdaten'!$G$7*GA22*$I11*($N39+1)^(GA20)*((1+$K39)^(GA$20)),'Allgemeine Unternehmensdaten'!$G$7*GA22*$F11*$F39*($N39+1)^(GA20)*((1+$K39)^(GA$20)))</f>
        <v>0</v>
      </c>
      <c r="GB39" s="200">
        <f>IF(AND($F39=1,$F11=0),'Allgemeine Unternehmensdaten'!$G$7*GB22*$I11*($N39+1)^(GB20)*((1+$K39)^(GB$20)),'Allgemeine Unternehmensdaten'!$G$7*GB22*$F11*$F39*($N39+1)^(GB20)*((1+$K39)^(GB$20)))</f>
        <v>0</v>
      </c>
    </row>
    <row r="40" spans="1:184" ht="17.25" customHeight="1" x14ac:dyDescent="0.5">
      <c r="A40" s="88"/>
      <c r="B40" s="323"/>
      <c r="C40" s="101" t="s">
        <v>137</v>
      </c>
      <c r="D40" s="191">
        <f t="array" ref="D40">IFERROR(_xlfn.IFS(D12&gt;=G12,0,D12=0,1),(G12-D12)/D12)</f>
        <v>0</v>
      </c>
      <c r="E40" s="191">
        <f t="array" ref="E40">IFERROR(_xlfn.IFS(E12&gt;=H12,0,E12=0,1),(H12-E12)/E12)</f>
        <v>0</v>
      </c>
      <c r="F40" s="191">
        <f t="array" ref="F40">IFERROR(_xlfn.IFS(F12&gt;=I12,0,F12=0,1),(I12-F12)/F12)</f>
        <v>0</v>
      </c>
      <c r="G40" s="171">
        <v>99</v>
      </c>
      <c r="H40" s="201">
        <v>99</v>
      </c>
      <c r="I40" s="154">
        <v>0</v>
      </c>
      <c r="J40" s="155">
        <v>0</v>
      </c>
      <c r="K40" s="156">
        <v>0</v>
      </c>
      <c r="L40" s="168">
        <f>'Allgemeine Unternehmensdaten'!$E$14</f>
        <v>0.04</v>
      </c>
      <c r="M40" s="165">
        <f>'Allgemeine Unternehmensdaten'!$F$14</f>
        <v>0.03</v>
      </c>
      <c r="N40" s="166">
        <f>'Allgemeine Unternehmensdaten'!$G$14</f>
        <v>0.02</v>
      </c>
      <c r="R40" s="199" t="str">
        <f t="shared" si="16"/>
        <v>Mehrverbrauch Gas in %</v>
      </c>
      <c r="S40" s="200">
        <f>IF(AND($E40=1,$E12=0),'Allgemeine Unternehmensdaten'!$F$13*S$22*$H12*($M40+1)^(S$20)*((1+$J40)^(S$20)),'Allgemeine Unternehmensdaten'!$F$13*S22*$E12*$E40*($M40+1)^(S$20)*((1+$J40)^(S$20)))</f>
        <v>0</v>
      </c>
      <c r="T40" s="200">
        <f>IF(AND($E40=1,$E12=0),'Allgemeine Unternehmensdaten'!$F$13*T$22*$H12*($M40+1)^(T$20)*((1+$J40)^(T$20)),'Allgemeine Unternehmensdaten'!$F$13*T22*$E12*$E40*($M40+1)^(T$20)*((1+$J40)^(T$20)))</f>
        <v>0</v>
      </c>
      <c r="U40" s="200">
        <f>IF(AND($E40=1,$E12=0),'Allgemeine Unternehmensdaten'!$F$13*U$22*$H12*($M40+1)^(U$20)*((1+$J40)^(U$20)),'Allgemeine Unternehmensdaten'!$F$13*U22*$E12*$E40*($M40+1)^(U$20)*((1+$J40)^(U$20)))</f>
        <v>0</v>
      </c>
      <c r="V40" s="200">
        <f>IF(AND($E40=1,$E12=0),'Allgemeine Unternehmensdaten'!$F$13*V$22*$H12*($M40+1)^(V$20)*((1+$J40)^(V$20)),'Allgemeine Unternehmensdaten'!$F$13*V22*$E12*$E40*($M40+1)^(V$20)*((1+$J40)^(V$20)))</f>
        <v>0</v>
      </c>
      <c r="W40" s="200">
        <f>IF(AND($E40=1,$E12=0),'Allgemeine Unternehmensdaten'!$F$13*W$22*$H12*($M40+1)^(W$20)*((1+$J40)^(W$20)),'Allgemeine Unternehmensdaten'!$F$13*W22*$E12*$E40*($M40+1)^(W$20)*((1+$J40)^(W$20)))</f>
        <v>0</v>
      </c>
      <c r="X40" s="200">
        <f>IF(AND($E40=1,$E12=0),'Allgemeine Unternehmensdaten'!$F$13*X$22*$H12*($M40+1)^(X$20)*((1+$J40)^(X$20)),'Allgemeine Unternehmensdaten'!$F$13*X22*$E12*$E40*($M40+1)^(X$20)*((1+$J40)^(X$20)))</f>
        <v>0</v>
      </c>
      <c r="Y40" s="200">
        <f>IF(AND($E40=1,$E12=0),'Allgemeine Unternehmensdaten'!$F$13*Y$22*$H12*($M40+1)^(Y$20)*((1+$J40)^(Y$20)),'Allgemeine Unternehmensdaten'!$F$13*Y22*$E12*$E40*($M40+1)^(Y$20)*((1+$J40)^(Y$20)))</f>
        <v>0</v>
      </c>
      <c r="Z40" s="200">
        <f>IF(AND($E40=1,$E12=0),'Allgemeine Unternehmensdaten'!$F$13*Z$22*$H12*($M40+1)^(Z$20)*((1+$J40)^(Z$20)),'Allgemeine Unternehmensdaten'!$F$13*Z22*$E12*$E40*($M40+1)^(Z$20)*((1+$J40)^(Z$20)))</f>
        <v>0</v>
      </c>
      <c r="AA40" s="200">
        <f>IF(AND($E40=1,$E12=0),'Allgemeine Unternehmensdaten'!$F$13*AA$22*$H12*($M40+1)^(AA$20)*((1+$J40)^(AA$20)),'Allgemeine Unternehmensdaten'!$F$13*AA22*$E12*$E40*($M40+1)^(AA$20)*((1+$J40)^(AA$20)))</f>
        <v>0</v>
      </c>
      <c r="AB40" s="200">
        <f>IF(AND($E40=1,$E12=0),'Allgemeine Unternehmensdaten'!$F$13*AB$22*$H12*($M40+1)^(AB$20)*((1+$J40)^(AB$20)),'Allgemeine Unternehmensdaten'!$F$13*AB22*$E12*$E40*($M40+1)^(AB$20)*((1+$J40)^(AB$20)))</f>
        <v>0</v>
      </c>
      <c r="AC40" s="200">
        <f>IF(AND($E40=1,$E12=0),'Allgemeine Unternehmensdaten'!$F$13*AC$22*$H12*($M40+1)^(AC$20)*((1+$J40)^(AC$20)),'Allgemeine Unternehmensdaten'!$F$13*AC22*$E12*$E40*($M40+1)^(AC$20)*((1+$J40)^(AC$20)))</f>
        <v>0</v>
      </c>
      <c r="AD40" s="200">
        <f>IF(AND($E40=1,$E12=0),'Allgemeine Unternehmensdaten'!$F$13*AD$22*$H12*($M40+1)^(AD$20)*((1+$J40)^(AD$20)),'Allgemeine Unternehmensdaten'!$F$13*AD22*$E12*$E40*($M40+1)^(AD$20)*((1+$J40)^(AD$20)))</f>
        <v>0</v>
      </c>
      <c r="AE40" s="200">
        <f>IF(AND($E40=1,$E12=0),'Allgemeine Unternehmensdaten'!$F$13*AE$22*$H12*($M40+1)^(AE$20)*((1+$J40)^(AE$20)),'Allgemeine Unternehmensdaten'!$F$13*AE22*$E12*$E40*($M40+1)^(AE$20)*((1+$J40)^(AE$20)))</f>
        <v>0</v>
      </c>
      <c r="AF40" s="200">
        <f>IF(AND($E40=1,$E12=0),'Allgemeine Unternehmensdaten'!$F$13*AF$22*$H12*($M40+1)^(AF$20)*((1+$J40)^(AF$20)),'Allgemeine Unternehmensdaten'!$F$13*AF22*$E12*$E40*($M40+1)^(AF$20)*((1+$J40)^(AF$20)))</f>
        <v>0</v>
      </c>
      <c r="AG40" s="200">
        <f>IF(AND($E40=1,$E12=0),'Allgemeine Unternehmensdaten'!$F$13*AG$22*$H12*($M40+1)^(AG$20)*((1+$J40)^(AG$20)),'Allgemeine Unternehmensdaten'!$F$13*AG22*$E12*$E40*($M40+1)^(AG$20)*((1+$J40)^(AG$20)))</f>
        <v>0</v>
      </c>
      <c r="AH40" s="200">
        <f>IF(AND($E40=1,$E12=0),'Allgemeine Unternehmensdaten'!$F$13*AH$22*$H12*($M40+1)^(AH$20)*((1+$J40)^(AH$20)),'Allgemeine Unternehmensdaten'!$F$13*AH22*$E12*$E40*($M40+1)^(AH$20)*((1+$J40)^(AH$20)))</f>
        <v>0</v>
      </c>
      <c r="AI40" s="200">
        <f>IF(AND($E40=1,$E12=0),'Allgemeine Unternehmensdaten'!$F$13*AI$22*$H12*($M40+1)^(AI$20)*((1+$J40)^(AI$20)),'Allgemeine Unternehmensdaten'!$F$13*AI22*$E12*$E40*($M40+1)^(AI$20)*((1+$J40)^(AI$20)))</f>
        <v>0</v>
      </c>
      <c r="AJ40" s="200">
        <f>IF(AND($E40=1,$E12=0),'Allgemeine Unternehmensdaten'!$F$13*AJ$22*$H12*($M40+1)^(AJ$20)*((1+$J40)^(AJ$20)),'Allgemeine Unternehmensdaten'!$F$13*AJ22*$E12*$E40*($M40+1)^(AJ$20)*((1+$J40)^(AJ$20)))</f>
        <v>0</v>
      </c>
      <c r="AK40" s="200">
        <f>IF(AND($E40=1,$E12=0),'Allgemeine Unternehmensdaten'!$F$13*AK$22*$H12*($M40+1)^(AK$20)*((1+$J40)^(AK$20)),'Allgemeine Unternehmensdaten'!$F$13*AK22*$E12*$E40*($M40+1)^(AK$20)*((1+$J40)^(AK$20)))</f>
        <v>0</v>
      </c>
      <c r="AL40" s="200">
        <f>IF(AND($E40=1,$E12=0),'Allgemeine Unternehmensdaten'!$F$13*AL$22*$H12*($M40+1)^(AL$20)*((1+$J40)^(AL$20)),'Allgemeine Unternehmensdaten'!$F$13*AL22*$E12*$E40*($M40+1)^(AL$20)*((1+$J40)^(AL$20)))</f>
        <v>0</v>
      </c>
      <c r="AM40" s="200">
        <f>IF(AND($E40=1,$E12=0),'Allgemeine Unternehmensdaten'!$F$13*AM$22*$H12*($M40+1)^(AM$20)*((1+$J40)^(AM$20)),'Allgemeine Unternehmensdaten'!$F$13*AM22*$E12*$E40*($M40+1)^(AM$20)*((1+$J40)^(AM$20)))</f>
        <v>0</v>
      </c>
      <c r="AN40" s="200">
        <f>IF(AND($E40=1,$E12=0),'Allgemeine Unternehmensdaten'!$F$13*AN$22*$H12*($M40+1)^(AN$20)*((1+$J40)^(AN$20)),'Allgemeine Unternehmensdaten'!$F$13*AN22*$E12*$E40*($M40+1)^(AN$20)*((1+$J40)^(AN$20)))</f>
        <v>0</v>
      </c>
      <c r="AO40" s="200">
        <f>IF(AND($E40=1,$E12=0),'Allgemeine Unternehmensdaten'!$F$13*AO$22*$H12*($M40+1)^(AO$20)*((1+$J40)^(AO$20)),'Allgemeine Unternehmensdaten'!$F$13*AO22*$E12*$E40*($M40+1)^(AO$20)*((1+$J40)^(AO$20)))</f>
        <v>0</v>
      </c>
      <c r="AP40" s="200">
        <f>IF(AND($E40=1,$E12=0),'Allgemeine Unternehmensdaten'!$F$13*AP$22*$H12*($M40+1)^(AP$20)*((1+$J40)^(AP$20)),'Allgemeine Unternehmensdaten'!$F$13*AP22*$E12*$E40*($M40+1)^(AP$20)*((1+$J40)^(AP$20)))</f>
        <v>0</v>
      </c>
      <c r="AQ40" s="200">
        <f>IF(AND($E40=1,$E12=0),'Allgemeine Unternehmensdaten'!$F$13*AQ$22*$H12*($M40+1)^(AQ$20)*((1+$J40)^(AQ$20)),'Allgemeine Unternehmensdaten'!$F$13*AQ22*$E12*$E40*($M40+1)^(AQ$20)*((1+$J40)^(AQ$20)))</f>
        <v>0</v>
      </c>
      <c r="AR40" s="200">
        <f>IF(AND($E40=1,$E12=0),'Allgemeine Unternehmensdaten'!$F$13*AR$22*$H12*($M40+1)^(AR$20)*((1+$J40)^(AR$20)),'Allgemeine Unternehmensdaten'!$F$13*AR22*$E12*$E40*($M40+1)^(AR$20)*((1+$J40)^(AR$20)))</f>
        <v>0</v>
      </c>
      <c r="AS40" s="200">
        <f>IF(AND($E40=1,$E12=0),'Allgemeine Unternehmensdaten'!$F$13*AS$22*$H12*($M40+1)^(AS$20)*((1+$J40)^(AS$20)),'Allgemeine Unternehmensdaten'!$F$13*AS22*$E12*$E40*($M40+1)^(AS$20)*((1+$J40)^(AS$20)))</f>
        <v>0</v>
      </c>
      <c r="AT40" s="200">
        <f>IF(AND($E40=1,$E12=0),'Allgemeine Unternehmensdaten'!$F$13*AT$22*$H12*($M40+1)^(AT$20)*((1+$J40)^(AT$20)),'Allgemeine Unternehmensdaten'!$F$13*AT22*$E12*$E40*($M40+1)^(AT$20)*((1+$J40)^(AT$20)))</f>
        <v>0</v>
      </c>
      <c r="AU40" s="200">
        <f>IF(AND($E40=1,$E12=0),'Allgemeine Unternehmensdaten'!$F$13*AU$22*$H12*($M40+1)^(AU$20)*((1+$J40)^(AU$20)),'Allgemeine Unternehmensdaten'!$F$13*AU22*$E12*$E40*($M40+1)^(AU$20)*((1+$J40)^(AU$20)))</f>
        <v>0</v>
      </c>
      <c r="AV40" s="200">
        <f>IF(AND($E40=1,$E12=0),'Allgemeine Unternehmensdaten'!$F$13*AV$22*$H12*($M40+1)^(AV$20)*((1+$J40)^(AV$20)),'Allgemeine Unternehmensdaten'!$F$13*AV22*$E12*$E40*($M40+1)^(AV$20)*((1+$J40)^(AV$20)))</f>
        <v>0</v>
      </c>
      <c r="AW40" s="200">
        <f>IF(AND($E40=1,$E12=0),'Allgemeine Unternehmensdaten'!$F$13*AW$22*$H12*($M40+1)^(AW$20)*((1+$J40)^(AW$20)),'Allgemeine Unternehmensdaten'!$F$13*AW22*$E12*$E40*($M40+1)^(AW$20)*((1+$J40)^(AW$20)))</f>
        <v>0</v>
      </c>
      <c r="AX40" s="200">
        <f>IF(AND($E40=1,$E12=0),'Allgemeine Unternehmensdaten'!$F$13*AX$22*$H12*($M40+1)^(AX$20)*((1+$J40)^(AX$20)),'Allgemeine Unternehmensdaten'!$F$13*AX22*$E12*$E40*($M40+1)^(AX$20)*((1+$J40)^(AX$20)))</f>
        <v>0</v>
      </c>
      <c r="AY40" s="200">
        <f>IF(AND($E40=1,$E12=0),'Allgemeine Unternehmensdaten'!$F$13*AY$22*$H12*($M40+1)^(AY$20)*((1+$J40)^(AY$20)),'Allgemeine Unternehmensdaten'!$F$13*AY22*$E12*$E40*($M40+1)^(AY$20)*((1+$J40)^(AY$20)))</f>
        <v>0</v>
      </c>
      <c r="AZ40" s="200">
        <f>IF(AND($E40=1,$E12=0),'Allgemeine Unternehmensdaten'!$F$13*AZ$22*$H12*($M40+1)^(AZ$20)*((1+$J40)^(AZ$20)),'Allgemeine Unternehmensdaten'!$F$13*AZ22*$E12*$E40*($M40+1)^(AZ$20)*((1+$J40)^(AZ$20)))</f>
        <v>0</v>
      </c>
      <c r="BA40" s="200">
        <f>IF(AND($E40=1,$E12=0),'Allgemeine Unternehmensdaten'!$F$13*BA$22*$H12*($M40+1)^(BA$20)*((1+$J40)^(BA$20)),'Allgemeine Unternehmensdaten'!$F$13*BA22*$E12*$E40*($M40+1)^(BA$20)*((1+$J40)^(BA$20)))</f>
        <v>0</v>
      </c>
      <c r="BB40" s="200">
        <f>IF(AND($E40=1,$E12=0),'Allgemeine Unternehmensdaten'!$F$13*BB$22*$H12*($M40+1)^(BB$20)*((1+$J40)^(BB$20)),'Allgemeine Unternehmensdaten'!$F$13*BB22*$E12*$E40*($M40+1)^(BB$20)*((1+$J40)^(BB$20)))</f>
        <v>0</v>
      </c>
      <c r="BC40" s="200">
        <f>IF(AND($E40=1,$E12=0),'Allgemeine Unternehmensdaten'!$F$13*BC$22*$H12*($M40+1)^(BC$20)*((1+$J40)^(BC$20)),'Allgemeine Unternehmensdaten'!$F$13*BC22*$E12*$E40*($M40+1)^(BC$20)*((1+$J40)^(BC$20)))</f>
        <v>0</v>
      </c>
      <c r="BD40" s="200">
        <f>IF(AND($E40=1,$E12=0),'Allgemeine Unternehmensdaten'!$F$13*BD$22*$H12*($M40+1)^(BD$20)*((1+$J40)^(BD$20)),'Allgemeine Unternehmensdaten'!$F$13*BD22*$E12*$E40*($M40+1)^(BD$20)*((1+$J40)^(BD$20)))</f>
        <v>0</v>
      </c>
      <c r="BE40" s="200">
        <f>IF(AND($E40=1,$E12=0),'Allgemeine Unternehmensdaten'!$F$13*BE$22*$H12*($M40+1)^(BE$20)*((1+$J40)^(BE$20)),'Allgemeine Unternehmensdaten'!$F$13*BE22*$E12*$E40*($M40+1)^(BE$20)*((1+$J40)^(BE$20)))</f>
        <v>0</v>
      </c>
      <c r="BF40" s="200">
        <f>IF(AND($E40=1,$E12=0),'Allgemeine Unternehmensdaten'!$F$13*BF$22*$H12*($M40+1)^(BF$20)*((1+$J40)^(BF$20)),'Allgemeine Unternehmensdaten'!$F$13*BF22*$E12*$E40*($M40+1)^(BF$20)*((1+$J40)^(BF$20)))</f>
        <v>0</v>
      </c>
      <c r="BG40" s="200">
        <f>IF(AND($E40=1,$E12=0),'Allgemeine Unternehmensdaten'!$F$13*BG$22*$H12*($M40+1)^(BG$20)*((1+$J40)^(BG$20)),'Allgemeine Unternehmensdaten'!$F$13*BG22*$E12*$E40*($M40+1)^(BG$20)*((1+$J40)^(BG$20)))</f>
        <v>0</v>
      </c>
      <c r="BH40" s="200">
        <f>IF(AND($E40=1,$E12=0),'Allgemeine Unternehmensdaten'!$F$13*BH$22*$H12*($M40+1)^(BH$20)*((1+$J40)^(BH$20)),'Allgemeine Unternehmensdaten'!$F$13*BH22*$E12*$E40*($M40+1)^(BH$20)*((1+$J40)^(BH$20)))</f>
        <v>0</v>
      </c>
      <c r="BI40" s="200">
        <f>IF(AND($E40=1,$E12=0),'Allgemeine Unternehmensdaten'!$F$13*BI$22*$H12*($M40+1)^(BI$20)*((1+$J40)^(BI$20)),'Allgemeine Unternehmensdaten'!$F$13*BI22*$E12*$E40*($M40+1)^(BI$20)*((1+$J40)^(BI$20)))</f>
        <v>0</v>
      </c>
      <c r="BJ40" s="200">
        <f>IF(AND($E40=1,$E12=0),'Allgemeine Unternehmensdaten'!$F$13*BJ$22*$H12*($M40+1)^(BJ$20)*((1+$J40)^(BJ$20)),'Allgemeine Unternehmensdaten'!$F$13*BJ22*$E12*$E40*($M40+1)^(BJ$20)*((1+$J40)^(BJ$20)))</f>
        <v>0</v>
      </c>
      <c r="BK40" s="200">
        <f>IF(AND($E40=1,$E12=0),'Allgemeine Unternehmensdaten'!$F$13*BK$22*$H12*($M40+1)^(BK$20)*((1+$J40)^(BK$20)),'Allgemeine Unternehmensdaten'!$F$13*BK22*$E12*$E40*($M40+1)^(BK$20)*((1+$J40)^(BK$20)))</f>
        <v>0</v>
      </c>
      <c r="BL40" s="200">
        <f>IF(AND($E40=1,$E12=0),'Allgemeine Unternehmensdaten'!$F$13*BL$22*$H12*($M40+1)^(BL$20)*((1+$J40)^(BL$20)),'Allgemeine Unternehmensdaten'!$F$13*BL22*$E12*$E40*($M40+1)^(BL$20)*((1+$J40)^(BL$20)))</f>
        <v>0</v>
      </c>
      <c r="BM40" s="200">
        <f>IF(AND($E40=1,$E12=0),'Allgemeine Unternehmensdaten'!$F$13*BM$22*$H12*($M40+1)^(BM$20)*((1+$J40)^(BM$20)),'Allgemeine Unternehmensdaten'!$F$13*BM22*$E12*$E40*($M40+1)^(BM$20)*((1+$J40)^(BM$20)))</f>
        <v>0</v>
      </c>
      <c r="BN40" s="200">
        <f>IF(AND($E40=1,$E12=0),'Allgemeine Unternehmensdaten'!$F$13*BN$22*$H12*($M40+1)^(BN$20)*((1+$J40)^(BN$20)),'Allgemeine Unternehmensdaten'!$F$13*BN22*$E12*$E40*($M40+1)^(BN$20)*((1+$J40)^(BN$20)))</f>
        <v>0</v>
      </c>
      <c r="BO40" s="200">
        <f>IF(AND($E40=1,$E12=0),'Allgemeine Unternehmensdaten'!$F$13*BO$22*$H12*($M40+1)^(BO$20)*((1+$J40)^(BO$20)),'Allgemeine Unternehmensdaten'!$F$13*BO22*$E12*$E40*($M40+1)^(BO$20)*((1+$J40)^(BO$20)))</f>
        <v>0</v>
      </c>
      <c r="BP40" s="200">
        <f>IF(AND($E40=1,$E12=0),'Allgemeine Unternehmensdaten'!$F$13*BP$22*$H12*($M40+1)^(BP$20)*((1+$J40)^(BP$20)),'Allgemeine Unternehmensdaten'!$F$13*BP22*$E12*$E40*($M40+1)^(BP$20)*((1+$J40)^(BP$20)))</f>
        <v>0</v>
      </c>
      <c r="BQ40" s="200">
        <f>IF(AND($E40=1,$E12=0),'Allgemeine Unternehmensdaten'!$F$13*BQ$22*$H12*($M40+1)^(BQ$20)*((1+$J40)^(BQ$20)),'Allgemeine Unternehmensdaten'!$F$13*BQ22*$E12*$E40*($M40+1)^(BQ$20)*((1+$J40)^(BQ$20)))</f>
        <v>0</v>
      </c>
      <c r="BR40" s="200">
        <f>IF(AND($E40=1,$E12=0),'Allgemeine Unternehmensdaten'!$F$13*BR$22*$H12*($M40+1)^(BR$20)*((1+$J40)^(BR$20)),'Allgemeine Unternehmensdaten'!$F$13*BR22*$E12*$E40*($M40+1)^(BR$20)*((1+$J40)^(BR$20)))</f>
        <v>0</v>
      </c>
      <c r="BS40" s="200">
        <f>IF(AND($E40=1,$E12=0),'Allgemeine Unternehmensdaten'!$F$13*BS$22*$H12*($M40+1)^(BS$20)*((1+$J40)^(BS$20)),'Allgemeine Unternehmensdaten'!$F$13*BS22*$E12*$E40*($M40+1)^(BS$20)*((1+$J40)^(BS$20)))</f>
        <v>0</v>
      </c>
      <c r="BT40" s="200">
        <f>IF(AND($E40=1,$E12=0),'Allgemeine Unternehmensdaten'!$F$13*BT$22*$H12*($M40+1)^(BT$20)*((1+$J40)^(BT$20)),'Allgemeine Unternehmensdaten'!$F$13*BT22*$E12*$E40*($M40+1)^(BT$20)*((1+$J40)^(BT$20)))</f>
        <v>0</v>
      </c>
      <c r="BV40" s="199" t="str">
        <f t="shared" si="19"/>
        <v>Mehrverbrauch Gas in %</v>
      </c>
      <c r="BW40" s="200">
        <f>IF(AND($D40=1,$D12=0),'Allgemeine Unternehmensdaten'!$E$13*BW$22*$G12*($L40+1)^(BW$20)*((1+$I40)^(BW$20)),'Allgemeine Unternehmensdaten'!$E$13*BW22*$D12*$D40*($L40+1)^(BW$20)*((1+$I40)^(BW$20)))</f>
        <v>0</v>
      </c>
      <c r="BX40" s="200">
        <f>IF(AND($D40=1,$D12=0),'Allgemeine Unternehmensdaten'!$E$13*BX$22*$G12*($L40+1)^(BX$20)*((1+$I40)^(BX$20)),'Allgemeine Unternehmensdaten'!$E$13*BX22*$D12*$D40*($L40+1)^(BX$20)*((1+$I40)^(BX$20)))</f>
        <v>0</v>
      </c>
      <c r="BY40" s="200">
        <f>IF(AND($D40=1,$D12=0),'Allgemeine Unternehmensdaten'!$E$13*BY$22*$G12*($L40+1)^(BY$20)*((1+$I40)^(BY$20)),'Allgemeine Unternehmensdaten'!$E$13*BY22*$D12*$D40*($L40+1)^(BY$20)*((1+$I40)^(BY$20)))</f>
        <v>0</v>
      </c>
      <c r="BZ40" s="200">
        <f>IF(AND($D40=1,$D12=0),'Allgemeine Unternehmensdaten'!$E$13*BZ$22*$G12*($L40+1)^(BZ$20)*((1+$I40)^(BZ$20)),'Allgemeine Unternehmensdaten'!$E$13*BZ22*$D12*$D40*($L40+1)^(BZ$20)*((1+$I40)^(BZ$20)))</f>
        <v>0</v>
      </c>
      <c r="CA40" s="200">
        <f>IF(AND($D40=1,$D12=0),'Allgemeine Unternehmensdaten'!$E$13*CA$22*$G12*($L40+1)^(CA$20)*((1+$I40)^(CA$20)),'Allgemeine Unternehmensdaten'!$E$13*CA22*$D12*$D40*($L40+1)^(CA$20)*((1+$I40)^(CA$20)))</f>
        <v>0</v>
      </c>
      <c r="CB40" s="200">
        <f>IF(AND($D40=1,$D12=0),'Allgemeine Unternehmensdaten'!$E$13*CB$22*$G12*($L40+1)^(CB$20)*((1+$I40)^(CB$20)),'Allgemeine Unternehmensdaten'!$E$13*CB22*$D12*$D40*($L40+1)^(CB$20)*((1+$I40)^(CB$20)))</f>
        <v>0</v>
      </c>
      <c r="CC40" s="200">
        <f>IF(AND($D40=1,$D12=0),'Allgemeine Unternehmensdaten'!$E$13*CC$22*$G12*($L40+1)^(CC$20)*((1+$I40)^(CC$20)),'Allgemeine Unternehmensdaten'!$E$13*CC22*$D12*$D40*($L40+1)^(CC$20)*((1+$I40)^(CC$20)))</f>
        <v>0</v>
      </c>
      <c r="CD40" s="200">
        <f>IF(AND($D40=1,$D12=0),'Allgemeine Unternehmensdaten'!$E$13*CD$22*$G12*($L40+1)^(CD$20)*((1+$I40)^(CD$20)),'Allgemeine Unternehmensdaten'!$E$13*CD22*$D12*$D40*($L40+1)^(CD$20)*((1+$I40)^(CD$20)))</f>
        <v>0</v>
      </c>
      <c r="CE40" s="200">
        <f>IF(AND($D40=1,$D12=0),'Allgemeine Unternehmensdaten'!$E$13*CE$22*$G12*($L40+1)^(CE$20)*((1+$I40)^(CE$20)),'Allgemeine Unternehmensdaten'!$E$13*CE22*$D12*$D40*($L40+1)^(CE$20)*((1+$I40)^(CE$20)))</f>
        <v>0</v>
      </c>
      <c r="CF40" s="200">
        <f>IF(AND($D40=1,$D12=0),'Allgemeine Unternehmensdaten'!$E$13*CF$22*$G12*($L40+1)^(CF$20)*((1+$I40)^(CF$20)),'Allgemeine Unternehmensdaten'!$E$13*CF22*$D12*$D40*($L40+1)^(CF$20)*((1+$I40)^(CF$20)))</f>
        <v>0</v>
      </c>
      <c r="CG40" s="200">
        <f>IF(AND($D40=1,$D12=0),'Allgemeine Unternehmensdaten'!$E$13*CG$22*$G12*($L40+1)^(CG$20)*((1+$I40)^(CG$20)),'Allgemeine Unternehmensdaten'!$E$13*CG22*$D12*$D40*($L40+1)^(CG$20)*((1+$I40)^(CG$20)))</f>
        <v>0</v>
      </c>
      <c r="CH40" s="200">
        <f>IF(AND($D40=1,$D12=0),'Allgemeine Unternehmensdaten'!$E$13*CH$22*$G12*($L40+1)^(CH$20)*((1+$I40)^(CH$20)),'Allgemeine Unternehmensdaten'!$E$13*CH22*$D12*$D40*($L40+1)^(CH$20)*((1+$I40)^(CH$20)))</f>
        <v>0</v>
      </c>
      <c r="CI40" s="200">
        <f>IF(AND($D40=1,$D12=0),'Allgemeine Unternehmensdaten'!$E$13*CI$22*$G12*($L40+1)^(CI$20)*((1+$I40)^(CI$20)),'Allgemeine Unternehmensdaten'!$E$13*CI22*$D12*$D40*($L40+1)^(CI$20)*((1+$I40)^(CI$20)))</f>
        <v>0</v>
      </c>
      <c r="CJ40" s="200">
        <f>IF(AND($D40=1,$D12=0),'Allgemeine Unternehmensdaten'!$E$13*CJ$22*$G12*($L40+1)^(CJ$20)*((1+$I40)^(CJ$20)),'Allgemeine Unternehmensdaten'!$E$13*CJ22*$D12*$D40*($L40+1)^(CJ$20)*((1+$I40)^(CJ$20)))</f>
        <v>0</v>
      </c>
      <c r="CK40" s="200">
        <f>IF(AND($D40=1,$D12=0),'Allgemeine Unternehmensdaten'!$E$13*CK$22*$G12*($L40+1)^(CK$20)*((1+$I40)^(CK$20)),'Allgemeine Unternehmensdaten'!$E$13*CK22*$D12*$D40*($L40+1)^(CK$20)*((1+$I40)^(CK$20)))</f>
        <v>0</v>
      </c>
      <c r="CL40" s="200">
        <f>IF(AND($D40=1,$D12=0),'Allgemeine Unternehmensdaten'!$E$13*CL$22*$G12*($L40+1)^(CL$20)*((1+$I40)^(CL$20)),'Allgemeine Unternehmensdaten'!$E$13*CL22*$D12*$D40*($L40+1)^(CL$20)*((1+$I40)^(CL$20)))</f>
        <v>0</v>
      </c>
      <c r="CM40" s="200">
        <f>IF(AND($D40=1,$D12=0),'Allgemeine Unternehmensdaten'!$E$13*CM$22*$G12*($L40+1)^(CM$20)*((1+$I40)^(CM$20)),'Allgemeine Unternehmensdaten'!$E$13*CM22*$D12*$D40*($L40+1)^(CM$20)*((1+$I40)^(CM$20)))</f>
        <v>0</v>
      </c>
      <c r="CN40" s="200">
        <f>IF(AND($D40=1,$D12=0),'Allgemeine Unternehmensdaten'!$E$13*CN$22*$G12*($L40+1)^(CN$20)*((1+$I40)^(CN$20)),'Allgemeine Unternehmensdaten'!$E$13*CN22*$D12*$D40*($L40+1)^(CN$20)*((1+$I40)^(CN$20)))</f>
        <v>0</v>
      </c>
      <c r="CO40" s="200">
        <f>IF(AND($D40=1,$D12=0),'Allgemeine Unternehmensdaten'!$E$13*CO$22*$G12*($L40+1)^(CO$20)*((1+$I40)^(CO$20)),'Allgemeine Unternehmensdaten'!$E$13*CO22*$D12*$D40*($L40+1)^(CO$20)*((1+$I40)^(CO$20)))</f>
        <v>0</v>
      </c>
      <c r="CP40" s="200">
        <f>IF(AND($D40=1,$D12=0),'Allgemeine Unternehmensdaten'!$E$13*CP$22*$G12*($L40+1)^(CP$20)*((1+$I40)^(CP$20)),'Allgemeine Unternehmensdaten'!$E$13*CP22*$D12*$D40*($L40+1)^(CP$20)*((1+$I40)^(CP$20)))</f>
        <v>0</v>
      </c>
      <c r="CQ40" s="200">
        <f>IF(AND($D40=1,$D12=0),'Allgemeine Unternehmensdaten'!$E$13*CQ$22*$G12*($L40+1)^(CQ$20)*((1+$I40)^(CQ$20)),'Allgemeine Unternehmensdaten'!$E$13*CQ22*$D12*$D40*($L40+1)^(CQ$20)*((1+$I40)^(CQ$20)))</f>
        <v>0</v>
      </c>
      <c r="CR40" s="200">
        <f>IF(AND($D40=1,$D12=0),'Allgemeine Unternehmensdaten'!$E$13*CR$22*$G12*($L40+1)^(CR$20)*((1+$I40)^(CR$20)),'Allgemeine Unternehmensdaten'!$E$13*CR22*$D12*$D40*($L40+1)^(CR$20)*((1+$I40)^(CR$20)))</f>
        <v>0</v>
      </c>
      <c r="CS40" s="200">
        <f>IF(AND($D40=1,$D12=0),'Allgemeine Unternehmensdaten'!$E$13*CS$22*$G12*($L40+1)^(CS$20)*((1+$I40)^(CS$20)),'Allgemeine Unternehmensdaten'!$E$13*CS22*$D12*$D40*($L40+1)^(CS$20)*((1+$I40)^(CS$20)))</f>
        <v>0</v>
      </c>
      <c r="CT40" s="200">
        <f>IF(AND($D40=1,$D12=0),'Allgemeine Unternehmensdaten'!$E$13*CT$22*$G12*($L40+1)^(CT$20)*((1+$I40)^(CT$20)),'Allgemeine Unternehmensdaten'!$E$13*CT22*$D12*$D40*($L40+1)^(CT$20)*((1+$I40)^(CT$20)))</f>
        <v>0</v>
      </c>
      <c r="CU40" s="200">
        <f>IF(AND($D40=1,$D12=0),'Allgemeine Unternehmensdaten'!$E$13*CU$22*$G12*($L40+1)^(CU$20)*((1+$I40)^(CU$20)),'Allgemeine Unternehmensdaten'!$E$13*CU22*$D12*$D40*($L40+1)^(CU$20)*((1+$I40)^(CU$20)))</f>
        <v>0</v>
      </c>
      <c r="CV40" s="200">
        <f>IF(AND($D40=1,$D12=0),'Allgemeine Unternehmensdaten'!$E$13*CV$22*$G12*($L40+1)^(CV$20)*((1+$I40)^(CV$20)),'Allgemeine Unternehmensdaten'!$E$13*CV22*$D12*$D40*($L40+1)^(CV$20)*((1+$I40)^(CV$20)))</f>
        <v>0</v>
      </c>
      <c r="CW40" s="200">
        <f>IF(AND($D40=1,$D12=0),'Allgemeine Unternehmensdaten'!$E$13*CW$22*$G12*($L40+1)^(CW$20)*((1+$I40)^(CW$20)),'Allgemeine Unternehmensdaten'!$E$13*CW22*$D12*$D40*($L40+1)^(CW$20)*((1+$I40)^(CW$20)))</f>
        <v>0</v>
      </c>
      <c r="CX40" s="200">
        <f>IF(AND($D40=1,$D12=0),'Allgemeine Unternehmensdaten'!$E$13*CX$22*$G12*($L40+1)^(CX$20)*((1+$I40)^(CX$20)),'Allgemeine Unternehmensdaten'!$E$13*CX22*$D12*$D40*($L40+1)^(CX$20)*((1+$I40)^(CX$20)))</f>
        <v>0</v>
      </c>
      <c r="CY40" s="200">
        <f>IF(AND($D40=1,$D12=0),'Allgemeine Unternehmensdaten'!$E$13*CY$22*$G12*($L40+1)^(CY$20)*((1+$I40)^(CY$20)),'Allgemeine Unternehmensdaten'!$E$13*CY22*$D12*$D40*($L40+1)^(CY$20)*((1+$I40)^(CY$20)))</f>
        <v>0</v>
      </c>
      <c r="CZ40" s="200">
        <f>IF(AND($D40=1,$D12=0),'Allgemeine Unternehmensdaten'!$E$13*CZ$22*$G12*($L40+1)^(CZ$20)*((1+$I40)^(CZ$20)),'Allgemeine Unternehmensdaten'!$E$13*CZ22*$D12*$D40*($L40+1)^(CZ$20)*((1+$I40)^(CZ$20)))</f>
        <v>0</v>
      </c>
      <c r="DA40" s="200">
        <f>IF(AND($D40=1,$D12=0),'Allgemeine Unternehmensdaten'!$E$13*DA$22*$G12*($L40+1)^(DA$20)*((1+$I40)^(DA$20)),'Allgemeine Unternehmensdaten'!$E$13*DA22*$D12*$D40*($L40+1)^(DA$20)*((1+$I40)^(DA$20)))</f>
        <v>0</v>
      </c>
      <c r="DB40" s="200">
        <f>IF(AND($D40=1,$D12=0),'Allgemeine Unternehmensdaten'!$E$13*DB$22*$G12*($L40+1)^(DB$20)*((1+$I40)^(DB$20)),'Allgemeine Unternehmensdaten'!$E$13*DB22*$D12*$D40*($L40+1)^(DB$20)*((1+$I40)^(DB$20)))</f>
        <v>0</v>
      </c>
      <c r="DC40" s="200">
        <f>IF(AND($D40=1,$D12=0),'Allgemeine Unternehmensdaten'!$E$13*DC$22*$G12*($L40+1)^(DC$20)*((1+$I40)^(DC$20)),'Allgemeine Unternehmensdaten'!$E$13*DC22*$D12*$D40*($L40+1)^(DC$20)*((1+$I40)^(DC$20)))</f>
        <v>0</v>
      </c>
      <c r="DD40" s="200">
        <f>IF(AND($D40=1,$D12=0),'Allgemeine Unternehmensdaten'!$E$13*DD$22*$G12*($L40+1)^(DD$20)*((1+$I40)^(DD$20)),'Allgemeine Unternehmensdaten'!$E$13*DD22*$D12*$D40*($L40+1)^(DD$20)*((1+$I40)^(DD$20)))</f>
        <v>0</v>
      </c>
      <c r="DE40" s="200">
        <f>IF(AND($D40=1,$D12=0),'Allgemeine Unternehmensdaten'!$E$13*DE$22*$G12*($L40+1)^(DE$20)*((1+$I40)^(DE$20)),'Allgemeine Unternehmensdaten'!$E$13*DE22*$D12*$D40*($L40+1)^(DE$20)*((1+$I40)^(DE$20)))</f>
        <v>0</v>
      </c>
      <c r="DF40" s="200">
        <f>IF(AND($D40=1,$D12=0),'Allgemeine Unternehmensdaten'!$E$13*DF$22*$G12*($L40+1)^(DF$20)*((1+$I40)^(DF$20)),'Allgemeine Unternehmensdaten'!$E$13*DF22*$D12*$D40*($L40+1)^(DF$20)*((1+$I40)^(DF$20)))</f>
        <v>0</v>
      </c>
      <c r="DG40" s="200">
        <f>IF(AND($D40=1,$D12=0),'Allgemeine Unternehmensdaten'!$E$13*DG$22*$G12*($L40+1)^(DG$20)*((1+$I40)^(DG$20)),'Allgemeine Unternehmensdaten'!$E$13*DG22*$D12*$D40*($L40+1)^(DG$20)*((1+$I40)^(DG$20)))</f>
        <v>0</v>
      </c>
      <c r="DH40" s="200">
        <f>IF(AND($D40=1,$D12=0),'Allgemeine Unternehmensdaten'!$E$13*DH$22*$G12*($L40+1)^(DH$20)*((1+$I40)^(DH$20)),'Allgemeine Unternehmensdaten'!$E$13*DH22*$D12*$D40*($L40+1)^(DH$20)*((1+$I40)^(DH$20)))</f>
        <v>0</v>
      </c>
      <c r="DI40" s="200">
        <f>IF(AND($D40=1,$D12=0),'Allgemeine Unternehmensdaten'!$E$13*DI$22*$G12*($L40+1)^(DI$20)*((1+$I40)^(DI$20)),'Allgemeine Unternehmensdaten'!$E$13*DI22*$D12*$D40*($L40+1)^(DI$20)*((1+$I40)^(DI$20)))</f>
        <v>0</v>
      </c>
      <c r="DJ40" s="200">
        <f>IF(AND($D40=1,$D12=0),'Allgemeine Unternehmensdaten'!$E$13*DJ$22*$G12*($L40+1)^(DJ$20)*((1+$I40)^(DJ$20)),'Allgemeine Unternehmensdaten'!$E$13*DJ22*$D12*$D40*($L40+1)^(DJ$20)*((1+$I40)^(DJ$20)))</f>
        <v>0</v>
      </c>
      <c r="DK40" s="200">
        <f>IF(AND($D40=1,$D12=0),'Allgemeine Unternehmensdaten'!$E$13*DK$22*$G12*($L40+1)^(DK$20)*((1+$I40)^(DK$20)),'Allgemeine Unternehmensdaten'!$E$13*DK22*$D12*$D40*($L40+1)^(DK$20)*((1+$I40)^(DK$20)))</f>
        <v>0</v>
      </c>
      <c r="DL40" s="200">
        <f>IF(AND($D40=1,$D12=0),'Allgemeine Unternehmensdaten'!$E$13*DL$22*$G12*($L40+1)^(DL$20)*((1+$I40)^(DL$20)),'Allgemeine Unternehmensdaten'!$E$13*DL22*$D12*$D40*($L40+1)^(DL$20)*((1+$I40)^(DL$20)))</f>
        <v>0</v>
      </c>
      <c r="DM40" s="200">
        <f>IF(AND($D40=1,$D12=0),'Allgemeine Unternehmensdaten'!$E$13*DM$22*$G12*($L40+1)^(DM$20)*((1+$I40)^(DM$20)),'Allgemeine Unternehmensdaten'!$E$13*DM22*$D12*$D40*($L40+1)^(DM$20)*((1+$I40)^(DM$20)))</f>
        <v>0</v>
      </c>
      <c r="DN40" s="200">
        <f>IF(AND($D40=1,$D12=0),'Allgemeine Unternehmensdaten'!$E$13*DN$22*$G12*($L40+1)^(DN$20)*((1+$I40)^(DN$20)),'Allgemeine Unternehmensdaten'!$E$13*DN22*$D12*$D40*($L40+1)^(DN$20)*((1+$I40)^(DN$20)))</f>
        <v>0</v>
      </c>
      <c r="DO40" s="200">
        <f>IF(AND($D40=1,$D12=0),'Allgemeine Unternehmensdaten'!$E$13*DO$22*$G12*($L40+1)^(DO$20)*((1+$I40)^(DO$20)),'Allgemeine Unternehmensdaten'!$E$13*DO22*$D12*$D40*($L40+1)^(DO$20)*((1+$I40)^(DO$20)))</f>
        <v>0</v>
      </c>
      <c r="DP40" s="200">
        <f>IF(AND($D40=1,$D12=0),'Allgemeine Unternehmensdaten'!$E$13*DP$22*$G12*($L40+1)^(DP$20)*((1+$I40)^(DP$20)),'Allgemeine Unternehmensdaten'!$E$13*DP22*$D12*$D40*($L40+1)^(DP$20)*((1+$I40)^(DP$20)))</f>
        <v>0</v>
      </c>
      <c r="DQ40" s="200">
        <f>IF(AND($D40=1,$D12=0),'Allgemeine Unternehmensdaten'!$E$13*DQ$22*$G12*($L40+1)^(DQ$20)*((1+$I40)^(DQ$20)),'Allgemeine Unternehmensdaten'!$E$13*DQ22*$D12*$D40*($L40+1)^(DQ$20)*((1+$I40)^(DQ$20)))</f>
        <v>0</v>
      </c>
      <c r="DR40" s="200">
        <f>IF(AND($D40=1,$D12=0),'Allgemeine Unternehmensdaten'!$E$13*DR$22*$G12*($L40+1)^(DR$20)*((1+$I40)^(DR$20)),'Allgemeine Unternehmensdaten'!$E$13*DR22*$D12*$D40*($L40+1)^(DR$20)*((1+$I40)^(DR$20)))</f>
        <v>0</v>
      </c>
      <c r="DS40" s="200">
        <f>IF(AND($D40=1,$D12=0),'Allgemeine Unternehmensdaten'!$E$13*DS$22*$G12*($L40+1)^(DS$20)*((1+$I40)^(DS$20)),'Allgemeine Unternehmensdaten'!$E$13*DS22*$D12*$D40*($L40+1)^(DS$20)*((1+$I40)^(DS$20)))</f>
        <v>0</v>
      </c>
      <c r="DT40" s="200">
        <f>IF(AND($D40=1,$D12=0),'Allgemeine Unternehmensdaten'!$E$13*DT$22*$G12*($L40+1)^(DT$20)*((1+$I40)^(DT$20)),'Allgemeine Unternehmensdaten'!$E$13*DT22*$D12*$D40*($L40+1)^(DT$20)*((1+$I40)^(DT$20)))</f>
        <v>0</v>
      </c>
      <c r="DU40" s="200">
        <f>IF(AND($D40=1,$D12=0),'Allgemeine Unternehmensdaten'!$E$13*DU$22*$G12*($L40+1)^(DU$20)*((1+$I40)^(DU$20)),'Allgemeine Unternehmensdaten'!$E$13*DU22*$D12*$D40*($L40+1)^(DU$20)*((1+$I40)^(DU$20)))</f>
        <v>0</v>
      </c>
      <c r="DV40" s="200">
        <f>IF(AND($D40=1,$D12=0),'Allgemeine Unternehmensdaten'!$E$13*DV$22*$G12*($L40+1)^(DV$20)*((1+$I40)^(DV$20)),'Allgemeine Unternehmensdaten'!$E$13*DV22*$D12*$D40*($L40+1)^(DV$20)*((1+$I40)^(DV$20)))</f>
        <v>0</v>
      </c>
      <c r="DW40" s="200">
        <f>IF(AND($D40=1,$D12=0),'Allgemeine Unternehmensdaten'!$E$13*DW$22*$G12*($L40+1)^(DW$20)*((1+$I40)^(DW$20)),'Allgemeine Unternehmensdaten'!$E$13*DW22*$D12*$D40*($L40+1)^(DW$20)*((1+$I40)^(DW$20)))</f>
        <v>0</v>
      </c>
      <c r="DX40" s="200">
        <f>IF(AND($D40=1,$D12=0),'Allgemeine Unternehmensdaten'!$E$13*DX$22*$G12*($L40+1)^(DX$20)*((1+$I40)^(DX$20)),'Allgemeine Unternehmensdaten'!$E$13*DX22*$D12*$D40*($L40+1)^(DX$20)*((1+$I40)^(DX$20)))</f>
        <v>0</v>
      </c>
      <c r="DZ40" s="199" t="str">
        <f t="shared" si="22"/>
        <v>Mehrverbrauch Gas in %</v>
      </c>
      <c r="EA40" s="200">
        <f>IF(AND($F40=1,$F12=0),'Allgemeine Unternehmensdaten'!$G$13*EA$22*$I12*($N40+1)^(EA$20)*((1+$K40)^(EA$20)),'Allgemeine Unternehmensdaten'!$G$13*EA22*$F12*$F40*($N40+1)^(EA$20)*((1+$K40)^(EA$20)))</f>
        <v>0</v>
      </c>
      <c r="EB40" s="200">
        <f>IF(AND($F40=1,$F12=0),'Allgemeine Unternehmensdaten'!$G$13*EB$22*$I12*($N40+1)^(EB$20)*((1+$K40)^(EB$20)),'Allgemeine Unternehmensdaten'!$G$13*EB22*$F12*$F40*($N40+1)^(EB$20)*((1+$K40)^(EB$20)))</f>
        <v>0</v>
      </c>
      <c r="EC40" s="200">
        <f>IF(AND($F40=1,$F12=0),'Allgemeine Unternehmensdaten'!$G$13*EC$22*$I12*($N40+1)^(EC$20)*((1+$K40)^(EC$20)),'Allgemeine Unternehmensdaten'!$G$13*EC22*$F12*$F40*($N40+1)^(EC$20)*((1+$K40)^(EC$20)))</f>
        <v>0</v>
      </c>
      <c r="ED40" s="200">
        <f>IF(AND($F40=1,$F12=0),'Allgemeine Unternehmensdaten'!$G$13*ED$22*$I12*($N40+1)^(ED$20)*((1+$K40)^(ED$20)),'Allgemeine Unternehmensdaten'!$G$13*ED22*$F12*$F40*($N40+1)^(ED$20)*((1+$K40)^(ED$20)))</f>
        <v>0</v>
      </c>
      <c r="EE40" s="200">
        <f>IF(AND($F40=1,$F12=0),'Allgemeine Unternehmensdaten'!$G$13*EE$22*$I12*($N40+1)^(EE$20)*((1+$K40)^(EE$20)),'Allgemeine Unternehmensdaten'!$G$13*EE22*$F12*$F40*($N40+1)^(EE$20)*((1+$K40)^(EE$20)))</f>
        <v>0</v>
      </c>
      <c r="EF40" s="200">
        <f>IF(AND($F40=1,$F12=0),'Allgemeine Unternehmensdaten'!$G$13*EF$22*$I12*($N40+1)^(EF$20)*((1+$K40)^(EF$20)),'Allgemeine Unternehmensdaten'!$G$13*EF22*$F12*$F40*($N40+1)^(EF$20)*((1+$K40)^(EF$20)))</f>
        <v>0</v>
      </c>
      <c r="EG40" s="200">
        <f>IF(AND($F40=1,$F12=0),'Allgemeine Unternehmensdaten'!$G$13*EG$22*$I12*($N40+1)^(EG$20)*((1+$K40)^(EG$20)),'Allgemeine Unternehmensdaten'!$G$13*EG22*$F12*$F40*($N40+1)^(EG$20)*((1+$K40)^(EG$20)))</f>
        <v>0</v>
      </c>
      <c r="EH40" s="200">
        <f>IF(AND($F40=1,$F12=0),'Allgemeine Unternehmensdaten'!$G$13*EH$22*$I12*($N40+1)^(EH$20)*((1+$K40)^(EH$20)),'Allgemeine Unternehmensdaten'!$G$13*EH22*$F12*$F40*($N40+1)^(EH$20)*((1+$K40)^(EH$20)))</f>
        <v>0</v>
      </c>
      <c r="EI40" s="200">
        <f>IF(AND($F40=1,$F12=0),'Allgemeine Unternehmensdaten'!$G$13*EI$22*$I12*($N40+1)^(EI$20)*((1+$K40)^(EI$20)),'Allgemeine Unternehmensdaten'!$G$13*EI22*$F12*$F40*($N40+1)^(EI$20)*((1+$K40)^(EI$20)))</f>
        <v>0</v>
      </c>
      <c r="EJ40" s="200">
        <f>IF(AND($F40=1,$F12=0),'Allgemeine Unternehmensdaten'!$G$13*EJ$22*$I12*($N40+1)^(EJ$20)*((1+$K40)^(EJ$20)),'Allgemeine Unternehmensdaten'!$G$13*EJ22*$F12*$F40*($N40+1)^(EJ$20)*((1+$K40)^(EJ$20)))</f>
        <v>0</v>
      </c>
      <c r="EK40" s="200">
        <f>IF(AND($F40=1,$F12=0),'Allgemeine Unternehmensdaten'!$G$13*EK$22*$I12*($N40+1)^(EK$20)*((1+$K40)^(EK$20)),'Allgemeine Unternehmensdaten'!$G$13*EK22*$F12*$F40*($N40+1)^(EK$20)*((1+$K40)^(EK$20)))</f>
        <v>0</v>
      </c>
      <c r="EL40" s="200">
        <f>IF(AND($F40=1,$F12=0),'Allgemeine Unternehmensdaten'!$G$13*EL$22*$I12*($N40+1)^(EL$20)*((1+$K40)^(EL$20)),'Allgemeine Unternehmensdaten'!$G$13*EL22*$F12*$F40*($N40+1)^(EL$20)*((1+$K40)^(EL$20)))</f>
        <v>0</v>
      </c>
      <c r="EM40" s="200">
        <f>IF(AND($F40=1,$F12=0),'Allgemeine Unternehmensdaten'!$G$13*EM$22*$I12*($N40+1)^(EM$20)*((1+$K40)^(EM$20)),'Allgemeine Unternehmensdaten'!$G$13*EM22*$F12*$F40*($N40+1)^(EM$20)*((1+$K40)^(EM$20)))</f>
        <v>0</v>
      </c>
      <c r="EN40" s="200">
        <f>IF(AND($F40=1,$F12=0),'Allgemeine Unternehmensdaten'!$G$13*EN$22*$I12*($N40+1)^(EN$20)*((1+$K40)^(EN$20)),'Allgemeine Unternehmensdaten'!$G$13*EN22*$F12*$F40*($N40+1)^(EN$20)*((1+$K40)^(EN$20)))</f>
        <v>0</v>
      </c>
      <c r="EO40" s="200">
        <f>IF(AND($F40=1,$F12=0),'Allgemeine Unternehmensdaten'!$G$13*EO$22*$I12*($N40+1)^(EO$20)*((1+$K40)^(EO$20)),'Allgemeine Unternehmensdaten'!$G$13*EO22*$F12*$F40*($N40+1)^(EO$20)*((1+$K40)^(EO$20)))</f>
        <v>0</v>
      </c>
      <c r="EP40" s="200">
        <f>IF(AND($F40=1,$F12=0),'Allgemeine Unternehmensdaten'!$G$13*EP$22*$I12*($N40+1)^(EP$20)*((1+$K40)^(EP$20)),'Allgemeine Unternehmensdaten'!$G$13*EP22*$F12*$F40*($N40+1)^(EP$20)*((1+$K40)^(EP$20)))</f>
        <v>0</v>
      </c>
      <c r="EQ40" s="200">
        <f>IF(AND($F40=1,$F12=0),'Allgemeine Unternehmensdaten'!$G$13*EQ$22*$I12*($N40+1)^(EQ$20)*((1+$K40)^(EQ$20)),'Allgemeine Unternehmensdaten'!$G$13*EQ22*$F12*$F40*($N40+1)^(EQ$20)*((1+$K40)^(EQ$20)))</f>
        <v>0</v>
      </c>
      <c r="ER40" s="200">
        <f>IF(AND($F40=1,$F12=0),'Allgemeine Unternehmensdaten'!$G$13*ER$22*$I12*($N40+1)^(ER$20)*((1+$K40)^(ER$20)),'Allgemeine Unternehmensdaten'!$G$13*ER22*$F12*$F40*($N40+1)^(ER$20)*((1+$K40)^(ER$20)))</f>
        <v>0</v>
      </c>
      <c r="ES40" s="200">
        <f>IF(AND($F40=1,$F12=0),'Allgemeine Unternehmensdaten'!$G$13*ES$22*$I12*($N40+1)^(ES$20)*((1+$K40)^(ES$20)),'Allgemeine Unternehmensdaten'!$G$13*ES22*$F12*$F40*($N40+1)^(ES$20)*((1+$K40)^(ES$20)))</f>
        <v>0</v>
      </c>
      <c r="ET40" s="200">
        <f>IF(AND($F40=1,$F12=0),'Allgemeine Unternehmensdaten'!$G$13*ET$22*$I12*($N40+1)^(ET$20)*((1+$K40)^(ET$20)),'Allgemeine Unternehmensdaten'!$G$13*ET22*$F12*$F40*($N40+1)^(ET$20)*((1+$K40)^(ET$20)))</f>
        <v>0</v>
      </c>
      <c r="EU40" s="200">
        <f>IF(AND($F40=1,$F12=0),'Allgemeine Unternehmensdaten'!$G$13*EU$22*$I12*($N40+1)^(EU$20)*((1+$K40)^(EU$20)),'Allgemeine Unternehmensdaten'!$G$13*EU22*$F12*$F40*($N40+1)^(EU$20)*((1+$K40)^(EU$20)))</f>
        <v>0</v>
      </c>
      <c r="EV40" s="200">
        <f>IF(AND($F40=1,$F12=0),'Allgemeine Unternehmensdaten'!$G$13*EV$22*$I12*($N40+1)^(EV$20)*((1+$K40)^(EV$20)),'Allgemeine Unternehmensdaten'!$G$13*EV22*$F12*$F40*($N40+1)^(EV$20)*((1+$K40)^(EV$20)))</f>
        <v>0</v>
      </c>
      <c r="EW40" s="200">
        <f>IF(AND($F40=1,$F12=0),'Allgemeine Unternehmensdaten'!$G$13*EW$22*$I12*($N40+1)^(EW$20)*((1+$K40)^(EW$20)),'Allgemeine Unternehmensdaten'!$G$13*EW22*$F12*$F40*($N40+1)^(EW$20)*((1+$K40)^(EW$20)))</f>
        <v>0</v>
      </c>
      <c r="EX40" s="200">
        <f>IF(AND($F40=1,$F12=0),'Allgemeine Unternehmensdaten'!$G$13*EX$22*$I12*($N40+1)^(EX$20)*((1+$K40)^(EX$20)),'Allgemeine Unternehmensdaten'!$G$13*EX22*$F12*$F40*($N40+1)^(EX$20)*((1+$K40)^(EX$20)))</f>
        <v>0</v>
      </c>
      <c r="EY40" s="200">
        <f>IF(AND($F40=1,$F12=0),'Allgemeine Unternehmensdaten'!$G$13*EY$22*$I12*($N40+1)^(EY$20)*((1+$K40)^(EY$20)),'Allgemeine Unternehmensdaten'!$G$13*EY22*$F12*$F40*($N40+1)^(EY$20)*((1+$K40)^(EY$20)))</f>
        <v>0</v>
      </c>
      <c r="EZ40" s="200">
        <f>IF(AND($F40=1,$F12=0),'Allgemeine Unternehmensdaten'!$G$13*EZ$22*$I12*($N40+1)^(EZ$20)*((1+$K40)^(EZ$20)),'Allgemeine Unternehmensdaten'!$G$13*EZ22*$F12*$F40*($N40+1)^(EZ$20)*((1+$K40)^(EZ$20)))</f>
        <v>0</v>
      </c>
      <c r="FA40" s="200">
        <f>IF(AND($F40=1,$F12=0),'Allgemeine Unternehmensdaten'!$G$13*FA$22*$I12*($N40+1)^(FA$20)*((1+$K40)^(FA$20)),'Allgemeine Unternehmensdaten'!$G$13*FA22*$F12*$F40*($N40+1)^(FA$20)*((1+$K40)^(FA$20)))</f>
        <v>0</v>
      </c>
      <c r="FB40" s="200">
        <f>IF(AND($F40=1,$F12=0),'Allgemeine Unternehmensdaten'!$G$13*FB$22*$I12*($N40+1)^(FB$20)*((1+$K40)^(FB$20)),'Allgemeine Unternehmensdaten'!$G$13*FB22*$F12*$F40*($N40+1)^(FB$20)*((1+$K40)^(FB$20)))</f>
        <v>0</v>
      </c>
      <c r="FC40" s="200">
        <f>IF(AND($F40=1,$F12=0),'Allgemeine Unternehmensdaten'!$G$13*FC$22*$I12*($N40+1)^(FC$20)*((1+$K40)^(FC$20)),'Allgemeine Unternehmensdaten'!$G$13*FC22*$F12*$F40*($N40+1)^(FC$20)*((1+$K40)^(FC$20)))</f>
        <v>0</v>
      </c>
      <c r="FD40" s="200">
        <f>IF(AND($F40=1,$F12=0),'Allgemeine Unternehmensdaten'!$G$13*FD$22*$I12*($N40+1)^(FD$20)*((1+$K40)^(FD$20)),'Allgemeine Unternehmensdaten'!$G$13*FD22*$F12*$F40*($N40+1)^(FD$20)*((1+$K40)^(FD$20)))</f>
        <v>0</v>
      </c>
      <c r="FE40" s="200">
        <f>IF(AND($F40=1,$F12=0),'Allgemeine Unternehmensdaten'!$G$13*FE$22*$I12*($N40+1)^(FE$20)*((1+$K40)^(FE$20)),'Allgemeine Unternehmensdaten'!$G$13*FE22*$F12*$F40*($N40+1)^(FE$20)*((1+$K40)^(FE$20)))</f>
        <v>0</v>
      </c>
      <c r="FF40" s="200">
        <f>IF(AND($F40=1,$F12=0),'Allgemeine Unternehmensdaten'!$G$13*FF$22*$I12*($N40+1)^(FF$20)*((1+$K40)^(FF$20)),'Allgemeine Unternehmensdaten'!$G$13*FF22*$F12*$F40*($N40+1)^(FF$20)*((1+$K40)^(FF$20)))</f>
        <v>0</v>
      </c>
      <c r="FG40" s="200">
        <f>IF(AND($F40=1,$F12=0),'Allgemeine Unternehmensdaten'!$G$13*FG$22*$I12*($N40+1)^(FG$20)*((1+$K40)^(FG$20)),'Allgemeine Unternehmensdaten'!$G$13*FG22*$F12*$F40*($N40+1)^(FG$20)*((1+$K40)^(FG$20)))</f>
        <v>0</v>
      </c>
      <c r="FH40" s="200">
        <f>IF(AND($F40=1,$F12=0),'Allgemeine Unternehmensdaten'!$G$13*FH$22*$I12*($N40+1)^(FH$20)*((1+$K40)^(FH$20)),'Allgemeine Unternehmensdaten'!$G$13*FH22*$F12*$F40*($N40+1)^(FH$20)*((1+$K40)^(FH$20)))</f>
        <v>0</v>
      </c>
      <c r="FI40" s="200">
        <f>IF(AND($F40=1,$F12=0),'Allgemeine Unternehmensdaten'!$G$13*FI$22*$I12*($N40+1)^(FI$20)*((1+$K40)^(FI$20)),'Allgemeine Unternehmensdaten'!$G$13*FI22*$F12*$F40*($N40+1)^(FI$20)*((1+$K40)^(FI$20)))</f>
        <v>0</v>
      </c>
      <c r="FJ40" s="200">
        <f>IF(AND($F40=1,$F12=0),'Allgemeine Unternehmensdaten'!$G$13*FJ$22*$I12*($N40+1)^(FJ$20)*((1+$K40)^(FJ$20)),'Allgemeine Unternehmensdaten'!$G$13*FJ22*$F12*$F40*($N40+1)^(FJ$20)*((1+$K40)^(FJ$20)))</f>
        <v>0</v>
      </c>
      <c r="FK40" s="200">
        <f>IF(AND($F40=1,$F12=0),'Allgemeine Unternehmensdaten'!$G$13*FK$22*$I12*($N40+1)^(FK$20)*((1+$K40)^(FK$20)),'Allgemeine Unternehmensdaten'!$G$13*FK22*$F12*$F40*($N40+1)^(FK$20)*((1+$K40)^(FK$20)))</f>
        <v>0</v>
      </c>
      <c r="FL40" s="200">
        <f>IF(AND($F40=1,$F12=0),'Allgemeine Unternehmensdaten'!$G$13*FL$22*$I12*($N40+1)^(FL$20)*((1+$K40)^(FL$20)),'Allgemeine Unternehmensdaten'!$G$13*FL22*$F12*$F40*($N40+1)^(FL$20)*((1+$K40)^(FL$20)))</f>
        <v>0</v>
      </c>
      <c r="FM40" s="200">
        <f>IF(AND($F40=1,$F12=0),'Allgemeine Unternehmensdaten'!$G$13*FM$22*$I12*($N40+1)^(FM$20)*((1+$K40)^(FM$20)),'Allgemeine Unternehmensdaten'!$G$13*FM22*$F12*$F40*($N40+1)^(FM$20)*((1+$K40)^(FM$20)))</f>
        <v>0</v>
      </c>
      <c r="FN40" s="200">
        <f>IF(AND($F40=1,$F12=0),'Allgemeine Unternehmensdaten'!$G$13*FN$22*$I12*($N40+1)^(FN$20)*((1+$K40)^(FN$20)),'Allgemeine Unternehmensdaten'!$G$13*FN22*$F12*$F40*($N40+1)^(FN$20)*((1+$K40)^(FN$20)))</f>
        <v>0</v>
      </c>
      <c r="FO40" s="200">
        <f>IF(AND($F40=1,$F12=0),'Allgemeine Unternehmensdaten'!$G$13*FO$22*$I12*($N40+1)^(FO$20)*((1+$K40)^(FO$20)),'Allgemeine Unternehmensdaten'!$G$13*FO22*$F12*$F40*($N40+1)^(FO$20)*((1+$K40)^(FO$20)))</f>
        <v>0</v>
      </c>
      <c r="FP40" s="200">
        <f>IF(AND($F40=1,$F12=0),'Allgemeine Unternehmensdaten'!$G$13*FP$22*$I12*($N40+1)^(FP$20)*((1+$K40)^(FP$20)),'Allgemeine Unternehmensdaten'!$G$13*FP22*$F12*$F40*($N40+1)^(FP$20)*((1+$K40)^(FP$20)))</f>
        <v>0</v>
      </c>
      <c r="FQ40" s="200">
        <f>IF(AND($F40=1,$F12=0),'Allgemeine Unternehmensdaten'!$G$13*FQ$22*$I12*($N40+1)^(FQ$20)*((1+$K40)^(FQ$20)),'Allgemeine Unternehmensdaten'!$G$13*FQ22*$F12*$F40*($N40+1)^(FQ$20)*((1+$K40)^(FQ$20)))</f>
        <v>0</v>
      </c>
      <c r="FR40" s="200">
        <f>IF(AND($F40=1,$F12=0),'Allgemeine Unternehmensdaten'!$G$13*FR$22*$I12*($N40+1)^(FR$20)*((1+$K40)^(FR$20)),'Allgemeine Unternehmensdaten'!$G$13*FR22*$F12*$F40*($N40+1)^(FR$20)*((1+$K40)^(FR$20)))</f>
        <v>0</v>
      </c>
      <c r="FS40" s="200">
        <f>IF(AND($F40=1,$F12=0),'Allgemeine Unternehmensdaten'!$G$13*FS$22*$I12*($N40+1)^(FS$20)*((1+$K40)^(FS$20)),'Allgemeine Unternehmensdaten'!$G$13*FS22*$F12*$F40*($N40+1)^(FS$20)*((1+$K40)^(FS$20)))</f>
        <v>0</v>
      </c>
      <c r="FT40" s="200">
        <f>IF(AND($F40=1,$F12=0),'Allgemeine Unternehmensdaten'!$G$13*FT$22*$I12*($N40+1)^(FT$20)*((1+$K40)^(FT$20)),'Allgemeine Unternehmensdaten'!$G$13*FT22*$F12*$F40*($N40+1)^(FT$20)*((1+$K40)^(FT$20)))</f>
        <v>0</v>
      </c>
      <c r="FU40" s="200">
        <f>IF(AND($F40=1,$F12=0),'Allgemeine Unternehmensdaten'!$G$13*FU$22*$I12*($N40+1)^(FU$20)*((1+$K40)^(FU$20)),'Allgemeine Unternehmensdaten'!$G$13*FU22*$F12*$F40*($N40+1)^(FU$20)*((1+$K40)^(FU$20)))</f>
        <v>0</v>
      </c>
      <c r="FV40" s="200">
        <f>IF(AND($F40=1,$F12=0),'Allgemeine Unternehmensdaten'!$G$13*FV$22*$I12*($N40+1)^(FV$20)*((1+$K40)^(FV$20)),'Allgemeine Unternehmensdaten'!$G$13*FV22*$F12*$F40*($N40+1)^(FV$20)*((1+$K40)^(FV$20)))</f>
        <v>0</v>
      </c>
      <c r="FW40" s="200">
        <f>IF(AND($F40=1,$F12=0),'Allgemeine Unternehmensdaten'!$G$13*FW$22*$I12*($N40+1)^(FW$20)*((1+$K40)^(FW$20)),'Allgemeine Unternehmensdaten'!$G$13*FW22*$F12*$F40*($N40+1)^(FW$20)*((1+$K40)^(FW$20)))</f>
        <v>0</v>
      </c>
      <c r="FX40" s="200">
        <f>IF(AND($F40=1,$F12=0),'Allgemeine Unternehmensdaten'!$G$13*FX$22*$I12*($N40+1)^(FX$20)*((1+$K40)^(FX$20)),'Allgemeine Unternehmensdaten'!$G$13*FX22*$F12*$F40*($N40+1)^(FX$20)*((1+$K40)^(FX$20)))</f>
        <v>0</v>
      </c>
      <c r="FY40" s="200">
        <f>IF(AND($F40=1,$F12=0),'Allgemeine Unternehmensdaten'!$G$13*FY$22*$I12*($N40+1)^(FY$20)*((1+$K40)^(FY$20)),'Allgemeine Unternehmensdaten'!$G$13*FY22*$F12*$F40*($N40+1)^(FY$20)*((1+$K40)^(FY$20)))</f>
        <v>0</v>
      </c>
      <c r="FZ40" s="200">
        <f>IF(AND($F40=1,$F12=0),'Allgemeine Unternehmensdaten'!$G$13*FZ$22*$I12*($N40+1)^(FZ$20)*((1+$K40)^(FZ$20)),'Allgemeine Unternehmensdaten'!$G$13*FZ22*$F12*$F40*($N40+1)^(FZ$20)*((1+$K40)^(FZ$20)))</f>
        <v>0</v>
      </c>
      <c r="GA40" s="200">
        <f>IF(AND($F40=1,$F12=0),'Allgemeine Unternehmensdaten'!$G$13*GA$22*$I12*($N40+1)^(GA$20)*((1+$K40)^(GA$20)),'Allgemeine Unternehmensdaten'!$G$13*GA22*$F12*$F40*($N40+1)^(GA$20)*((1+$K40)^(GA$20)))</f>
        <v>0</v>
      </c>
      <c r="GB40" s="200">
        <f>IF(AND($F40=1,$F12=0),'Allgemeine Unternehmensdaten'!$G$13*GB$22*$I12*($N40+1)^(GB$20)*((1+$K40)^(GB$20)),'Allgemeine Unternehmensdaten'!$G$13*GB22*$F12*$F40*($N40+1)^(GB$20)*((1+$K40)^(GB$20)))</f>
        <v>0</v>
      </c>
    </row>
    <row r="41" spans="1:184" ht="17.25" customHeight="1" x14ac:dyDescent="0.5">
      <c r="A41" s="88"/>
      <c r="B41" s="323"/>
      <c r="C41" s="101" t="str">
        <f>"Mehrverbrauch "&amp;'Allgemeine Unternehmensdaten'!C30&amp;" in %"</f>
        <v>Mehrverbrauch Flexibler Kostenfaktor in %</v>
      </c>
      <c r="D41" s="191">
        <f t="array" ref="D41">IFERROR(_xlfn.IFS(D13&gt;=G13,0,D13=0,1),(G13-D13)/D13)</f>
        <v>0</v>
      </c>
      <c r="E41" s="191">
        <f t="array" ref="E41">IFERROR(_xlfn.IFS(E13&gt;=H13,0,E13=0,1),(H13-E13)/E13)</f>
        <v>0</v>
      </c>
      <c r="F41" s="191">
        <f t="array" ref="F41">IFERROR(_xlfn.IFS(F13&gt;=I13,0,F13=0,1),(I13-F13)/F13)</f>
        <v>0</v>
      </c>
      <c r="G41" s="171">
        <v>99</v>
      </c>
      <c r="H41" s="201">
        <v>99</v>
      </c>
      <c r="I41" s="154">
        <v>0</v>
      </c>
      <c r="J41" s="155">
        <v>0</v>
      </c>
      <c r="K41" s="156">
        <v>0</v>
      </c>
      <c r="L41" s="202">
        <f>'Allgemeine Unternehmensdaten'!$E$8</f>
        <v>0.04</v>
      </c>
      <c r="M41" s="165">
        <f>$E$7</f>
        <v>0.03</v>
      </c>
      <c r="N41" s="166">
        <f>$F$7</f>
        <v>0.05</v>
      </c>
      <c r="R41" s="199" t="str">
        <f t="shared" si="16"/>
        <v>Mehrverbrauch Flexibler Kostenfaktor in %</v>
      </c>
      <c r="S41" s="200">
        <f>IF(AND($E41=1,$E13=0),'Allgemeine Unternehmensdaten'!$E$30*S$22*$H13*($M41+1)^(S20)*((1+$J41)^(S$20)),'Allgemeine Unternehmensdaten'!$E$30*S22*$E13*$E41*($M41+1)^(S20)*((1+$J41)^(S$20)))</f>
        <v>0</v>
      </c>
      <c r="T41" s="200">
        <f>IF(AND($E41=1,$E13=0),'Allgemeine Unternehmensdaten'!$E$30*T$22*$H13*($M41+1)^(T20)*((1+$J41)^(T$20)),'Allgemeine Unternehmensdaten'!$E$30*T22*$E13*$E41*($M41+1)^(T20)*((1+$J41)^(T$20)))</f>
        <v>0</v>
      </c>
      <c r="U41" s="200">
        <f>IF(AND($E41=1,$E13=0),'Allgemeine Unternehmensdaten'!$E$30*U$22*$H13*($M41+1)^(U20)*((1+$J41)^(U$20)),'Allgemeine Unternehmensdaten'!$E$30*U22*$E13*$E41*($M41+1)^(U20)*((1+$J41)^(U$20)))</f>
        <v>0</v>
      </c>
      <c r="V41" s="200">
        <f>IF(AND($E41=1,$E13=0),'Allgemeine Unternehmensdaten'!$E$30*V$22*$H13*($M41+1)^(V20)*((1+$J41)^(V$20)),'Allgemeine Unternehmensdaten'!$E$30*V22*$E13*$E41*($M41+1)^(V20)*((1+$J41)^(V$20)))</f>
        <v>0</v>
      </c>
      <c r="W41" s="200">
        <f>IF(AND($E41=1,$E13=0),'Allgemeine Unternehmensdaten'!$E$30*W$22*$H13*($M41+1)^(W20)*((1+$J41)^(W$20)),'Allgemeine Unternehmensdaten'!$E$30*W22*$E13*$E41*($M41+1)^(W20)*((1+$J41)^(W$20)))</f>
        <v>0</v>
      </c>
      <c r="X41" s="200">
        <f>IF(AND($E41=1,$E13=0),'Allgemeine Unternehmensdaten'!$E$30*X$22*$H13*($M41+1)^(X20)*((1+$J41)^(X$20)),'Allgemeine Unternehmensdaten'!$E$30*X22*$E13*$E41*($M41+1)^(X20)*((1+$J41)^(X$20)))</f>
        <v>0</v>
      </c>
      <c r="Y41" s="200">
        <f>IF(AND($E41=1,$E13=0),'Allgemeine Unternehmensdaten'!$E$30*Y$22*$H13*($M41+1)^(Y20)*((1+$J41)^(Y$20)),'Allgemeine Unternehmensdaten'!$E$30*Y22*$E13*$E41*($M41+1)^(Y20)*((1+$J41)^(Y$20)))</f>
        <v>0</v>
      </c>
      <c r="Z41" s="200">
        <f>IF(AND($E41=1,$E13=0),'Allgemeine Unternehmensdaten'!$E$30*Z$22*$H13*($M41+1)^(Z20)*((1+$J41)^(Z$20)),'Allgemeine Unternehmensdaten'!$E$30*Z22*$E13*$E41*($M41+1)^(Z20)*((1+$J41)^(Z$20)))</f>
        <v>0</v>
      </c>
      <c r="AA41" s="200">
        <f>IF(AND($E41=1,$E13=0),'Allgemeine Unternehmensdaten'!$E$30*AA$22*$H13*($M41+1)^(AA20)*((1+$J41)^(AA$20)),'Allgemeine Unternehmensdaten'!$E$30*AA22*$E13*$E41*($M41+1)^(AA20)*((1+$J41)^(AA$20)))</f>
        <v>0</v>
      </c>
      <c r="AB41" s="200">
        <f>IF(AND($E41=1,$E13=0),'Allgemeine Unternehmensdaten'!$E$30*AB$22*$H13*($M41+1)^(AB20)*((1+$J41)^(AB$20)),'Allgemeine Unternehmensdaten'!$E$30*AB22*$E13*$E41*($M41+1)^(AB20)*((1+$J41)^(AB$20)))</f>
        <v>0</v>
      </c>
      <c r="AC41" s="200">
        <f>IF(AND($E41=1,$E13=0),'Allgemeine Unternehmensdaten'!$E$30*AC$22*$H13*($M41+1)^(AC20)*((1+$J41)^(AC$20)),'Allgemeine Unternehmensdaten'!$E$30*AC22*$E13*$E41*($M41+1)^(AC20)*((1+$J41)^(AC$20)))</f>
        <v>0</v>
      </c>
      <c r="AD41" s="200">
        <f>IF(AND($E41=1,$E13=0),'Allgemeine Unternehmensdaten'!$E$30*AD$22*$H13*($M41+1)^(AD20)*((1+$J41)^(AD$20)),'Allgemeine Unternehmensdaten'!$E$30*AD22*$E13*$E41*($M41+1)^(AD20)*((1+$J41)^(AD$20)))</f>
        <v>0</v>
      </c>
      <c r="AE41" s="200">
        <f>IF(AND($E41=1,$E13=0),'Allgemeine Unternehmensdaten'!$E$30*AE$22*$H13*($M41+1)^(AE20)*((1+$J41)^(AE$20)),'Allgemeine Unternehmensdaten'!$E$30*AE22*$E13*$E41*($M41+1)^(AE20)*((1+$J41)^(AE$20)))</f>
        <v>0</v>
      </c>
      <c r="AF41" s="200">
        <f>IF(AND($E41=1,$E13=0),'Allgemeine Unternehmensdaten'!$E$30*AF$22*$H13*($M41+1)^(AF20)*((1+$J41)^(AF$20)),'Allgemeine Unternehmensdaten'!$E$30*AF22*$E13*$E41*($M41+1)^(AF20)*((1+$J41)^(AF$20)))</f>
        <v>0</v>
      </c>
      <c r="AG41" s="200">
        <f>IF(AND($E41=1,$E13=0),'Allgemeine Unternehmensdaten'!$E$30*AG$22*$H13*($M41+1)^(AG20)*((1+$J41)^(AG$20)),'Allgemeine Unternehmensdaten'!$E$30*AG22*$E13*$E41*($M41+1)^(AG20)*((1+$J41)^(AG$20)))</f>
        <v>0</v>
      </c>
      <c r="AH41" s="200">
        <f>IF(AND($E41=1,$E13=0),'Allgemeine Unternehmensdaten'!$E$30*AH$22*$H13*($M41+1)^(AH20)*((1+$J41)^(AH$20)),'Allgemeine Unternehmensdaten'!$E$30*AH22*$E13*$E41*($M41+1)^(AH20)*((1+$J41)^(AH$20)))</f>
        <v>0</v>
      </c>
      <c r="AI41" s="200">
        <f>IF(AND($E41=1,$E13=0),'Allgemeine Unternehmensdaten'!$E$30*AI$22*$H13*($M41+1)^(AI20)*((1+$J41)^(AI$20)),'Allgemeine Unternehmensdaten'!$E$30*AI22*$E13*$E41*($M41+1)^(AI20)*((1+$J41)^(AI$20)))</f>
        <v>0</v>
      </c>
      <c r="AJ41" s="200">
        <f>IF(AND($E41=1,$E13=0),'Allgemeine Unternehmensdaten'!$E$30*AJ$22*$H13*($M41+1)^(AJ20)*((1+$J41)^(AJ$20)),'Allgemeine Unternehmensdaten'!$E$30*AJ22*$E13*$E41*($M41+1)^(AJ20)*((1+$J41)^(AJ$20)))</f>
        <v>0</v>
      </c>
      <c r="AK41" s="200">
        <f>IF(AND($E41=1,$E13=0),'Allgemeine Unternehmensdaten'!$E$30*AK$22*$H13*($M41+1)^(AK20)*((1+$J41)^(AK$20)),'Allgemeine Unternehmensdaten'!$E$30*AK22*$E13*$E41*($M41+1)^(AK20)*((1+$J41)^(AK$20)))</f>
        <v>0</v>
      </c>
      <c r="AL41" s="200">
        <f>IF(AND($E41=1,$E13=0),'Allgemeine Unternehmensdaten'!$E$30*AL$22*$H13*($M41+1)^(AL20)*((1+$J41)^(AL$20)),'Allgemeine Unternehmensdaten'!$E$30*AL22*$E13*$E41*($M41+1)^(AL20)*((1+$J41)^(AL$20)))</f>
        <v>0</v>
      </c>
      <c r="AM41" s="200">
        <f>IF(AND($E41=1,$E13=0),'Allgemeine Unternehmensdaten'!$E$30*AM$22*$H13*($M41+1)^(AM20)*((1+$J41)^(AM$20)),'Allgemeine Unternehmensdaten'!$E$30*AM22*$E13*$E41*($M41+1)^(AM20)*((1+$J41)^(AM$20)))</f>
        <v>0</v>
      </c>
      <c r="AN41" s="200">
        <f>IF(AND($E41=1,$E13=0),'Allgemeine Unternehmensdaten'!$E$30*AN$22*$H13*($M41+1)^(AN20)*((1+$J41)^(AN$20)),'Allgemeine Unternehmensdaten'!$E$30*AN22*$E13*$E41*($M41+1)^(AN20)*((1+$J41)^(AN$20)))</f>
        <v>0</v>
      </c>
      <c r="AO41" s="200">
        <f>IF(AND($E41=1,$E13=0),'Allgemeine Unternehmensdaten'!$E$30*AO$22*$H13*($M41+1)^(AO20)*((1+$J41)^(AO$20)),'Allgemeine Unternehmensdaten'!$E$30*AO22*$E13*$E41*($M41+1)^(AO20)*((1+$J41)^(AO$20)))</f>
        <v>0</v>
      </c>
      <c r="AP41" s="200">
        <f>IF(AND($E41=1,$E13=0),'Allgemeine Unternehmensdaten'!$E$30*AP$22*$H13*($M41+1)^(AP20)*((1+$J41)^(AP$20)),'Allgemeine Unternehmensdaten'!$E$30*AP22*$E13*$E41*($M41+1)^(AP20)*((1+$J41)^(AP$20)))</f>
        <v>0</v>
      </c>
      <c r="AQ41" s="200">
        <f>IF(AND($E41=1,$E13=0),'Allgemeine Unternehmensdaten'!$E$30*AQ$22*$H13*($M41+1)^(AQ20)*((1+$J41)^(AQ$20)),'Allgemeine Unternehmensdaten'!$E$30*AQ22*$E13*$E41*($M41+1)^(AQ20)*((1+$J41)^(AQ$20)))</f>
        <v>0</v>
      </c>
      <c r="AR41" s="200">
        <f>IF(AND($E41=1,$E13=0),'Allgemeine Unternehmensdaten'!$E$30*AR$22*$H13*($M41+1)^(AR20)*((1+$J41)^(AR$20)),'Allgemeine Unternehmensdaten'!$E$30*AR22*$E13*$E41*($M41+1)^(AR20)*((1+$J41)^(AR$20)))</f>
        <v>0</v>
      </c>
      <c r="AS41" s="200">
        <f>IF(AND($E41=1,$E13=0),'Allgemeine Unternehmensdaten'!$E$30*AS$22*$H13*($M41+1)^(AS20)*((1+$J41)^(AS$20)),'Allgemeine Unternehmensdaten'!$E$30*AS22*$E13*$E41*($M41+1)^(AS20)*((1+$J41)^(AS$20)))</f>
        <v>0</v>
      </c>
      <c r="AT41" s="200">
        <f>IF(AND($E41=1,$E13=0),'Allgemeine Unternehmensdaten'!$E$30*AT$22*$H13*($M41+1)^(AT20)*((1+$J41)^(AT$20)),'Allgemeine Unternehmensdaten'!$E$30*AT22*$E13*$E41*($M41+1)^(AT20)*((1+$J41)^(AT$20)))</f>
        <v>0</v>
      </c>
      <c r="AU41" s="200">
        <f>IF(AND($E41=1,$E13=0),'Allgemeine Unternehmensdaten'!$E$30*AU$22*$H13*($M41+1)^(AU20)*((1+$J41)^(AU$20)),'Allgemeine Unternehmensdaten'!$E$30*AU22*$E13*$E41*($M41+1)^(AU20)*((1+$J41)^(AU$20)))</f>
        <v>0</v>
      </c>
      <c r="AV41" s="200">
        <f>IF(AND($E41=1,$E13=0),'Allgemeine Unternehmensdaten'!$E$30*AV$22*$H13*($M41+1)^(AV20)*((1+$J41)^(AV$20)),'Allgemeine Unternehmensdaten'!$E$30*AV22*$E13*$E41*($M41+1)^(AV20)*((1+$J41)^(AV$20)))</f>
        <v>0</v>
      </c>
      <c r="AW41" s="200">
        <f>IF(AND($E41=1,$E13=0),'Allgemeine Unternehmensdaten'!$E$30*AW$22*$H13*($M41+1)^(AW20)*((1+$J41)^(AW$20)),'Allgemeine Unternehmensdaten'!$E$30*AW22*$E13*$E41*($M41+1)^(AW20)*((1+$J41)^(AW$20)))</f>
        <v>0</v>
      </c>
      <c r="AX41" s="200">
        <f>IF(AND($E41=1,$E13=0),'Allgemeine Unternehmensdaten'!$E$30*AX$22*$H13*($M41+1)^(AX20)*((1+$J41)^(AX$20)),'Allgemeine Unternehmensdaten'!$E$30*AX22*$E13*$E41*($M41+1)^(AX20)*((1+$J41)^(AX$20)))</f>
        <v>0</v>
      </c>
      <c r="AY41" s="200">
        <f>IF(AND($E41=1,$E13=0),'Allgemeine Unternehmensdaten'!$E$30*AY$22*$H13*($M41+1)^(AY20)*((1+$J41)^(AY$20)),'Allgemeine Unternehmensdaten'!$E$30*AY22*$E13*$E41*($M41+1)^(AY20)*((1+$J41)^(AY$20)))</f>
        <v>0</v>
      </c>
      <c r="AZ41" s="200">
        <f>IF(AND($E41=1,$E13=0),'Allgemeine Unternehmensdaten'!$E$30*AZ$22*$H13*($M41+1)^(AZ20)*((1+$J41)^(AZ$20)),'Allgemeine Unternehmensdaten'!$E$30*AZ22*$E13*$E41*($M41+1)^(AZ20)*((1+$J41)^(AZ$20)))</f>
        <v>0</v>
      </c>
      <c r="BA41" s="200">
        <f>IF(AND($E41=1,$E13=0),'Allgemeine Unternehmensdaten'!$E$30*BA$22*$H13*($M41+1)^(BA20)*((1+$J41)^(BA$20)),'Allgemeine Unternehmensdaten'!$E$30*BA22*$E13*$E41*($M41+1)^(BA20)*((1+$J41)^(BA$20)))</f>
        <v>0</v>
      </c>
      <c r="BB41" s="200">
        <f>IF(AND($E41=1,$E13=0),'Allgemeine Unternehmensdaten'!$E$30*BB$22*$H13*($M41+1)^(BB20)*((1+$J41)^(BB$20)),'Allgemeine Unternehmensdaten'!$E$30*BB22*$E13*$E41*($M41+1)^(BB20)*((1+$J41)^(BB$20)))</f>
        <v>0</v>
      </c>
      <c r="BC41" s="200">
        <f>IF(AND($E41=1,$E13=0),'Allgemeine Unternehmensdaten'!$E$30*BC$22*$H13*($M41+1)^(BC20)*((1+$J41)^(BC$20)),'Allgemeine Unternehmensdaten'!$E$30*BC22*$E13*$E41*($M41+1)^(BC20)*((1+$J41)^(BC$20)))</f>
        <v>0</v>
      </c>
      <c r="BD41" s="200">
        <f>IF(AND($E41=1,$E13=0),'Allgemeine Unternehmensdaten'!$E$30*BD$22*$H13*($M41+1)^(BD20)*((1+$J41)^(BD$20)),'Allgemeine Unternehmensdaten'!$E$30*BD22*$E13*$E41*($M41+1)^(BD20)*((1+$J41)^(BD$20)))</f>
        <v>0</v>
      </c>
      <c r="BE41" s="200">
        <f>IF(AND($E41=1,$E13=0),'Allgemeine Unternehmensdaten'!$E$30*BE$22*$H13*($M41+1)^(BE20)*((1+$J41)^(BE$20)),'Allgemeine Unternehmensdaten'!$E$30*BE22*$E13*$E41*($M41+1)^(BE20)*((1+$J41)^(BE$20)))</f>
        <v>0</v>
      </c>
      <c r="BF41" s="200">
        <f>IF(AND($E41=1,$E13=0),'Allgemeine Unternehmensdaten'!$E$30*BF$22*$H13*($M41+1)^(BF20)*((1+$J41)^(BF$20)),'Allgemeine Unternehmensdaten'!$E$30*BF22*$E13*$E41*($M41+1)^(BF20)*((1+$J41)^(BF$20)))</f>
        <v>0</v>
      </c>
      <c r="BG41" s="200">
        <f>IF(AND($E41=1,$E13=0),'Allgemeine Unternehmensdaten'!$E$30*BG$22*$H13*($M41+1)^(BG20)*((1+$J41)^(BG$20)),'Allgemeine Unternehmensdaten'!$E$30*BG22*$E13*$E41*($M41+1)^(BG20)*((1+$J41)^(BG$20)))</f>
        <v>0</v>
      </c>
      <c r="BH41" s="200">
        <f>IF(AND($E41=1,$E13=0),'Allgemeine Unternehmensdaten'!$E$30*BH$22*$H13*($M41+1)^(BH20)*((1+$J41)^(BH$20)),'Allgemeine Unternehmensdaten'!$E$30*BH22*$E13*$E41*($M41+1)^(BH20)*((1+$J41)^(BH$20)))</f>
        <v>0</v>
      </c>
      <c r="BI41" s="200">
        <f>IF(AND($E41=1,$E13=0),'Allgemeine Unternehmensdaten'!$E$30*BI$22*$H13*($M41+1)^(BI20)*((1+$J41)^(BI$20)),'Allgemeine Unternehmensdaten'!$E$30*BI22*$E13*$E41*($M41+1)^(BI20)*((1+$J41)^(BI$20)))</f>
        <v>0</v>
      </c>
      <c r="BJ41" s="200">
        <f>IF(AND($E41=1,$E13=0),'Allgemeine Unternehmensdaten'!$E$30*BJ$22*$H13*($M41+1)^(BJ20)*((1+$J41)^(BJ$20)),'Allgemeine Unternehmensdaten'!$E$30*BJ22*$E13*$E41*($M41+1)^(BJ20)*((1+$J41)^(BJ$20)))</f>
        <v>0</v>
      </c>
      <c r="BK41" s="200">
        <f>IF(AND($E41=1,$E13=0),'Allgemeine Unternehmensdaten'!$E$30*BK$22*$H13*($M41+1)^(BK20)*((1+$J41)^(BK$20)),'Allgemeine Unternehmensdaten'!$E$30*BK22*$E13*$E41*($M41+1)^(BK20)*((1+$J41)^(BK$20)))</f>
        <v>0</v>
      </c>
      <c r="BL41" s="200">
        <f>IF(AND($E41=1,$E13=0),'Allgemeine Unternehmensdaten'!$E$30*BL$22*$H13*($M41+1)^(BL20)*((1+$J41)^(BL$20)),'Allgemeine Unternehmensdaten'!$E$30*BL22*$E13*$E41*($M41+1)^(BL20)*((1+$J41)^(BL$20)))</f>
        <v>0</v>
      </c>
      <c r="BM41" s="200">
        <f>IF(AND($E41=1,$E13=0),'Allgemeine Unternehmensdaten'!$E$30*BM$22*$H13*($M41+1)^(BM20)*((1+$J41)^(BM$20)),'Allgemeine Unternehmensdaten'!$E$30*BM22*$E13*$E41*($M41+1)^(BM20)*((1+$J41)^(BM$20)))</f>
        <v>0</v>
      </c>
      <c r="BN41" s="200">
        <f>IF(AND($E41=1,$E13=0),'Allgemeine Unternehmensdaten'!$E$30*BN$22*$H13*($M41+1)^(BN20)*((1+$J41)^(BN$20)),'Allgemeine Unternehmensdaten'!$E$30*BN22*$E13*$E41*($M41+1)^(BN20)*((1+$J41)^(BN$20)))</f>
        <v>0</v>
      </c>
      <c r="BO41" s="200">
        <f>IF(AND($E41=1,$E13=0),'Allgemeine Unternehmensdaten'!$E$30*BO$22*$H13*($M41+1)^(BO20)*((1+$J41)^(BO$20)),'Allgemeine Unternehmensdaten'!$E$30*BO22*$E13*$E41*($M41+1)^(BO20)*((1+$J41)^(BO$20)))</f>
        <v>0</v>
      </c>
      <c r="BP41" s="200">
        <f>IF(AND($E41=1,$E13=0),'Allgemeine Unternehmensdaten'!$E$30*BP$22*$H13*($M41+1)^(BP20)*((1+$J41)^(BP$20)),'Allgemeine Unternehmensdaten'!$E$30*BP22*$E13*$E41*($M41+1)^(BP20)*((1+$J41)^(BP$20)))</f>
        <v>0</v>
      </c>
      <c r="BQ41" s="200">
        <f>IF(AND($E41=1,$E13=0),'Allgemeine Unternehmensdaten'!$E$30*BQ$22*$H13*($M41+1)^(BQ20)*((1+$J41)^(BQ$20)),'Allgemeine Unternehmensdaten'!$E$30*BQ22*$E13*$E41*($M41+1)^(BQ20)*((1+$J41)^(BQ$20)))</f>
        <v>0</v>
      </c>
      <c r="BR41" s="200">
        <f>IF(AND($E41=1,$E13=0),'Allgemeine Unternehmensdaten'!$E$30*BR$22*$H13*($M41+1)^(BR20)*((1+$J41)^(BR$20)),'Allgemeine Unternehmensdaten'!$E$30*BR22*$E13*$E41*($M41+1)^(BR20)*((1+$J41)^(BR$20)))</f>
        <v>0</v>
      </c>
      <c r="BS41" s="200">
        <f>IF(AND($E41=1,$E13=0),'Allgemeine Unternehmensdaten'!$E$30*BS$22*$H13*($M41+1)^(BS20)*((1+$J41)^(BS$20)),'Allgemeine Unternehmensdaten'!$E$30*BS22*$E13*$E41*($M41+1)^(BS20)*((1+$J41)^(BS$20)))</f>
        <v>0</v>
      </c>
      <c r="BT41" s="200">
        <f>IF(AND($E41=1,$E13=0),'Allgemeine Unternehmensdaten'!$E$30*BT$22*$H13*($M41+1)^(BT20)*((1+$J41)^(BT$20)),'Allgemeine Unternehmensdaten'!$E$30*BT22*$E13*$E41*($M41+1)^(BT20)*((1+$J41)^(BT$20)))</f>
        <v>0</v>
      </c>
      <c r="BV41" s="199" t="str">
        <f t="shared" si="19"/>
        <v>Mehrverbrauch Flexibler Kostenfaktor in %</v>
      </c>
      <c r="BW41" s="200">
        <f>IF(AND($D41=1,$D13=0),'Allgemeine Unternehmensdaten'!$E$30*BW$22*$G13*($L41+1)^(BW20)*((1+$I41)^(BW$20)),'Allgemeine Unternehmensdaten'!$E$30*BW22*$D13*$D41*($L41+1)^(BW20)*((1+$I41)^(BW$20)))</f>
        <v>0</v>
      </c>
      <c r="BX41" s="200">
        <f>IF(AND($D41=1,$D13=0),'Allgemeine Unternehmensdaten'!$E$30*BX$22*$G13*($L41+1)^(BX20)*((1+$I41)^(BX$20)),'Allgemeine Unternehmensdaten'!$E$30*BX22*$D13*$D41*($L41+1)^(BX20)*((1+$I41)^(BX$20)))</f>
        <v>0</v>
      </c>
      <c r="BY41" s="200">
        <f>IF(AND($D41=1,$D13=0),'Allgemeine Unternehmensdaten'!$E$30*BY$22*$G13*($L41+1)^(BY20)*((1+$I41)^(BY$20)),'Allgemeine Unternehmensdaten'!$E$30*BY22*$D13*$D41*($L41+1)^(BY20)*((1+$I41)^(BY$20)))</f>
        <v>0</v>
      </c>
      <c r="BZ41" s="200">
        <f>IF(AND($D41=1,$D13=0),'Allgemeine Unternehmensdaten'!$E$30*BZ$22*$G13*($L41+1)^(BZ20)*((1+$I41)^(BZ$20)),'Allgemeine Unternehmensdaten'!$E$30*BZ22*$D13*$D41*($L41+1)^(BZ20)*((1+$I41)^(BZ$20)))</f>
        <v>0</v>
      </c>
      <c r="CA41" s="200">
        <f>IF(AND($D41=1,$D13=0),'Allgemeine Unternehmensdaten'!$E$30*CA$22*$G13*($L41+1)^(CA20)*((1+$I41)^(CA$20)),'Allgemeine Unternehmensdaten'!$E$30*CA22*$D13*$D41*($L41+1)^(CA20)*((1+$I41)^(CA$20)))</f>
        <v>0</v>
      </c>
      <c r="CB41" s="200">
        <f>IF(AND($D41=1,$D13=0),'Allgemeine Unternehmensdaten'!$E$30*CB$22*$G13*($L41+1)^(CB20)*((1+$I41)^(CB$20)),'Allgemeine Unternehmensdaten'!$E$30*CB22*$D13*$D41*($L41+1)^(CB20)*((1+$I41)^(CB$20)))</f>
        <v>0</v>
      </c>
      <c r="CC41" s="200">
        <f>IF(AND($D41=1,$D13=0),'Allgemeine Unternehmensdaten'!$E$30*CC$22*$G13*($L41+1)^(CC20)*((1+$I41)^(CC$20)),'Allgemeine Unternehmensdaten'!$E$30*CC22*$D13*$D41*($L41+1)^(CC20)*((1+$I41)^(CC$20)))</f>
        <v>0</v>
      </c>
      <c r="CD41" s="200">
        <f>IF(AND($D41=1,$D13=0),'Allgemeine Unternehmensdaten'!$E$30*CD$22*$G13*($L41+1)^(CD20)*((1+$I41)^(CD$20)),'Allgemeine Unternehmensdaten'!$E$30*CD22*$D13*$D41*($L41+1)^(CD20)*((1+$I41)^(CD$20)))</f>
        <v>0</v>
      </c>
      <c r="CE41" s="200">
        <f>IF(AND($D41=1,$D13=0),'Allgemeine Unternehmensdaten'!$E$30*CE$22*$G13*($L41+1)^(CE20)*((1+$I41)^(CE$20)),'Allgemeine Unternehmensdaten'!$E$30*CE22*$D13*$D41*($L41+1)^(CE20)*((1+$I41)^(CE$20)))</f>
        <v>0</v>
      </c>
      <c r="CF41" s="200">
        <f>IF(AND($D41=1,$D13=0),'Allgemeine Unternehmensdaten'!$E$30*CF$22*$G13*($L41+1)^(CF20)*((1+$I41)^(CF$20)),'Allgemeine Unternehmensdaten'!$E$30*CF22*$D13*$D41*($L41+1)^(CF20)*((1+$I41)^(CF$20)))</f>
        <v>0</v>
      </c>
      <c r="CG41" s="200">
        <f>IF(AND($D41=1,$D13=0),'Allgemeine Unternehmensdaten'!$E$30*CG$22*$G13*($L41+1)^(CG20)*((1+$I41)^(CG$20)),'Allgemeine Unternehmensdaten'!$E$30*CG22*$D13*$D41*($L41+1)^(CG20)*((1+$I41)^(CG$20)))</f>
        <v>0</v>
      </c>
      <c r="CH41" s="200">
        <f>IF(AND($D41=1,$D13=0),'Allgemeine Unternehmensdaten'!$E$30*CH$22*$G13*($L41+1)^(CH20)*((1+$I41)^(CH$20)),'Allgemeine Unternehmensdaten'!$E$30*CH22*$D13*$D41*($L41+1)^(CH20)*((1+$I41)^(CH$20)))</f>
        <v>0</v>
      </c>
      <c r="CI41" s="200">
        <f>IF(AND($D41=1,$D13=0),'Allgemeine Unternehmensdaten'!$E$30*CI$22*$G13*($L41+1)^(CI20)*((1+$I41)^(CI$20)),'Allgemeine Unternehmensdaten'!$E$30*CI22*$D13*$D41*($L41+1)^(CI20)*((1+$I41)^(CI$20)))</f>
        <v>0</v>
      </c>
      <c r="CJ41" s="200">
        <f>IF(AND($D41=1,$D13=0),'Allgemeine Unternehmensdaten'!$E$30*CJ$22*$G13*($L41+1)^(CJ20)*((1+$I41)^(CJ$20)),'Allgemeine Unternehmensdaten'!$E$30*CJ22*$D13*$D41*($L41+1)^(CJ20)*((1+$I41)^(CJ$20)))</f>
        <v>0</v>
      </c>
      <c r="CK41" s="200">
        <f>IF(AND($D41=1,$D13=0),'Allgemeine Unternehmensdaten'!$E$30*CK$22*$G13*($L41+1)^(CK20)*((1+$I41)^(CK$20)),'Allgemeine Unternehmensdaten'!$E$30*CK22*$D13*$D41*($L41+1)^(CK20)*((1+$I41)^(CK$20)))</f>
        <v>0</v>
      </c>
      <c r="CL41" s="200">
        <f>IF(AND($D41=1,$D13=0),'Allgemeine Unternehmensdaten'!$E$30*CL$22*$G13*($L41+1)^(CL20)*((1+$I41)^(CL$20)),'Allgemeine Unternehmensdaten'!$E$30*CL22*$D13*$D41*($L41+1)^(CL20)*((1+$I41)^(CL$20)))</f>
        <v>0</v>
      </c>
      <c r="CM41" s="200">
        <f>IF(AND($D41=1,$D13=0),'Allgemeine Unternehmensdaten'!$E$30*CM$22*$G13*($L41+1)^(CM20)*((1+$I41)^(CM$20)),'Allgemeine Unternehmensdaten'!$E$30*CM22*$D13*$D41*($L41+1)^(CM20)*((1+$I41)^(CM$20)))</f>
        <v>0</v>
      </c>
      <c r="CN41" s="200">
        <f>IF(AND($D41=1,$D13=0),'Allgemeine Unternehmensdaten'!$E$30*CN$22*$G13*($L41+1)^(CN20)*((1+$I41)^(CN$20)),'Allgemeine Unternehmensdaten'!$E$30*CN22*$D13*$D41*($L41+1)^(CN20)*((1+$I41)^(CN$20)))</f>
        <v>0</v>
      </c>
      <c r="CO41" s="200">
        <f>IF(AND($D41=1,$D13=0),'Allgemeine Unternehmensdaten'!$E$30*CO$22*$G13*($L41+1)^(CO20)*((1+$I41)^(CO$20)),'Allgemeine Unternehmensdaten'!$E$30*CO22*$D13*$D41*($L41+1)^(CO20)*((1+$I41)^(CO$20)))</f>
        <v>0</v>
      </c>
      <c r="CP41" s="200">
        <f>IF(AND($D41=1,$D13=0),'Allgemeine Unternehmensdaten'!$E$30*CP$22*$G13*($L41+1)^(CP20)*((1+$I41)^(CP$20)),'Allgemeine Unternehmensdaten'!$E$30*CP22*$D13*$D41*($L41+1)^(CP20)*((1+$I41)^(CP$20)))</f>
        <v>0</v>
      </c>
      <c r="CQ41" s="200">
        <f>IF(AND($D41=1,$D13=0),'Allgemeine Unternehmensdaten'!$E$30*CQ$22*$G13*($L41+1)^(CQ20)*((1+$I41)^(CQ$20)),'Allgemeine Unternehmensdaten'!$E$30*CQ22*$D13*$D41*($L41+1)^(CQ20)*((1+$I41)^(CQ$20)))</f>
        <v>0</v>
      </c>
      <c r="CR41" s="200">
        <f>IF(AND($D41=1,$D13=0),'Allgemeine Unternehmensdaten'!$E$30*CR$22*$G13*($L41+1)^(CR20)*((1+$I41)^(CR$20)),'Allgemeine Unternehmensdaten'!$E$30*CR22*$D13*$D41*($L41+1)^(CR20)*((1+$I41)^(CR$20)))</f>
        <v>0</v>
      </c>
      <c r="CS41" s="200">
        <f>IF(AND($D41=1,$D13=0),'Allgemeine Unternehmensdaten'!$E$30*CS$22*$G13*($L41+1)^(CS20)*((1+$I41)^(CS$20)),'Allgemeine Unternehmensdaten'!$E$30*CS22*$D13*$D41*($L41+1)^(CS20)*((1+$I41)^(CS$20)))</f>
        <v>0</v>
      </c>
      <c r="CT41" s="200">
        <f>IF(AND($D41=1,$D13=0),'Allgemeine Unternehmensdaten'!$E$30*CT$22*$G13*($L41+1)^(CT20)*((1+$I41)^(CT$20)),'Allgemeine Unternehmensdaten'!$E$30*CT22*$D13*$D41*($L41+1)^(CT20)*((1+$I41)^(CT$20)))</f>
        <v>0</v>
      </c>
      <c r="CU41" s="200">
        <f>IF(AND($D41=1,$D13=0),'Allgemeine Unternehmensdaten'!$E$30*CU$22*$G13*($L41+1)^(CU20)*((1+$I41)^(CU$20)),'Allgemeine Unternehmensdaten'!$E$30*CU22*$D13*$D41*($L41+1)^(CU20)*((1+$I41)^(CU$20)))</f>
        <v>0</v>
      </c>
      <c r="CV41" s="200">
        <f>IF(AND($D41=1,$D13=0),'Allgemeine Unternehmensdaten'!$E$30*CV$22*$G13*($L41+1)^(CV20)*((1+$I41)^(CV$20)),'Allgemeine Unternehmensdaten'!$E$30*CV22*$D13*$D41*($L41+1)^(CV20)*((1+$I41)^(CV$20)))</f>
        <v>0</v>
      </c>
      <c r="CW41" s="200">
        <f>IF(AND($D41=1,$D13=0),'Allgemeine Unternehmensdaten'!$E$30*CW$22*$G13*($L41+1)^(CW20)*((1+$I41)^(CW$20)),'Allgemeine Unternehmensdaten'!$E$30*CW22*$D13*$D41*($L41+1)^(CW20)*((1+$I41)^(CW$20)))</f>
        <v>0</v>
      </c>
      <c r="CX41" s="200">
        <f>IF(AND($D41=1,$D13=0),'Allgemeine Unternehmensdaten'!$E$30*CX$22*$G13*($L41+1)^(CX20)*((1+$I41)^(CX$20)),'Allgemeine Unternehmensdaten'!$E$30*CX22*$D13*$D41*($L41+1)^(CX20)*((1+$I41)^(CX$20)))</f>
        <v>0</v>
      </c>
      <c r="CY41" s="200">
        <f>IF(AND($D41=1,$D13=0),'Allgemeine Unternehmensdaten'!$E$30*CY$22*$G13*($L41+1)^(CY20)*((1+$I41)^(CY$20)),'Allgemeine Unternehmensdaten'!$E$30*CY22*$D13*$D41*($L41+1)^(CY20)*((1+$I41)^(CY$20)))</f>
        <v>0</v>
      </c>
      <c r="CZ41" s="200">
        <f>IF(AND($D41=1,$D13=0),'Allgemeine Unternehmensdaten'!$E$30*CZ$22*$G13*($L41+1)^(CZ20)*((1+$I41)^(CZ$20)),'Allgemeine Unternehmensdaten'!$E$30*CZ22*$D13*$D41*($L41+1)^(CZ20)*((1+$I41)^(CZ$20)))</f>
        <v>0</v>
      </c>
      <c r="DA41" s="200">
        <f>IF(AND($D41=1,$D13=0),'Allgemeine Unternehmensdaten'!$E$30*DA$22*$G13*($L41+1)^(DA20)*((1+$I41)^(DA$20)),'Allgemeine Unternehmensdaten'!$E$30*DA22*$D13*$D41*($L41+1)^(DA20)*((1+$I41)^(DA$20)))</f>
        <v>0</v>
      </c>
      <c r="DB41" s="200">
        <f>IF(AND($D41=1,$D13=0),'Allgemeine Unternehmensdaten'!$E$30*DB$22*$G13*($L41+1)^(DB20)*((1+$I41)^(DB$20)),'Allgemeine Unternehmensdaten'!$E$30*DB22*$D13*$D41*($L41+1)^(DB20)*((1+$I41)^(DB$20)))</f>
        <v>0</v>
      </c>
      <c r="DC41" s="200">
        <f>IF(AND($D41=1,$D13=0),'Allgemeine Unternehmensdaten'!$E$30*DC$22*$G13*($L41+1)^(DC20)*((1+$I41)^(DC$20)),'Allgemeine Unternehmensdaten'!$E$30*DC22*$D13*$D41*($L41+1)^(DC20)*((1+$I41)^(DC$20)))</f>
        <v>0</v>
      </c>
      <c r="DD41" s="200">
        <f>IF(AND($D41=1,$D13=0),'Allgemeine Unternehmensdaten'!$E$30*DD$22*$G13*($L41+1)^(DD20)*((1+$I41)^(DD$20)),'Allgemeine Unternehmensdaten'!$E$30*DD22*$D13*$D41*($L41+1)^(DD20)*((1+$I41)^(DD$20)))</f>
        <v>0</v>
      </c>
      <c r="DE41" s="200">
        <f>IF(AND($D41=1,$D13=0),'Allgemeine Unternehmensdaten'!$E$30*DE$22*$G13*($L41+1)^(DE20)*((1+$I41)^(DE$20)),'Allgemeine Unternehmensdaten'!$E$30*DE22*$D13*$D41*($L41+1)^(DE20)*((1+$I41)^(DE$20)))</f>
        <v>0</v>
      </c>
      <c r="DF41" s="200">
        <f>IF(AND($D41=1,$D13=0),'Allgemeine Unternehmensdaten'!$E$30*DF$22*$G13*($L41+1)^(DF20)*((1+$I41)^(DF$20)),'Allgemeine Unternehmensdaten'!$E$30*DF22*$D13*$D41*($L41+1)^(DF20)*((1+$I41)^(DF$20)))</f>
        <v>0</v>
      </c>
      <c r="DG41" s="200">
        <f>IF(AND($D41=1,$D13=0),'Allgemeine Unternehmensdaten'!$E$30*DG$22*$G13*($L41+1)^(DG20)*((1+$I41)^(DG$20)),'Allgemeine Unternehmensdaten'!$E$30*DG22*$D13*$D41*($L41+1)^(DG20)*((1+$I41)^(DG$20)))</f>
        <v>0</v>
      </c>
      <c r="DH41" s="200">
        <f>IF(AND($D41=1,$D13=0),'Allgemeine Unternehmensdaten'!$E$30*DH$22*$G13*($L41+1)^(DH20)*((1+$I41)^(DH$20)),'Allgemeine Unternehmensdaten'!$E$30*DH22*$D13*$D41*($L41+1)^(DH20)*((1+$I41)^(DH$20)))</f>
        <v>0</v>
      </c>
      <c r="DI41" s="200">
        <f>IF(AND($D41=1,$D13=0),'Allgemeine Unternehmensdaten'!$E$30*DI$22*$G13*($L41+1)^(DI20)*((1+$I41)^(DI$20)),'Allgemeine Unternehmensdaten'!$E$30*DI22*$D13*$D41*($L41+1)^(DI20)*((1+$I41)^(DI$20)))</f>
        <v>0</v>
      </c>
      <c r="DJ41" s="200">
        <f>IF(AND($D41=1,$D13=0),'Allgemeine Unternehmensdaten'!$E$30*DJ$22*$G13*($L41+1)^(DJ20)*((1+$I41)^(DJ$20)),'Allgemeine Unternehmensdaten'!$E$30*DJ22*$D13*$D41*($L41+1)^(DJ20)*((1+$I41)^(DJ$20)))</f>
        <v>0</v>
      </c>
      <c r="DK41" s="200">
        <f>IF(AND($D41=1,$D13=0),'Allgemeine Unternehmensdaten'!$E$30*DK$22*$G13*($L41+1)^(DK20)*((1+$I41)^(DK$20)),'Allgemeine Unternehmensdaten'!$E$30*DK22*$D13*$D41*($L41+1)^(DK20)*((1+$I41)^(DK$20)))</f>
        <v>0</v>
      </c>
      <c r="DL41" s="200">
        <f>IF(AND($D41=1,$D13=0),'Allgemeine Unternehmensdaten'!$E$30*DL$22*$G13*($L41+1)^(DL20)*((1+$I41)^(DL$20)),'Allgemeine Unternehmensdaten'!$E$30*DL22*$D13*$D41*($L41+1)^(DL20)*((1+$I41)^(DL$20)))</f>
        <v>0</v>
      </c>
      <c r="DM41" s="200">
        <f>IF(AND($D41=1,$D13=0),'Allgemeine Unternehmensdaten'!$E$30*DM$22*$G13*($L41+1)^(DM20)*((1+$I41)^(DM$20)),'Allgemeine Unternehmensdaten'!$E$30*DM22*$D13*$D41*($L41+1)^(DM20)*((1+$I41)^(DM$20)))</f>
        <v>0</v>
      </c>
      <c r="DN41" s="200">
        <f>IF(AND($D41=1,$D13=0),'Allgemeine Unternehmensdaten'!$E$30*DN$22*$G13*($L41+1)^(DN20)*((1+$I41)^(DN$20)),'Allgemeine Unternehmensdaten'!$E$30*DN22*$D13*$D41*($L41+1)^(DN20)*((1+$I41)^(DN$20)))</f>
        <v>0</v>
      </c>
      <c r="DO41" s="200">
        <f>IF(AND($D41=1,$D13=0),'Allgemeine Unternehmensdaten'!$E$30*DO$22*$G13*($L41+1)^(DO20)*((1+$I41)^(DO$20)),'Allgemeine Unternehmensdaten'!$E$30*DO22*$D13*$D41*($L41+1)^(DO20)*((1+$I41)^(DO$20)))</f>
        <v>0</v>
      </c>
      <c r="DP41" s="200">
        <f>IF(AND($D41=1,$D13=0),'Allgemeine Unternehmensdaten'!$E$30*DP$22*$G13*($L41+1)^(DP20)*((1+$I41)^(DP$20)),'Allgemeine Unternehmensdaten'!$E$30*DP22*$D13*$D41*($L41+1)^(DP20)*((1+$I41)^(DP$20)))</f>
        <v>0</v>
      </c>
      <c r="DQ41" s="200">
        <f>IF(AND($D41=1,$D13=0),'Allgemeine Unternehmensdaten'!$E$30*DQ$22*$G13*($L41+1)^(DQ20)*((1+$I41)^(DQ$20)),'Allgemeine Unternehmensdaten'!$E$30*DQ22*$D13*$D41*($L41+1)^(DQ20)*((1+$I41)^(DQ$20)))</f>
        <v>0</v>
      </c>
      <c r="DR41" s="200">
        <f>IF(AND($D41=1,$D13=0),'Allgemeine Unternehmensdaten'!$E$30*DR$22*$G13*($L41+1)^(DR20)*((1+$I41)^(DR$20)),'Allgemeine Unternehmensdaten'!$E$30*DR22*$D13*$D41*($L41+1)^(DR20)*((1+$I41)^(DR$20)))</f>
        <v>0</v>
      </c>
      <c r="DS41" s="200">
        <f>IF(AND($D41=1,$D13=0),'Allgemeine Unternehmensdaten'!$E$30*DS$22*$G13*($L41+1)^(DS20)*((1+$I41)^(DS$20)),'Allgemeine Unternehmensdaten'!$E$30*DS22*$D13*$D41*($L41+1)^(DS20)*((1+$I41)^(DS$20)))</f>
        <v>0</v>
      </c>
      <c r="DT41" s="200">
        <f>IF(AND($D41=1,$D13=0),'Allgemeine Unternehmensdaten'!$E$30*DT$22*$G13*($L41+1)^(DT20)*((1+$I41)^(DT$20)),'Allgemeine Unternehmensdaten'!$E$30*DT22*$D13*$D41*($L41+1)^(DT20)*((1+$I41)^(DT$20)))</f>
        <v>0</v>
      </c>
      <c r="DU41" s="200">
        <f>IF(AND($D41=1,$D13=0),'Allgemeine Unternehmensdaten'!$E$30*DU$22*$G13*($L41+1)^(DU20)*((1+$I41)^(DU$20)),'Allgemeine Unternehmensdaten'!$E$30*DU22*$D13*$D41*($L41+1)^(DU20)*((1+$I41)^(DU$20)))</f>
        <v>0</v>
      </c>
      <c r="DV41" s="200">
        <f>IF(AND($D41=1,$D13=0),'Allgemeine Unternehmensdaten'!$E$30*DV$22*$G13*($L41+1)^(DV20)*((1+$I41)^(DV$20)),'Allgemeine Unternehmensdaten'!$E$30*DV22*$D13*$D41*($L41+1)^(DV20)*((1+$I41)^(DV$20)))</f>
        <v>0</v>
      </c>
      <c r="DW41" s="200">
        <f>IF(AND($D41=1,$D13=0),'Allgemeine Unternehmensdaten'!$E$30*DW$22*$G13*($L41+1)^(DW20)*((1+$I41)^(DW$20)),'Allgemeine Unternehmensdaten'!$E$30*DW22*$D13*$D41*($L41+1)^(DW20)*((1+$I41)^(DW$20)))</f>
        <v>0</v>
      </c>
      <c r="DX41" s="200">
        <f>IF(AND($D41=1,$D13=0),'Allgemeine Unternehmensdaten'!$E$30*DX$22*$G13*($L41+1)^(DX20)*((1+$I41)^(DX$20)),'Allgemeine Unternehmensdaten'!$E$30*DX22*$D13*$D41*($L41+1)^(DX20)*((1+$I41)^(DX$20)))</f>
        <v>0</v>
      </c>
      <c r="DZ41" s="199" t="str">
        <f t="shared" si="22"/>
        <v>Mehrverbrauch Flexibler Kostenfaktor in %</v>
      </c>
      <c r="EA41" s="200">
        <f>IF(AND($F41=1,$F13=0),'Allgemeine Unternehmensdaten'!$E$30*EA$22*$I13*($N41+1)^(EA20)*((1+$K41)^(EA$20)),'Allgemeine Unternehmensdaten'!$E$30*EA22*$F13*$F41*($N41+1)^(EA20)*((1+$K41)^(EA$20)))</f>
        <v>0</v>
      </c>
      <c r="EB41" s="200">
        <f>IF(AND($F41=1,$F13=0),'Allgemeine Unternehmensdaten'!$E$30*EB$22*$I13*($N41+1)^(EB20)*((1+$K41)^(EB$20)),'Allgemeine Unternehmensdaten'!$E$30*EB22*$F13*$F41*($N41+1)^(EB20)*((1+$K41)^(EB$20)))</f>
        <v>0</v>
      </c>
      <c r="EC41" s="200">
        <f>IF(AND($F41=1,$F13=0),'Allgemeine Unternehmensdaten'!$E$30*EC$22*$I13*($N41+1)^(EC20)*((1+$K41)^(EC$20)),'Allgemeine Unternehmensdaten'!$E$30*EC22*$F13*$F41*($N41+1)^(EC20)*((1+$K41)^(EC$20)))</f>
        <v>0</v>
      </c>
      <c r="ED41" s="200">
        <f>IF(AND($F41=1,$F13=0),'Allgemeine Unternehmensdaten'!$E$30*ED$22*$I13*($N41+1)^(ED20)*((1+$K41)^(ED$20)),'Allgemeine Unternehmensdaten'!$E$30*ED22*$F13*$F41*($N41+1)^(ED20)*((1+$K41)^(ED$20)))</f>
        <v>0</v>
      </c>
      <c r="EE41" s="200">
        <f>IF(AND($F41=1,$F13=0),'Allgemeine Unternehmensdaten'!$E$30*EE$22*$I13*($N41+1)^(EE20)*((1+$K41)^(EE$20)),'Allgemeine Unternehmensdaten'!$E$30*EE22*$F13*$F41*($N41+1)^(EE20)*((1+$K41)^(EE$20)))</f>
        <v>0</v>
      </c>
      <c r="EF41" s="200">
        <f>IF(AND($F41=1,$F13=0),'Allgemeine Unternehmensdaten'!$E$30*EF$22*$I13*($N41+1)^(EF20)*((1+$K41)^(EF$20)),'Allgemeine Unternehmensdaten'!$E$30*EF22*$F13*$F41*($N41+1)^(EF20)*((1+$K41)^(EF$20)))</f>
        <v>0</v>
      </c>
      <c r="EG41" s="200">
        <f>IF(AND($F41=1,$F13=0),'Allgemeine Unternehmensdaten'!$E$30*EG$22*$I13*($N41+1)^(EG20)*((1+$K41)^(EG$20)),'Allgemeine Unternehmensdaten'!$E$30*EG22*$F13*$F41*($N41+1)^(EG20)*((1+$K41)^(EG$20)))</f>
        <v>0</v>
      </c>
      <c r="EH41" s="200">
        <f>IF(AND($F41=1,$F13=0),'Allgemeine Unternehmensdaten'!$E$30*EH$22*$I13*($N41+1)^(EH20)*((1+$K41)^(EH$20)),'Allgemeine Unternehmensdaten'!$E$30*EH22*$F13*$F41*($N41+1)^(EH20)*((1+$K41)^(EH$20)))</f>
        <v>0</v>
      </c>
      <c r="EI41" s="200">
        <f>IF(AND($F41=1,$F13=0),'Allgemeine Unternehmensdaten'!$E$30*EI$22*$I13*($N41+1)^(EI20)*((1+$K41)^(EI$20)),'Allgemeine Unternehmensdaten'!$E$30*EI22*$F13*$F41*($N41+1)^(EI20)*((1+$K41)^(EI$20)))</f>
        <v>0</v>
      </c>
      <c r="EJ41" s="200">
        <f>IF(AND($F41=1,$F13=0),'Allgemeine Unternehmensdaten'!$E$30*EJ$22*$I13*($N41+1)^(EJ20)*((1+$K41)^(EJ$20)),'Allgemeine Unternehmensdaten'!$E$30*EJ22*$F13*$F41*($N41+1)^(EJ20)*((1+$K41)^(EJ$20)))</f>
        <v>0</v>
      </c>
      <c r="EK41" s="200">
        <f>IF(AND($F41=1,$F13=0),'Allgemeine Unternehmensdaten'!$E$30*EK$22*$I13*($N41+1)^(EK20)*((1+$K41)^(EK$20)),'Allgemeine Unternehmensdaten'!$E$30*EK22*$F13*$F41*($N41+1)^(EK20)*((1+$K41)^(EK$20)))</f>
        <v>0</v>
      </c>
      <c r="EL41" s="200">
        <f>IF(AND($F41=1,$F13=0),'Allgemeine Unternehmensdaten'!$E$30*EL$22*$I13*($N41+1)^(EL20)*((1+$K41)^(EL$20)),'Allgemeine Unternehmensdaten'!$E$30*EL22*$F13*$F41*($N41+1)^(EL20)*((1+$K41)^(EL$20)))</f>
        <v>0</v>
      </c>
      <c r="EM41" s="200">
        <f>IF(AND($F41=1,$F13=0),'Allgemeine Unternehmensdaten'!$E$30*EM$22*$I13*($N41+1)^(EM20)*((1+$K41)^(EM$20)),'Allgemeine Unternehmensdaten'!$E$30*EM22*$F13*$F41*($N41+1)^(EM20)*((1+$K41)^(EM$20)))</f>
        <v>0</v>
      </c>
      <c r="EN41" s="200">
        <f>IF(AND($F41=1,$F13=0),'Allgemeine Unternehmensdaten'!$E$30*EN$22*$I13*($N41+1)^(EN20)*((1+$K41)^(EN$20)),'Allgemeine Unternehmensdaten'!$E$30*EN22*$F13*$F41*($N41+1)^(EN20)*((1+$K41)^(EN$20)))</f>
        <v>0</v>
      </c>
      <c r="EO41" s="200">
        <f>IF(AND($F41=1,$F13=0),'Allgemeine Unternehmensdaten'!$E$30*EO$22*$I13*($N41+1)^(EO20)*((1+$K41)^(EO$20)),'Allgemeine Unternehmensdaten'!$E$30*EO22*$F13*$F41*($N41+1)^(EO20)*((1+$K41)^(EO$20)))</f>
        <v>0</v>
      </c>
      <c r="EP41" s="200">
        <f>IF(AND($F41=1,$F13=0),'Allgemeine Unternehmensdaten'!$E$30*EP$22*$I13*($N41+1)^(EP20)*((1+$K41)^(EP$20)),'Allgemeine Unternehmensdaten'!$E$30*EP22*$F13*$F41*($N41+1)^(EP20)*((1+$K41)^(EP$20)))</f>
        <v>0</v>
      </c>
      <c r="EQ41" s="200">
        <f>IF(AND($F41=1,$F13=0),'Allgemeine Unternehmensdaten'!$E$30*EQ$22*$I13*($N41+1)^(EQ20)*((1+$K41)^(EQ$20)),'Allgemeine Unternehmensdaten'!$E$30*EQ22*$F13*$F41*($N41+1)^(EQ20)*((1+$K41)^(EQ$20)))</f>
        <v>0</v>
      </c>
      <c r="ER41" s="200">
        <f>IF(AND($F41=1,$F13=0),'Allgemeine Unternehmensdaten'!$E$30*ER$22*$I13*($N41+1)^(ER20)*((1+$K41)^(ER$20)),'Allgemeine Unternehmensdaten'!$E$30*ER22*$F13*$F41*($N41+1)^(ER20)*((1+$K41)^(ER$20)))</f>
        <v>0</v>
      </c>
      <c r="ES41" s="200">
        <f>IF(AND($F41=1,$F13=0),'Allgemeine Unternehmensdaten'!$E$30*ES$22*$I13*($N41+1)^(ES20)*((1+$K41)^(ES$20)),'Allgemeine Unternehmensdaten'!$E$30*ES22*$F13*$F41*($N41+1)^(ES20)*((1+$K41)^(ES$20)))</f>
        <v>0</v>
      </c>
      <c r="ET41" s="200">
        <f>IF(AND($F41=1,$F13=0),'Allgemeine Unternehmensdaten'!$E$30*ET$22*$I13*($N41+1)^(ET20)*((1+$K41)^(ET$20)),'Allgemeine Unternehmensdaten'!$E$30*ET22*$F13*$F41*($N41+1)^(ET20)*((1+$K41)^(ET$20)))</f>
        <v>0</v>
      </c>
      <c r="EU41" s="200">
        <f>IF(AND($F41=1,$F13=0),'Allgemeine Unternehmensdaten'!$E$30*EU$22*$I13*($N41+1)^(EU20)*((1+$K41)^(EU$20)),'Allgemeine Unternehmensdaten'!$E$30*EU22*$F13*$F41*($N41+1)^(EU20)*((1+$K41)^(EU$20)))</f>
        <v>0</v>
      </c>
      <c r="EV41" s="200">
        <f>IF(AND($F41=1,$F13=0),'Allgemeine Unternehmensdaten'!$E$30*EV$22*$I13*($N41+1)^(EV20)*((1+$K41)^(EV$20)),'Allgemeine Unternehmensdaten'!$E$30*EV22*$F13*$F41*($N41+1)^(EV20)*((1+$K41)^(EV$20)))</f>
        <v>0</v>
      </c>
      <c r="EW41" s="200">
        <f>IF(AND($F41=1,$F13=0),'Allgemeine Unternehmensdaten'!$E$30*EW$22*$I13*($N41+1)^(EW20)*((1+$K41)^(EW$20)),'Allgemeine Unternehmensdaten'!$E$30*EW22*$F13*$F41*($N41+1)^(EW20)*((1+$K41)^(EW$20)))</f>
        <v>0</v>
      </c>
      <c r="EX41" s="200">
        <f>IF(AND($F41=1,$F13=0),'Allgemeine Unternehmensdaten'!$E$30*EX$22*$I13*($N41+1)^(EX20)*((1+$K41)^(EX$20)),'Allgemeine Unternehmensdaten'!$E$30*EX22*$F13*$F41*($N41+1)^(EX20)*((1+$K41)^(EX$20)))</f>
        <v>0</v>
      </c>
      <c r="EY41" s="200">
        <f>IF(AND($F41=1,$F13=0),'Allgemeine Unternehmensdaten'!$E$30*EY$22*$I13*($N41+1)^(EY20)*((1+$K41)^(EY$20)),'Allgemeine Unternehmensdaten'!$E$30*EY22*$F13*$F41*($N41+1)^(EY20)*((1+$K41)^(EY$20)))</f>
        <v>0</v>
      </c>
      <c r="EZ41" s="200">
        <f>IF(AND($F41=1,$F13=0),'Allgemeine Unternehmensdaten'!$E$30*EZ$22*$I13*($N41+1)^(EZ20)*((1+$K41)^(EZ$20)),'Allgemeine Unternehmensdaten'!$E$30*EZ22*$F13*$F41*($N41+1)^(EZ20)*((1+$K41)^(EZ$20)))</f>
        <v>0</v>
      </c>
      <c r="FA41" s="200">
        <f>IF(AND($F41=1,$F13=0),'Allgemeine Unternehmensdaten'!$E$30*FA$22*$I13*($N41+1)^(FA20)*((1+$K41)^(FA$20)),'Allgemeine Unternehmensdaten'!$E$30*FA22*$F13*$F41*($N41+1)^(FA20)*((1+$K41)^(FA$20)))</f>
        <v>0</v>
      </c>
      <c r="FB41" s="200">
        <f>IF(AND($F41=1,$F13=0),'Allgemeine Unternehmensdaten'!$E$30*FB$22*$I13*($N41+1)^(FB20)*((1+$K41)^(FB$20)),'Allgemeine Unternehmensdaten'!$E$30*FB22*$F13*$F41*($N41+1)^(FB20)*((1+$K41)^(FB$20)))</f>
        <v>0</v>
      </c>
      <c r="FC41" s="200">
        <f>IF(AND($F41=1,$F13=0),'Allgemeine Unternehmensdaten'!$E$30*FC$22*$I13*($N41+1)^(FC20)*((1+$K41)^(FC$20)),'Allgemeine Unternehmensdaten'!$E$30*FC22*$F13*$F41*($N41+1)^(FC20)*((1+$K41)^(FC$20)))</f>
        <v>0</v>
      </c>
      <c r="FD41" s="200">
        <f>IF(AND($F41=1,$F13=0),'Allgemeine Unternehmensdaten'!$E$30*FD$22*$I13*($N41+1)^(FD20)*((1+$K41)^(FD$20)),'Allgemeine Unternehmensdaten'!$E$30*FD22*$F13*$F41*($N41+1)^(FD20)*((1+$K41)^(FD$20)))</f>
        <v>0</v>
      </c>
      <c r="FE41" s="200">
        <f>IF(AND($F41=1,$F13=0),'Allgemeine Unternehmensdaten'!$E$30*FE$22*$I13*($N41+1)^(FE20)*((1+$K41)^(FE$20)),'Allgemeine Unternehmensdaten'!$E$30*FE22*$F13*$F41*($N41+1)^(FE20)*((1+$K41)^(FE$20)))</f>
        <v>0</v>
      </c>
      <c r="FF41" s="200">
        <f>IF(AND($F41=1,$F13=0),'Allgemeine Unternehmensdaten'!$E$30*FF$22*$I13*($N41+1)^(FF20)*((1+$K41)^(FF$20)),'Allgemeine Unternehmensdaten'!$E$30*FF22*$F13*$F41*($N41+1)^(FF20)*((1+$K41)^(FF$20)))</f>
        <v>0</v>
      </c>
      <c r="FG41" s="200">
        <f>IF(AND($F41=1,$F13=0),'Allgemeine Unternehmensdaten'!$E$30*FG$22*$I13*($N41+1)^(FG20)*((1+$K41)^(FG$20)),'Allgemeine Unternehmensdaten'!$E$30*FG22*$F13*$F41*($N41+1)^(FG20)*((1+$K41)^(FG$20)))</f>
        <v>0</v>
      </c>
      <c r="FH41" s="200">
        <f>IF(AND($F41=1,$F13=0),'Allgemeine Unternehmensdaten'!$E$30*FH$22*$I13*($N41+1)^(FH20)*((1+$K41)^(FH$20)),'Allgemeine Unternehmensdaten'!$E$30*FH22*$F13*$F41*($N41+1)^(FH20)*((1+$K41)^(FH$20)))</f>
        <v>0</v>
      </c>
      <c r="FI41" s="200">
        <f>IF(AND($F41=1,$F13=0),'Allgemeine Unternehmensdaten'!$E$30*FI$22*$I13*($N41+1)^(FI20)*((1+$K41)^(FI$20)),'Allgemeine Unternehmensdaten'!$E$30*FI22*$F13*$F41*($N41+1)^(FI20)*((1+$K41)^(FI$20)))</f>
        <v>0</v>
      </c>
      <c r="FJ41" s="200">
        <f>IF(AND($F41=1,$F13=0),'Allgemeine Unternehmensdaten'!$E$30*FJ$22*$I13*($N41+1)^(FJ20)*((1+$K41)^(FJ$20)),'Allgemeine Unternehmensdaten'!$E$30*FJ22*$F13*$F41*($N41+1)^(FJ20)*((1+$K41)^(FJ$20)))</f>
        <v>0</v>
      </c>
      <c r="FK41" s="200">
        <f>IF(AND($F41=1,$F13=0),'Allgemeine Unternehmensdaten'!$E$30*FK$22*$I13*($N41+1)^(FK20)*((1+$K41)^(FK$20)),'Allgemeine Unternehmensdaten'!$E$30*FK22*$F13*$F41*($N41+1)^(FK20)*((1+$K41)^(FK$20)))</f>
        <v>0</v>
      </c>
      <c r="FL41" s="200">
        <f>IF(AND($F41=1,$F13=0),'Allgemeine Unternehmensdaten'!$E$30*FL$22*$I13*($N41+1)^(FL20)*((1+$K41)^(FL$20)),'Allgemeine Unternehmensdaten'!$E$30*FL22*$F13*$F41*($N41+1)^(FL20)*((1+$K41)^(FL$20)))</f>
        <v>0</v>
      </c>
      <c r="FM41" s="200">
        <f>IF(AND($F41=1,$F13=0),'Allgemeine Unternehmensdaten'!$E$30*FM$22*$I13*($N41+1)^(FM20)*((1+$K41)^(FM$20)),'Allgemeine Unternehmensdaten'!$E$30*FM22*$F13*$F41*($N41+1)^(FM20)*((1+$K41)^(FM$20)))</f>
        <v>0</v>
      </c>
      <c r="FN41" s="200">
        <f>IF(AND($F41=1,$F13=0),'Allgemeine Unternehmensdaten'!$E$30*FN$22*$I13*($N41+1)^(FN20)*((1+$K41)^(FN$20)),'Allgemeine Unternehmensdaten'!$E$30*FN22*$F13*$F41*($N41+1)^(FN20)*((1+$K41)^(FN$20)))</f>
        <v>0</v>
      </c>
      <c r="FO41" s="200">
        <f>IF(AND($F41=1,$F13=0),'Allgemeine Unternehmensdaten'!$E$30*FO$22*$I13*($N41+1)^(FO20)*((1+$K41)^(FO$20)),'Allgemeine Unternehmensdaten'!$E$30*FO22*$F13*$F41*($N41+1)^(FO20)*((1+$K41)^(FO$20)))</f>
        <v>0</v>
      </c>
      <c r="FP41" s="200">
        <f>IF(AND($F41=1,$F13=0),'Allgemeine Unternehmensdaten'!$E$30*FP$22*$I13*($N41+1)^(FP20)*((1+$K41)^(FP$20)),'Allgemeine Unternehmensdaten'!$E$30*FP22*$F13*$F41*($N41+1)^(FP20)*((1+$K41)^(FP$20)))</f>
        <v>0</v>
      </c>
      <c r="FQ41" s="200">
        <f>IF(AND($F41=1,$F13=0),'Allgemeine Unternehmensdaten'!$E$30*FQ$22*$I13*($N41+1)^(FQ20)*((1+$K41)^(FQ$20)),'Allgemeine Unternehmensdaten'!$E$30*FQ22*$F13*$F41*($N41+1)^(FQ20)*((1+$K41)^(FQ$20)))</f>
        <v>0</v>
      </c>
      <c r="FR41" s="200">
        <f>IF(AND($F41=1,$F13=0),'Allgemeine Unternehmensdaten'!$E$30*FR$22*$I13*($N41+1)^(FR20)*((1+$K41)^(FR$20)),'Allgemeine Unternehmensdaten'!$E$30*FR22*$F13*$F41*($N41+1)^(FR20)*((1+$K41)^(FR$20)))</f>
        <v>0</v>
      </c>
      <c r="FS41" s="200">
        <f>IF(AND($F41=1,$F13=0),'Allgemeine Unternehmensdaten'!$E$30*FS$22*$I13*($N41+1)^(FS20)*((1+$K41)^(FS$20)),'Allgemeine Unternehmensdaten'!$E$30*FS22*$F13*$F41*($N41+1)^(FS20)*((1+$K41)^(FS$20)))</f>
        <v>0</v>
      </c>
      <c r="FT41" s="200">
        <f>IF(AND($F41=1,$F13=0),'Allgemeine Unternehmensdaten'!$E$30*FT$22*$I13*($N41+1)^(FT20)*((1+$K41)^(FT$20)),'Allgemeine Unternehmensdaten'!$E$30*FT22*$F13*$F41*($N41+1)^(FT20)*((1+$K41)^(FT$20)))</f>
        <v>0</v>
      </c>
      <c r="FU41" s="200">
        <f>IF(AND($F41=1,$F13=0),'Allgemeine Unternehmensdaten'!$E$30*FU$22*$I13*($N41+1)^(FU20)*((1+$K41)^(FU$20)),'Allgemeine Unternehmensdaten'!$E$30*FU22*$F13*$F41*($N41+1)^(FU20)*((1+$K41)^(FU$20)))</f>
        <v>0</v>
      </c>
      <c r="FV41" s="200">
        <f>IF(AND($F41=1,$F13=0),'Allgemeine Unternehmensdaten'!$E$30*FV$22*$I13*($N41+1)^(FV20)*((1+$K41)^(FV$20)),'Allgemeine Unternehmensdaten'!$E$30*FV22*$F13*$F41*($N41+1)^(FV20)*((1+$K41)^(FV$20)))</f>
        <v>0</v>
      </c>
      <c r="FW41" s="200">
        <f>IF(AND($F41=1,$F13=0),'Allgemeine Unternehmensdaten'!$E$30*FW$22*$I13*($N41+1)^(FW20)*((1+$K41)^(FW$20)),'Allgemeine Unternehmensdaten'!$E$30*FW22*$F13*$F41*($N41+1)^(FW20)*((1+$K41)^(FW$20)))</f>
        <v>0</v>
      </c>
      <c r="FX41" s="200">
        <f>IF(AND($F41=1,$F13=0),'Allgemeine Unternehmensdaten'!$E$30*FX$22*$I13*($N41+1)^(FX20)*((1+$K41)^(FX$20)),'Allgemeine Unternehmensdaten'!$E$30*FX22*$F13*$F41*($N41+1)^(FX20)*((1+$K41)^(FX$20)))</f>
        <v>0</v>
      </c>
      <c r="FY41" s="200">
        <f>IF(AND($F41=1,$F13=0),'Allgemeine Unternehmensdaten'!$E$30*FY$22*$I13*($N41+1)^(FY20)*((1+$K41)^(FY$20)),'Allgemeine Unternehmensdaten'!$E$30*FY22*$F13*$F41*($N41+1)^(FY20)*((1+$K41)^(FY$20)))</f>
        <v>0</v>
      </c>
      <c r="FZ41" s="200">
        <f>IF(AND($F41=1,$F13=0),'Allgemeine Unternehmensdaten'!$E$30*FZ$22*$I13*($N41+1)^(FZ20)*((1+$K41)^(FZ$20)),'Allgemeine Unternehmensdaten'!$E$30*FZ22*$F13*$F41*($N41+1)^(FZ20)*((1+$K41)^(FZ$20)))</f>
        <v>0</v>
      </c>
      <c r="GA41" s="200">
        <f>IF(AND($F41=1,$F13=0),'Allgemeine Unternehmensdaten'!$E$30*GA$22*$I13*($N41+1)^(GA20)*((1+$K41)^(GA$20)),'Allgemeine Unternehmensdaten'!$E$30*GA22*$F13*$F41*($N41+1)^(GA20)*((1+$K41)^(GA$20)))</f>
        <v>0</v>
      </c>
      <c r="GB41" s="200">
        <f>IF(AND($F41=1,$F13=0),'Allgemeine Unternehmensdaten'!$E$30*GB$22*$I13*($N41+1)^(GB20)*((1+$K41)^(GB$20)),'Allgemeine Unternehmensdaten'!$E$30*GB22*$F13*$F41*($N41+1)^(GB20)*((1+$K41)^(GB$20)))</f>
        <v>0</v>
      </c>
    </row>
    <row r="42" spans="1:184" ht="17.25" customHeight="1" x14ac:dyDescent="0.5">
      <c r="A42" s="88"/>
      <c r="B42" s="323"/>
      <c r="C42" s="101" t="s">
        <v>138</v>
      </c>
      <c r="D42" s="169"/>
      <c r="E42" s="169"/>
      <c r="F42" s="203"/>
      <c r="G42" s="171">
        <v>99</v>
      </c>
      <c r="H42" s="201">
        <v>99</v>
      </c>
      <c r="I42" s="154">
        <v>0</v>
      </c>
      <c r="J42" s="155">
        <v>0</v>
      </c>
      <c r="K42" s="156">
        <v>0</v>
      </c>
      <c r="L42" s="168">
        <f>$D$7</f>
        <v>0.02</v>
      </c>
      <c r="M42" s="165">
        <f>$E$7</f>
        <v>0.03</v>
      </c>
      <c r="N42" s="166">
        <f>$F$7</f>
        <v>0.05</v>
      </c>
      <c r="R42" s="199" t="str">
        <f t="shared" si="16"/>
        <v>Entsorgungskosten in €</v>
      </c>
      <c r="S42" s="200">
        <f t="shared" ref="S42:AX42" si="52">IF(S21+T21=1,$E$42*(1+$M$42)^(S20)*((1+$J42)^(S$20)),0)</f>
        <v>0</v>
      </c>
      <c r="T42" s="200">
        <f t="shared" si="52"/>
        <v>0</v>
      </c>
      <c r="U42" s="200">
        <f t="shared" si="52"/>
        <v>0</v>
      </c>
      <c r="V42" s="200">
        <f t="shared" si="52"/>
        <v>0</v>
      </c>
      <c r="W42" s="200">
        <f t="shared" si="52"/>
        <v>0</v>
      </c>
      <c r="X42" s="200">
        <f t="shared" si="52"/>
        <v>0</v>
      </c>
      <c r="Y42" s="200">
        <f t="shared" si="52"/>
        <v>0</v>
      </c>
      <c r="Z42" s="200">
        <f t="shared" si="52"/>
        <v>0</v>
      </c>
      <c r="AA42" s="200">
        <f t="shared" si="52"/>
        <v>0</v>
      </c>
      <c r="AB42" s="200">
        <f t="shared" si="52"/>
        <v>0</v>
      </c>
      <c r="AC42" s="200">
        <f t="shared" si="52"/>
        <v>0</v>
      </c>
      <c r="AD42" s="200">
        <f t="shared" si="52"/>
        <v>0</v>
      </c>
      <c r="AE42" s="200">
        <f t="shared" si="52"/>
        <v>0</v>
      </c>
      <c r="AF42" s="200">
        <f t="shared" si="52"/>
        <v>0</v>
      </c>
      <c r="AG42" s="200">
        <f t="shared" si="52"/>
        <v>0</v>
      </c>
      <c r="AH42" s="200">
        <f t="shared" si="52"/>
        <v>0</v>
      </c>
      <c r="AI42" s="200">
        <f t="shared" si="52"/>
        <v>0</v>
      </c>
      <c r="AJ42" s="200">
        <f t="shared" si="52"/>
        <v>0</v>
      </c>
      <c r="AK42" s="200">
        <f t="shared" si="52"/>
        <v>0</v>
      </c>
      <c r="AL42" s="200">
        <f t="shared" si="52"/>
        <v>0</v>
      </c>
      <c r="AM42" s="200">
        <f t="shared" si="52"/>
        <v>0</v>
      </c>
      <c r="AN42" s="200">
        <f t="shared" si="52"/>
        <v>0</v>
      </c>
      <c r="AO42" s="200">
        <f t="shared" si="52"/>
        <v>0</v>
      </c>
      <c r="AP42" s="200">
        <f t="shared" si="52"/>
        <v>0</v>
      </c>
      <c r="AQ42" s="200">
        <f t="shared" si="52"/>
        <v>0</v>
      </c>
      <c r="AR42" s="200">
        <f t="shared" si="52"/>
        <v>0</v>
      </c>
      <c r="AS42" s="200">
        <f t="shared" si="52"/>
        <v>0</v>
      </c>
      <c r="AT42" s="200">
        <f t="shared" si="52"/>
        <v>0</v>
      </c>
      <c r="AU42" s="200">
        <f t="shared" si="52"/>
        <v>0</v>
      </c>
      <c r="AV42" s="200">
        <f t="shared" si="52"/>
        <v>0</v>
      </c>
      <c r="AW42" s="200">
        <f t="shared" si="52"/>
        <v>0</v>
      </c>
      <c r="AX42" s="200">
        <f t="shared" si="52"/>
        <v>0</v>
      </c>
      <c r="AY42" s="200">
        <f t="shared" ref="AY42:BT42" si="53">IF(AY21+AZ21=1,$E$42*(1+$M$42)^(AY20)*((1+$J42)^(AY$20)),0)</f>
        <v>0</v>
      </c>
      <c r="AZ42" s="200">
        <f t="shared" si="53"/>
        <v>0</v>
      </c>
      <c r="BA42" s="200">
        <f t="shared" si="53"/>
        <v>0</v>
      </c>
      <c r="BB42" s="200">
        <f t="shared" si="53"/>
        <v>0</v>
      </c>
      <c r="BC42" s="200">
        <f t="shared" si="53"/>
        <v>0</v>
      </c>
      <c r="BD42" s="200">
        <f t="shared" si="53"/>
        <v>0</v>
      </c>
      <c r="BE42" s="200">
        <f t="shared" si="53"/>
        <v>0</v>
      </c>
      <c r="BF42" s="200">
        <f t="shared" si="53"/>
        <v>0</v>
      </c>
      <c r="BG42" s="200">
        <f t="shared" si="53"/>
        <v>0</v>
      </c>
      <c r="BH42" s="200">
        <f t="shared" si="53"/>
        <v>0</v>
      </c>
      <c r="BI42" s="200">
        <f t="shared" si="53"/>
        <v>0</v>
      </c>
      <c r="BJ42" s="200">
        <f t="shared" si="53"/>
        <v>0</v>
      </c>
      <c r="BK42" s="200">
        <f t="shared" si="53"/>
        <v>0</v>
      </c>
      <c r="BL42" s="200">
        <f t="shared" si="53"/>
        <v>0</v>
      </c>
      <c r="BM42" s="200">
        <f t="shared" si="53"/>
        <v>0</v>
      </c>
      <c r="BN42" s="200">
        <f t="shared" si="53"/>
        <v>0</v>
      </c>
      <c r="BO42" s="200">
        <f t="shared" si="53"/>
        <v>0</v>
      </c>
      <c r="BP42" s="200">
        <f t="shared" si="53"/>
        <v>0</v>
      </c>
      <c r="BQ42" s="200">
        <f t="shared" si="53"/>
        <v>0</v>
      </c>
      <c r="BR42" s="200">
        <f t="shared" si="53"/>
        <v>0</v>
      </c>
      <c r="BS42" s="200">
        <f t="shared" si="53"/>
        <v>0</v>
      </c>
      <c r="BT42" s="200">
        <f t="shared" si="53"/>
        <v>0</v>
      </c>
      <c r="BV42" s="199" t="str">
        <f t="shared" si="19"/>
        <v>Entsorgungskosten in €</v>
      </c>
      <c r="BW42" s="200">
        <f t="shared" ref="BW42:DB42" si="54">IF(BW21+BX21=1,$D$42*(1+$L$42)^(BW20)*((1+$I42)^(BW$20)),0)</f>
        <v>0</v>
      </c>
      <c r="BX42" s="200">
        <f t="shared" si="54"/>
        <v>0</v>
      </c>
      <c r="BY42" s="200">
        <f t="shared" si="54"/>
        <v>0</v>
      </c>
      <c r="BZ42" s="200">
        <f t="shared" si="54"/>
        <v>0</v>
      </c>
      <c r="CA42" s="200">
        <f t="shared" si="54"/>
        <v>0</v>
      </c>
      <c r="CB42" s="200">
        <f t="shared" si="54"/>
        <v>0</v>
      </c>
      <c r="CC42" s="200">
        <f t="shared" si="54"/>
        <v>0</v>
      </c>
      <c r="CD42" s="200">
        <f t="shared" si="54"/>
        <v>0</v>
      </c>
      <c r="CE42" s="200">
        <f t="shared" si="54"/>
        <v>0</v>
      </c>
      <c r="CF42" s="200">
        <f t="shared" si="54"/>
        <v>0</v>
      </c>
      <c r="CG42" s="200">
        <f t="shared" si="54"/>
        <v>0</v>
      </c>
      <c r="CH42" s="200">
        <f t="shared" si="54"/>
        <v>0</v>
      </c>
      <c r="CI42" s="200">
        <f t="shared" si="54"/>
        <v>0</v>
      </c>
      <c r="CJ42" s="200">
        <f t="shared" si="54"/>
        <v>0</v>
      </c>
      <c r="CK42" s="200">
        <f t="shared" si="54"/>
        <v>0</v>
      </c>
      <c r="CL42" s="200">
        <f t="shared" si="54"/>
        <v>0</v>
      </c>
      <c r="CM42" s="200">
        <f t="shared" si="54"/>
        <v>0</v>
      </c>
      <c r="CN42" s="200">
        <f t="shared" si="54"/>
        <v>0</v>
      </c>
      <c r="CO42" s="200">
        <f t="shared" si="54"/>
        <v>0</v>
      </c>
      <c r="CP42" s="200">
        <f t="shared" si="54"/>
        <v>0</v>
      </c>
      <c r="CQ42" s="200">
        <f t="shared" si="54"/>
        <v>0</v>
      </c>
      <c r="CR42" s="200">
        <f t="shared" si="54"/>
        <v>0</v>
      </c>
      <c r="CS42" s="200">
        <f t="shared" si="54"/>
        <v>0</v>
      </c>
      <c r="CT42" s="200">
        <f t="shared" si="54"/>
        <v>0</v>
      </c>
      <c r="CU42" s="200">
        <f t="shared" si="54"/>
        <v>0</v>
      </c>
      <c r="CV42" s="200">
        <f t="shared" si="54"/>
        <v>0</v>
      </c>
      <c r="CW42" s="200">
        <f t="shared" si="54"/>
        <v>0</v>
      </c>
      <c r="CX42" s="200">
        <f t="shared" si="54"/>
        <v>0</v>
      </c>
      <c r="CY42" s="200">
        <f t="shared" si="54"/>
        <v>0</v>
      </c>
      <c r="CZ42" s="200">
        <f t="shared" si="54"/>
        <v>0</v>
      </c>
      <c r="DA42" s="200">
        <f t="shared" si="54"/>
        <v>0</v>
      </c>
      <c r="DB42" s="200">
        <f t="shared" si="54"/>
        <v>0</v>
      </c>
      <c r="DC42" s="200">
        <f t="shared" ref="DC42:DX42" si="55">IF(DC21+DD21=1,$D$42*(1+$L$42)^(DC20)*((1+$I42)^(DC$20)),0)</f>
        <v>0</v>
      </c>
      <c r="DD42" s="200">
        <f t="shared" si="55"/>
        <v>0</v>
      </c>
      <c r="DE42" s="200">
        <f t="shared" si="55"/>
        <v>0</v>
      </c>
      <c r="DF42" s="200">
        <f t="shared" si="55"/>
        <v>0</v>
      </c>
      <c r="DG42" s="200">
        <f t="shared" si="55"/>
        <v>0</v>
      </c>
      <c r="DH42" s="200">
        <f t="shared" si="55"/>
        <v>0</v>
      </c>
      <c r="DI42" s="200">
        <f t="shared" si="55"/>
        <v>0</v>
      </c>
      <c r="DJ42" s="200">
        <f t="shared" si="55"/>
        <v>0</v>
      </c>
      <c r="DK42" s="200">
        <f t="shared" si="55"/>
        <v>0</v>
      </c>
      <c r="DL42" s="200">
        <f t="shared" si="55"/>
        <v>0</v>
      </c>
      <c r="DM42" s="200">
        <f t="shared" si="55"/>
        <v>0</v>
      </c>
      <c r="DN42" s="200">
        <f t="shared" si="55"/>
        <v>0</v>
      </c>
      <c r="DO42" s="200">
        <f t="shared" si="55"/>
        <v>0</v>
      </c>
      <c r="DP42" s="200">
        <f t="shared" si="55"/>
        <v>0</v>
      </c>
      <c r="DQ42" s="200">
        <f t="shared" si="55"/>
        <v>0</v>
      </c>
      <c r="DR42" s="200">
        <f t="shared" si="55"/>
        <v>0</v>
      </c>
      <c r="DS42" s="200">
        <f t="shared" si="55"/>
        <v>0</v>
      </c>
      <c r="DT42" s="200">
        <f t="shared" si="55"/>
        <v>0</v>
      </c>
      <c r="DU42" s="200">
        <f t="shared" si="55"/>
        <v>0</v>
      </c>
      <c r="DV42" s="200">
        <f t="shared" si="55"/>
        <v>0</v>
      </c>
      <c r="DW42" s="200">
        <f t="shared" si="55"/>
        <v>0</v>
      </c>
      <c r="DX42" s="200">
        <f t="shared" si="55"/>
        <v>0</v>
      </c>
      <c r="DZ42" s="199" t="str">
        <f t="shared" si="22"/>
        <v>Entsorgungskosten in €</v>
      </c>
      <c r="EA42" s="200">
        <f t="shared" ref="EA42:FF42" si="56">IF(EA21+EB21=1,$F$42*(1+$N$42)^(EA20)*((1+$K42)^(EA$20)),0)</f>
        <v>0</v>
      </c>
      <c r="EB42" s="200">
        <f t="shared" si="56"/>
        <v>0</v>
      </c>
      <c r="EC42" s="200">
        <f t="shared" si="56"/>
        <v>0</v>
      </c>
      <c r="ED42" s="200">
        <f t="shared" si="56"/>
        <v>0</v>
      </c>
      <c r="EE42" s="200">
        <f t="shared" si="56"/>
        <v>0</v>
      </c>
      <c r="EF42" s="200">
        <f t="shared" si="56"/>
        <v>0</v>
      </c>
      <c r="EG42" s="200">
        <f t="shared" si="56"/>
        <v>0</v>
      </c>
      <c r="EH42" s="200">
        <f t="shared" si="56"/>
        <v>0</v>
      </c>
      <c r="EI42" s="200">
        <f t="shared" si="56"/>
        <v>0</v>
      </c>
      <c r="EJ42" s="200">
        <f t="shared" si="56"/>
        <v>0</v>
      </c>
      <c r="EK42" s="200">
        <f t="shared" si="56"/>
        <v>0</v>
      </c>
      <c r="EL42" s="200">
        <f t="shared" si="56"/>
        <v>0</v>
      </c>
      <c r="EM42" s="200">
        <f t="shared" si="56"/>
        <v>0</v>
      </c>
      <c r="EN42" s="200">
        <f t="shared" si="56"/>
        <v>0</v>
      </c>
      <c r="EO42" s="200">
        <f t="shared" si="56"/>
        <v>0</v>
      </c>
      <c r="EP42" s="200">
        <f t="shared" si="56"/>
        <v>0</v>
      </c>
      <c r="EQ42" s="200">
        <f t="shared" si="56"/>
        <v>0</v>
      </c>
      <c r="ER42" s="200">
        <f t="shared" si="56"/>
        <v>0</v>
      </c>
      <c r="ES42" s="200">
        <f t="shared" si="56"/>
        <v>0</v>
      </c>
      <c r="ET42" s="200">
        <f t="shared" si="56"/>
        <v>0</v>
      </c>
      <c r="EU42" s="200">
        <f t="shared" si="56"/>
        <v>0</v>
      </c>
      <c r="EV42" s="200">
        <f t="shared" si="56"/>
        <v>0</v>
      </c>
      <c r="EW42" s="200">
        <f t="shared" si="56"/>
        <v>0</v>
      </c>
      <c r="EX42" s="200">
        <f t="shared" si="56"/>
        <v>0</v>
      </c>
      <c r="EY42" s="200">
        <f t="shared" si="56"/>
        <v>0</v>
      </c>
      <c r="EZ42" s="200">
        <f t="shared" si="56"/>
        <v>0</v>
      </c>
      <c r="FA42" s="200">
        <f t="shared" si="56"/>
        <v>0</v>
      </c>
      <c r="FB42" s="200">
        <f t="shared" si="56"/>
        <v>0</v>
      </c>
      <c r="FC42" s="200">
        <f t="shared" si="56"/>
        <v>0</v>
      </c>
      <c r="FD42" s="200">
        <f t="shared" si="56"/>
        <v>0</v>
      </c>
      <c r="FE42" s="200">
        <f t="shared" si="56"/>
        <v>0</v>
      </c>
      <c r="FF42" s="200">
        <f t="shared" si="56"/>
        <v>0</v>
      </c>
      <c r="FG42" s="200">
        <f t="shared" ref="FG42:GB42" si="57">IF(FG21+FH21=1,$F$42*(1+$N$42)^(FG20)*((1+$K42)^(FG$20)),0)</f>
        <v>0</v>
      </c>
      <c r="FH42" s="200">
        <f t="shared" si="57"/>
        <v>0</v>
      </c>
      <c r="FI42" s="200">
        <f t="shared" si="57"/>
        <v>0</v>
      </c>
      <c r="FJ42" s="200">
        <f t="shared" si="57"/>
        <v>0</v>
      </c>
      <c r="FK42" s="200">
        <f t="shared" si="57"/>
        <v>0</v>
      </c>
      <c r="FL42" s="200">
        <f t="shared" si="57"/>
        <v>0</v>
      </c>
      <c r="FM42" s="200">
        <f t="shared" si="57"/>
        <v>0</v>
      </c>
      <c r="FN42" s="200">
        <f t="shared" si="57"/>
        <v>0</v>
      </c>
      <c r="FO42" s="200">
        <f t="shared" si="57"/>
        <v>0</v>
      </c>
      <c r="FP42" s="200">
        <f t="shared" si="57"/>
        <v>0</v>
      </c>
      <c r="FQ42" s="200">
        <f t="shared" si="57"/>
        <v>0</v>
      </c>
      <c r="FR42" s="200">
        <f t="shared" si="57"/>
        <v>0</v>
      </c>
      <c r="FS42" s="200">
        <f t="shared" si="57"/>
        <v>0</v>
      </c>
      <c r="FT42" s="200">
        <f t="shared" si="57"/>
        <v>0</v>
      </c>
      <c r="FU42" s="200">
        <f t="shared" si="57"/>
        <v>0</v>
      </c>
      <c r="FV42" s="200">
        <f t="shared" si="57"/>
        <v>0</v>
      </c>
      <c r="FW42" s="200">
        <f t="shared" si="57"/>
        <v>0</v>
      </c>
      <c r="FX42" s="200">
        <f t="shared" si="57"/>
        <v>0</v>
      </c>
      <c r="FY42" s="200">
        <f t="shared" si="57"/>
        <v>0</v>
      </c>
      <c r="FZ42" s="200">
        <f t="shared" si="57"/>
        <v>0</v>
      </c>
      <c r="GA42" s="200">
        <f t="shared" si="57"/>
        <v>0</v>
      </c>
      <c r="GB42" s="200">
        <f t="shared" si="57"/>
        <v>0</v>
      </c>
    </row>
    <row r="43" spans="1:184" ht="17.25" customHeight="1" x14ac:dyDescent="0.5">
      <c r="A43" s="88"/>
      <c r="B43" s="323"/>
      <c r="C43" s="101" t="s">
        <v>139</v>
      </c>
      <c r="D43" s="169"/>
      <c r="E43" s="169"/>
      <c r="F43" s="203"/>
      <c r="G43" s="171">
        <v>99</v>
      </c>
      <c r="H43" s="201">
        <v>99</v>
      </c>
      <c r="I43" s="154">
        <v>0</v>
      </c>
      <c r="J43" s="155">
        <v>0</v>
      </c>
      <c r="K43" s="156">
        <v>0</v>
      </c>
      <c r="L43" s="168">
        <f>$D$7</f>
        <v>0.02</v>
      </c>
      <c r="M43" s="165">
        <f>$E$7</f>
        <v>0.03</v>
      </c>
      <c r="N43" s="166">
        <f>$F$7</f>
        <v>0.05</v>
      </c>
      <c r="R43" s="199" t="str">
        <f t="shared" si="16"/>
        <v>Jahresbetriebskosten in €/Jahr</v>
      </c>
      <c r="S43" s="200">
        <f t="shared" ref="S43:AB55" si="58">IF(AND($G43=99,$H43=99),S$22*$E43*(1+$M43)^(S$20)*((1+$J43)^(S$20)),IF(AND($H43=99,S$20&gt;=$G43,S$20&lt;=$E$20),$E43*(1+$M43)^(S$20)*((1+$J43)^(S$20)),IF(AND($G43=99,S$20&lt;=$H43,S$20&gt;=$E$18),$E43*(1+$M43)^(S$20)*((1+$J43)^(S$20)),IF(AND(S$20&lt;=$H43,S$20&gt;=$G43,$G43&lt;&gt;99,$H43&lt;&gt;99),$E43*(1+$M43)^(S$20)*((1+$J43)^(S$20)),0))))</f>
        <v>0</v>
      </c>
      <c r="T43" s="200">
        <f t="shared" si="58"/>
        <v>0</v>
      </c>
      <c r="U43" s="200">
        <f t="shared" si="58"/>
        <v>0</v>
      </c>
      <c r="V43" s="200">
        <f t="shared" si="58"/>
        <v>0</v>
      </c>
      <c r="W43" s="200">
        <f t="shared" si="58"/>
        <v>0</v>
      </c>
      <c r="X43" s="200">
        <f t="shared" si="58"/>
        <v>0</v>
      </c>
      <c r="Y43" s="200">
        <f t="shared" si="58"/>
        <v>0</v>
      </c>
      <c r="Z43" s="200">
        <f t="shared" si="58"/>
        <v>0</v>
      </c>
      <c r="AA43" s="200">
        <f t="shared" si="58"/>
        <v>0</v>
      </c>
      <c r="AB43" s="200">
        <f t="shared" si="58"/>
        <v>0</v>
      </c>
      <c r="AC43" s="200">
        <f t="shared" ref="AC43:AL55" si="59">IF(AND($G43=99,$H43=99),AC$22*$E43*(1+$M43)^(AC$20)*((1+$J43)^(AC$20)),IF(AND($H43=99,AC$20&gt;=$G43,AC$20&lt;=$E$20),$E43*(1+$M43)^(AC$20)*((1+$J43)^(AC$20)),IF(AND($G43=99,AC$20&lt;=$H43,AC$20&gt;=$E$18),$E43*(1+$M43)^(AC$20)*((1+$J43)^(AC$20)),IF(AND(AC$20&lt;=$H43,AC$20&gt;=$G43,$G43&lt;&gt;99,$H43&lt;&gt;99),$E43*(1+$M43)^(AC$20)*((1+$J43)^(AC$20)),0))))</f>
        <v>0</v>
      </c>
      <c r="AD43" s="200">
        <f t="shared" si="59"/>
        <v>0</v>
      </c>
      <c r="AE43" s="200">
        <f t="shared" si="59"/>
        <v>0</v>
      </c>
      <c r="AF43" s="200">
        <f t="shared" si="59"/>
        <v>0</v>
      </c>
      <c r="AG43" s="200">
        <f t="shared" si="59"/>
        <v>0</v>
      </c>
      <c r="AH43" s="200">
        <f t="shared" si="59"/>
        <v>0</v>
      </c>
      <c r="AI43" s="200">
        <f t="shared" si="59"/>
        <v>0</v>
      </c>
      <c r="AJ43" s="200">
        <f t="shared" si="59"/>
        <v>0</v>
      </c>
      <c r="AK43" s="200">
        <f t="shared" si="59"/>
        <v>0</v>
      </c>
      <c r="AL43" s="200">
        <f t="shared" si="59"/>
        <v>0</v>
      </c>
      <c r="AM43" s="200">
        <f t="shared" ref="AM43:AV55" si="60">IF(AND($G43=99,$H43=99),AM$22*$E43*(1+$M43)^(AM$20)*((1+$J43)^(AM$20)),IF(AND($H43=99,AM$20&gt;=$G43,AM$20&lt;=$E$20),$E43*(1+$M43)^(AM$20)*((1+$J43)^(AM$20)),IF(AND($G43=99,AM$20&lt;=$H43,AM$20&gt;=$E$18),$E43*(1+$M43)^(AM$20)*((1+$J43)^(AM$20)),IF(AND(AM$20&lt;=$H43,AM$20&gt;=$G43,$G43&lt;&gt;99,$H43&lt;&gt;99),$E43*(1+$M43)^(AM$20)*((1+$J43)^(AM$20)),0))))</f>
        <v>0</v>
      </c>
      <c r="AN43" s="200">
        <f t="shared" si="60"/>
        <v>0</v>
      </c>
      <c r="AO43" s="200">
        <f t="shared" si="60"/>
        <v>0</v>
      </c>
      <c r="AP43" s="200">
        <f t="shared" si="60"/>
        <v>0</v>
      </c>
      <c r="AQ43" s="200">
        <f t="shared" si="60"/>
        <v>0</v>
      </c>
      <c r="AR43" s="200">
        <f t="shared" si="60"/>
        <v>0</v>
      </c>
      <c r="AS43" s="200">
        <f t="shared" si="60"/>
        <v>0</v>
      </c>
      <c r="AT43" s="200">
        <f t="shared" si="60"/>
        <v>0</v>
      </c>
      <c r="AU43" s="200">
        <f t="shared" si="60"/>
        <v>0</v>
      </c>
      <c r="AV43" s="200">
        <f t="shared" si="60"/>
        <v>0</v>
      </c>
      <c r="AW43" s="200">
        <f t="shared" ref="AW43:BF55" si="61">IF(AND($G43=99,$H43=99),AW$22*$E43*(1+$M43)^(AW$20)*((1+$J43)^(AW$20)),IF(AND($H43=99,AW$20&gt;=$G43,AW$20&lt;=$E$20),$E43*(1+$M43)^(AW$20)*((1+$J43)^(AW$20)),IF(AND($G43=99,AW$20&lt;=$H43,AW$20&gt;=$E$18),$E43*(1+$M43)^(AW$20)*((1+$J43)^(AW$20)),IF(AND(AW$20&lt;=$H43,AW$20&gt;=$G43,$G43&lt;&gt;99,$H43&lt;&gt;99),$E43*(1+$M43)^(AW$20)*((1+$J43)^(AW$20)),0))))</f>
        <v>0</v>
      </c>
      <c r="AX43" s="200">
        <f t="shared" si="61"/>
        <v>0</v>
      </c>
      <c r="AY43" s="200">
        <f t="shared" si="61"/>
        <v>0</v>
      </c>
      <c r="AZ43" s="200">
        <f t="shared" si="61"/>
        <v>0</v>
      </c>
      <c r="BA43" s="200">
        <f t="shared" si="61"/>
        <v>0</v>
      </c>
      <c r="BB43" s="200">
        <f t="shared" si="61"/>
        <v>0</v>
      </c>
      <c r="BC43" s="200">
        <f t="shared" si="61"/>
        <v>0</v>
      </c>
      <c r="BD43" s="200">
        <f t="shared" si="61"/>
        <v>0</v>
      </c>
      <c r="BE43" s="200">
        <f t="shared" si="61"/>
        <v>0</v>
      </c>
      <c r="BF43" s="200">
        <f t="shared" si="61"/>
        <v>0</v>
      </c>
      <c r="BG43" s="200">
        <f t="shared" ref="BG43:BT55" si="62">IF(AND($G43=99,$H43=99),BG$22*$E43*(1+$M43)^(BG$20)*((1+$J43)^(BG$20)),IF(AND($H43=99,BG$20&gt;=$G43,BG$20&lt;=$E$20),$E43*(1+$M43)^(BG$20)*((1+$J43)^(BG$20)),IF(AND($G43=99,BG$20&lt;=$H43,BG$20&gt;=$E$18),$E43*(1+$M43)^(BG$20)*((1+$J43)^(BG$20)),IF(AND(BG$20&lt;=$H43,BG$20&gt;=$G43,$G43&lt;&gt;99,$H43&lt;&gt;99),$E43*(1+$M43)^(BG$20)*((1+$J43)^(BG$20)),0))))</f>
        <v>0</v>
      </c>
      <c r="BH43" s="200">
        <f t="shared" si="62"/>
        <v>0</v>
      </c>
      <c r="BI43" s="200">
        <f t="shared" si="62"/>
        <v>0</v>
      </c>
      <c r="BJ43" s="200">
        <f t="shared" si="62"/>
        <v>0</v>
      </c>
      <c r="BK43" s="200">
        <f t="shared" si="62"/>
        <v>0</v>
      </c>
      <c r="BL43" s="200">
        <f t="shared" si="62"/>
        <v>0</v>
      </c>
      <c r="BM43" s="200">
        <f t="shared" si="62"/>
        <v>0</v>
      </c>
      <c r="BN43" s="200">
        <f t="shared" si="62"/>
        <v>0</v>
      </c>
      <c r="BO43" s="200">
        <f t="shared" si="62"/>
        <v>0</v>
      </c>
      <c r="BP43" s="200">
        <f t="shared" si="62"/>
        <v>0</v>
      </c>
      <c r="BQ43" s="200">
        <f t="shared" si="62"/>
        <v>0</v>
      </c>
      <c r="BR43" s="200">
        <f t="shared" si="62"/>
        <v>0</v>
      </c>
      <c r="BS43" s="200">
        <f t="shared" si="62"/>
        <v>0</v>
      </c>
      <c r="BT43" s="200">
        <f t="shared" si="62"/>
        <v>0</v>
      </c>
      <c r="BV43" s="199" t="str">
        <f t="shared" si="19"/>
        <v>Jahresbetriebskosten in €/Jahr</v>
      </c>
      <c r="BW43" s="200">
        <f t="shared" ref="BW43:CF55" si="63">IF(AND($G43=99,$H43=99),BW$22*$D43*(1+$L43)^(BW$20)*((1+$I43)^(BW$20)),IF(AND($H43=99,BW$20&gt;=$G43,BW$20&lt;=$D$20),$D43*(1+$L43)^(BW$20)*((1+$I43)^(BW$20)),IF(AND($G43=99,BW$20&lt;=$H43,BW$20&gt;=$D$18),$D43*(1+$L43)^(BW$20)*((1+$I43)^(BW$20)),IF(AND(BW$20&lt;=$H43,BW$20&gt;=$G43,$G43&lt;&gt;99,$H43&lt;&gt;99),$D43*(1+$L43)^(BW$20)*((1+$I43)^(BW$20)),0))))</f>
        <v>0</v>
      </c>
      <c r="BX43" s="200">
        <f t="shared" si="63"/>
        <v>0</v>
      </c>
      <c r="BY43" s="200">
        <f t="shared" si="63"/>
        <v>0</v>
      </c>
      <c r="BZ43" s="200">
        <f t="shared" si="63"/>
        <v>0</v>
      </c>
      <c r="CA43" s="200">
        <f t="shared" si="63"/>
        <v>0</v>
      </c>
      <c r="CB43" s="200">
        <f t="shared" si="63"/>
        <v>0</v>
      </c>
      <c r="CC43" s="200">
        <f t="shared" si="63"/>
        <v>0</v>
      </c>
      <c r="CD43" s="200">
        <f t="shared" si="63"/>
        <v>0</v>
      </c>
      <c r="CE43" s="200">
        <f t="shared" si="63"/>
        <v>0</v>
      </c>
      <c r="CF43" s="200">
        <f t="shared" si="63"/>
        <v>0</v>
      </c>
      <c r="CG43" s="200">
        <f t="shared" ref="CG43:CP55" si="64">IF(AND($G43=99,$H43=99),CG$22*$D43*(1+$L43)^(CG$20)*((1+$I43)^(CG$20)),IF(AND($H43=99,CG$20&gt;=$G43,CG$20&lt;=$D$20),$D43*(1+$L43)^(CG$20)*((1+$I43)^(CG$20)),IF(AND($G43=99,CG$20&lt;=$H43,CG$20&gt;=$D$18),$D43*(1+$L43)^(CG$20)*((1+$I43)^(CG$20)),IF(AND(CG$20&lt;=$H43,CG$20&gt;=$G43,$G43&lt;&gt;99,$H43&lt;&gt;99),$D43*(1+$L43)^(CG$20)*((1+$I43)^(CG$20)),0))))</f>
        <v>0</v>
      </c>
      <c r="CH43" s="200">
        <f t="shared" si="64"/>
        <v>0</v>
      </c>
      <c r="CI43" s="200">
        <f t="shared" si="64"/>
        <v>0</v>
      </c>
      <c r="CJ43" s="200">
        <f t="shared" si="64"/>
        <v>0</v>
      </c>
      <c r="CK43" s="200">
        <f t="shared" si="64"/>
        <v>0</v>
      </c>
      <c r="CL43" s="200">
        <f t="shared" si="64"/>
        <v>0</v>
      </c>
      <c r="CM43" s="200">
        <f t="shared" si="64"/>
        <v>0</v>
      </c>
      <c r="CN43" s="200">
        <f t="shared" si="64"/>
        <v>0</v>
      </c>
      <c r="CO43" s="200">
        <f t="shared" si="64"/>
        <v>0</v>
      </c>
      <c r="CP43" s="200">
        <f t="shared" si="64"/>
        <v>0</v>
      </c>
      <c r="CQ43" s="200">
        <f t="shared" ref="CQ43:CZ55" si="65">IF(AND($G43=99,$H43=99),CQ$22*$D43*(1+$L43)^(CQ$20)*((1+$I43)^(CQ$20)),IF(AND($H43=99,CQ$20&gt;=$G43,CQ$20&lt;=$D$20),$D43*(1+$L43)^(CQ$20)*((1+$I43)^(CQ$20)),IF(AND($G43=99,CQ$20&lt;=$H43,CQ$20&gt;=$D$18),$D43*(1+$L43)^(CQ$20)*((1+$I43)^(CQ$20)),IF(AND(CQ$20&lt;=$H43,CQ$20&gt;=$G43,$G43&lt;&gt;99,$H43&lt;&gt;99),$D43*(1+$L43)^(CQ$20)*((1+$I43)^(CQ$20)),0))))</f>
        <v>0</v>
      </c>
      <c r="CR43" s="200">
        <f t="shared" si="65"/>
        <v>0</v>
      </c>
      <c r="CS43" s="200">
        <f t="shared" si="65"/>
        <v>0</v>
      </c>
      <c r="CT43" s="200">
        <f t="shared" si="65"/>
        <v>0</v>
      </c>
      <c r="CU43" s="200">
        <f t="shared" si="65"/>
        <v>0</v>
      </c>
      <c r="CV43" s="200">
        <f t="shared" si="65"/>
        <v>0</v>
      </c>
      <c r="CW43" s="200">
        <f t="shared" si="65"/>
        <v>0</v>
      </c>
      <c r="CX43" s="200">
        <f t="shared" si="65"/>
        <v>0</v>
      </c>
      <c r="CY43" s="200">
        <f t="shared" si="65"/>
        <v>0</v>
      </c>
      <c r="CZ43" s="200">
        <f t="shared" si="65"/>
        <v>0</v>
      </c>
      <c r="DA43" s="200">
        <f t="shared" ref="DA43:DJ55" si="66">IF(AND($G43=99,$H43=99),DA$22*$D43*(1+$L43)^(DA$20)*((1+$I43)^(DA$20)),IF(AND($H43=99,DA$20&gt;=$G43,DA$20&lt;=$D$20),$D43*(1+$L43)^(DA$20)*((1+$I43)^(DA$20)),IF(AND($G43=99,DA$20&lt;=$H43,DA$20&gt;=$D$18),$D43*(1+$L43)^(DA$20)*((1+$I43)^(DA$20)),IF(AND(DA$20&lt;=$H43,DA$20&gt;=$G43,$G43&lt;&gt;99,$H43&lt;&gt;99),$D43*(1+$L43)^(DA$20)*((1+$I43)^(DA$20)),0))))</f>
        <v>0</v>
      </c>
      <c r="DB43" s="200">
        <f t="shared" si="66"/>
        <v>0</v>
      </c>
      <c r="DC43" s="200">
        <f t="shared" si="66"/>
        <v>0</v>
      </c>
      <c r="DD43" s="200">
        <f t="shared" si="66"/>
        <v>0</v>
      </c>
      <c r="DE43" s="200">
        <f t="shared" si="66"/>
        <v>0</v>
      </c>
      <c r="DF43" s="200">
        <f t="shared" si="66"/>
        <v>0</v>
      </c>
      <c r="DG43" s="200">
        <f t="shared" si="66"/>
        <v>0</v>
      </c>
      <c r="DH43" s="200">
        <f t="shared" si="66"/>
        <v>0</v>
      </c>
      <c r="DI43" s="200">
        <f t="shared" si="66"/>
        <v>0</v>
      </c>
      <c r="DJ43" s="200">
        <f t="shared" si="66"/>
        <v>0</v>
      </c>
      <c r="DK43" s="200">
        <f t="shared" ref="DK43:DX55" si="67">IF(AND($G43=99,$H43=99),DK$22*$D43*(1+$L43)^(DK$20)*((1+$I43)^(DK$20)),IF(AND($H43=99,DK$20&gt;=$G43,DK$20&lt;=$D$20),$D43*(1+$L43)^(DK$20)*((1+$I43)^(DK$20)),IF(AND($G43=99,DK$20&lt;=$H43,DK$20&gt;=$D$18),$D43*(1+$L43)^(DK$20)*((1+$I43)^(DK$20)),IF(AND(DK$20&lt;=$H43,DK$20&gt;=$G43,$G43&lt;&gt;99,$H43&lt;&gt;99),$D43*(1+$L43)^(DK$20)*((1+$I43)^(DK$20)),0))))</f>
        <v>0</v>
      </c>
      <c r="DL43" s="200">
        <f t="shared" si="67"/>
        <v>0</v>
      </c>
      <c r="DM43" s="200">
        <f t="shared" si="67"/>
        <v>0</v>
      </c>
      <c r="DN43" s="200">
        <f t="shared" si="67"/>
        <v>0</v>
      </c>
      <c r="DO43" s="200">
        <f t="shared" si="67"/>
        <v>0</v>
      </c>
      <c r="DP43" s="200">
        <f t="shared" si="67"/>
        <v>0</v>
      </c>
      <c r="DQ43" s="200">
        <f t="shared" si="67"/>
        <v>0</v>
      </c>
      <c r="DR43" s="200">
        <f t="shared" si="67"/>
        <v>0</v>
      </c>
      <c r="DS43" s="200">
        <f t="shared" si="67"/>
        <v>0</v>
      </c>
      <c r="DT43" s="200">
        <f t="shared" si="67"/>
        <v>0</v>
      </c>
      <c r="DU43" s="200">
        <f t="shared" si="67"/>
        <v>0</v>
      </c>
      <c r="DV43" s="200">
        <f t="shared" si="67"/>
        <v>0</v>
      </c>
      <c r="DW43" s="200">
        <f t="shared" si="67"/>
        <v>0</v>
      </c>
      <c r="DX43" s="200">
        <f t="shared" si="67"/>
        <v>0</v>
      </c>
      <c r="DZ43" s="199" t="str">
        <f t="shared" si="22"/>
        <v>Jahresbetriebskosten in €/Jahr</v>
      </c>
      <c r="EA43" s="200">
        <f t="shared" ref="EA43:EJ55" si="68">IF(AND($G43=99,$H43=99),EA$22*$F43*(1+$N43)^(EA$20)*((1+$K43)^(EA$20)),IF(AND($H43=99,EA$20&gt;=$G43,EA$20&lt;=$F$20),$F43*(1+$N43)^(EA$20)*((1+$K43)^(EA$20)),IF(AND($G43=99,EA$20&lt;=$H43,EA$20&gt;=$F$18),$F43*(1+$N43)^(EA$20)*((1+$K43)^(EA$20)),IF(AND(EA$20&lt;=$H43,EA$20&gt;=$G43,$G43&lt;&gt;99,$H43&lt;&gt;99),$F43*(1+$N43)^(EA$20)*((1+$K43)^(EA$20)),0))))</f>
        <v>0</v>
      </c>
      <c r="EB43" s="200">
        <f t="shared" si="68"/>
        <v>0</v>
      </c>
      <c r="EC43" s="200">
        <f t="shared" si="68"/>
        <v>0</v>
      </c>
      <c r="ED43" s="200">
        <f t="shared" si="68"/>
        <v>0</v>
      </c>
      <c r="EE43" s="200">
        <f t="shared" si="68"/>
        <v>0</v>
      </c>
      <c r="EF43" s="200">
        <f t="shared" si="68"/>
        <v>0</v>
      </c>
      <c r="EG43" s="200">
        <f t="shared" si="68"/>
        <v>0</v>
      </c>
      <c r="EH43" s="200">
        <f t="shared" si="68"/>
        <v>0</v>
      </c>
      <c r="EI43" s="200">
        <f t="shared" si="68"/>
        <v>0</v>
      </c>
      <c r="EJ43" s="200">
        <f t="shared" si="68"/>
        <v>0</v>
      </c>
      <c r="EK43" s="200">
        <f t="shared" ref="EK43:ET55" si="69">IF(AND($G43=99,$H43=99),EK$22*$F43*(1+$N43)^(EK$20)*((1+$K43)^(EK$20)),IF(AND($H43=99,EK$20&gt;=$G43,EK$20&lt;=$F$20),$F43*(1+$N43)^(EK$20)*((1+$K43)^(EK$20)),IF(AND($G43=99,EK$20&lt;=$H43,EK$20&gt;=$F$18),$F43*(1+$N43)^(EK$20)*((1+$K43)^(EK$20)),IF(AND(EK$20&lt;=$H43,EK$20&gt;=$G43,$G43&lt;&gt;99,$H43&lt;&gt;99),$F43*(1+$N43)^(EK$20)*((1+$K43)^(EK$20)),0))))</f>
        <v>0</v>
      </c>
      <c r="EL43" s="200">
        <f t="shared" si="69"/>
        <v>0</v>
      </c>
      <c r="EM43" s="200">
        <f t="shared" si="69"/>
        <v>0</v>
      </c>
      <c r="EN43" s="200">
        <f t="shared" si="69"/>
        <v>0</v>
      </c>
      <c r="EO43" s="200">
        <f t="shared" si="69"/>
        <v>0</v>
      </c>
      <c r="EP43" s="200">
        <f t="shared" si="69"/>
        <v>0</v>
      </c>
      <c r="EQ43" s="200">
        <f t="shared" si="69"/>
        <v>0</v>
      </c>
      <c r="ER43" s="200">
        <f t="shared" si="69"/>
        <v>0</v>
      </c>
      <c r="ES43" s="200">
        <f t="shared" si="69"/>
        <v>0</v>
      </c>
      <c r="ET43" s="200">
        <f t="shared" si="69"/>
        <v>0</v>
      </c>
      <c r="EU43" s="200">
        <f t="shared" ref="EU43:FD55" si="70">IF(AND($G43=99,$H43=99),EU$22*$F43*(1+$N43)^(EU$20)*((1+$K43)^(EU$20)),IF(AND($H43=99,EU$20&gt;=$G43,EU$20&lt;=$F$20),$F43*(1+$N43)^(EU$20)*((1+$K43)^(EU$20)),IF(AND($G43=99,EU$20&lt;=$H43,EU$20&gt;=$F$18),$F43*(1+$N43)^(EU$20)*((1+$K43)^(EU$20)),IF(AND(EU$20&lt;=$H43,EU$20&gt;=$G43,$G43&lt;&gt;99,$H43&lt;&gt;99),$F43*(1+$N43)^(EU$20)*((1+$K43)^(EU$20)),0))))</f>
        <v>0</v>
      </c>
      <c r="EV43" s="200">
        <f t="shared" si="70"/>
        <v>0</v>
      </c>
      <c r="EW43" s="200">
        <f t="shared" si="70"/>
        <v>0</v>
      </c>
      <c r="EX43" s="200">
        <f t="shared" si="70"/>
        <v>0</v>
      </c>
      <c r="EY43" s="200">
        <f t="shared" si="70"/>
        <v>0</v>
      </c>
      <c r="EZ43" s="200">
        <f t="shared" si="70"/>
        <v>0</v>
      </c>
      <c r="FA43" s="200">
        <f t="shared" si="70"/>
        <v>0</v>
      </c>
      <c r="FB43" s="200">
        <f t="shared" si="70"/>
        <v>0</v>
      </c>
      <c r="FC43" s="200">
        <f t="shared" si="70"/>
        <v>0</v>
      </c>
      <c r="FD43" s="200">
        <f t="shared" si="70"/>
        <v>0</v>
      </c>
      <c r="FE43" s="200">
        <f t="shared" ref="FE43:FN55" si="71">IF(AND($G43=99,$H43=99),FE$22*$F43*(1+$N43)^(FE$20)*((1+$K43)^(FE$20)),IF(AND($H43=99,FE$20&gt;=$G43,FE$20&lt;=$F$20),$F43*(1+$N43)^(FE$20)*((1+$K43)^(FE$20)),IF(AND($G43=99,FE$20&lt;=$H43,FE$20&gt;=$F$18),$F43*(1+$N43)^(FE$20)*((1+$K43)^(FE$20)),IF(AND(FE$20&lt;=$H43,FE$20&gt;=$G43,$G43&lt;&gt;99,$H43&lt;&gt;99),$F43*(1+$N43)^(FE$20)*((1+$K43)^(FE$20)),0))))</f>
        <v>0</v>
      </c>
      <c r="FF43" s="200">
        <f t="shared" si="71"/>
        <v>0</v>
      </c>
      <c r="FG43" s="200">
        <f t="shared" si="71"/>
        <v>0</v>
      </c>
      <c r="FH43" s="200">
        <f t="shared" si="71"/>
        <v>0</v>
      </c>
      <c r="FI43" s="200">
        <f t="shared" si="71"/>
        <v>0</v>
      </c>
      <c r="FJ43" s="200">
        <f t="shared" si="71"/>
        <v>0</v>
      </c>
      <c r="FK43" s="200">
        <f t="shared" si="71"/>
        <v>0</v>
      </c>
      <c r="FL43" s="200">
        <f t="shared" si="71"/>
        <v>0</v>
      </c>
      <c r="FM43" s="200">
        <f t="shared" si="71"/>
        <v>0</v>
      </c>
      <c r="FN43" s="200">
        <f t="shared" si="71"/>
        <v>0</v>
      </c>
      <c r="FO43" s="200">
        <f t="shared" ref="FO43:GB55" si="72">IF(AND($G43=99,$H43=99),FO$22*$F43*(1+$N43)^(FO$20)*((1+$K43)^(FO$20)),IF(AND($H43=99,FO$20&gt;=$G43,FO$20&lt;=$F$20),$F43*(1+$N43)^(FO$20)*((1+$K43)^(FO$20)),IF(AND($G43=99,FO$20&lt;=$H43,FO$20&gt;=$F$18),$F43*(1+$N43)^(FO$20)*((1+$K43)^(FO$20)),IF(AND(FO$20&lt;=$H43,FO$20&gt;=$G43,$G43&lt;&gt;99,$H43&lt;&gt;99),$F43*(1+$N43)^(FO$20)*((1+$K43)^(FO$20)),0))))</f>
        <v>0</v>
      </c>
      <c r="FP43" s="200">
        <f t="shared" si="72"/>
        <v>0</v>
      </c>
      <c r="FQ43" s="200">
        <f t="shared" si="72"/>
        <v>0</v>
      </c>
      <c r="FR43" s="200">
        <f t="shared" si="72"/>
        <v>0</v>
      </c>
      <c r="FS43" s="200">
        <f t="shared" si="72"/>
        <v>0</v>
      </c>
      <c r="FT43" s="200">
        <f t="shared" si="72"/>
        <v>0</v>
      </c>
      <c r="FU43" s="200">
        <f t="shared" si="72"/>
        <v>0</v>
      </c>
      <c r="FV43" s="200">
        <f t="shared" si="72"/>
        <v>0</v>
      </c>
      <c r="FW43" s="200">
        <f t="shared" si="72"/>
        <v>0</v>
      </c>
      <c r="FX43" s="200">
        <f t="shared" si="72"/>
        <v>0</v>
      </c>
      <c r="FY43" s="200">
        <f t="shared" si="72"/>
        <v>0</v>
      </c>
      <c r="FZ43" s="200">
        <f t="shared" si="72"/>
        <v>0</v>
      </c>
      <c r="GA43" s="200">
        <f t="shared" si="72"/>
        <v>0</v>
      </c>
      <c r="GB43" s="200">
        <f t="shared" si="72"/>
        <v>0</v>
      </c>
    </row>
    <row r="44" spans="1:184" ht="17.25" customHeight="1" x14ac:dyDescent="0.5">
      <c r="A44" s="88"/>
      <c r="B44" s="323"/>
      <c r="C44" s="204" t="s">
        <v>140</v>
      </c>
      <c r="D44" s="169">
        <v>34000</v>
      </c>
      <c r="E44" s="169">
        <v>34000</v>
      </c>
      <c r="F44" s="203">
        <v>34000</v>
      </c>
      <c r="G44" s="177">
        <v>0</v>
      </c>
      <c r="H44" s="205">
        <v>0</v>
      </c>
      <c r="I44" s="154">
        <v>0</v>
      </c>
      <c r="J44" s="155">
        <v>0</v>
      </c>
      <c r="K44" s="156">
        <v>0</v>
      </c>
      <c r="L44" s="179">
        <f>$D$7</f>
        <v>0.02</v>
      </c>
      <c r="M44" s="180">
        <f>$E$7</f>
        <v>0.03</v>
      </c>
      <c r="N44" s="181">
        <f>$F$7</f>
        <v>0.05</v>
      </c>
      <c r="R44" s="199" t="str">
        <f t="shared" si="16"/>
        <v>Investitionskosten Zeitpunkt t in €</v>
      </c>
      <c r="S44" s="200">
        <f t="shared" si="58"/>
        <v>34000</v>
      </c>
      <c r="T44" s="200">
        <f t="shared" si="58"/>
        <v>0</v>
      </c>
      <c r="U44" s="200">
        <f t="shared" si="58"/>
        <v>0</v>
      </c>
      <c r="V44" s="200">
        <f t="shared" si="58"/>
        <v>0</v>
      </c>
      <c r="W44" s="200">
        <f t="shared" si="58"/>
        <v>0</v>
      </c>
      <c r="X44" s="200">
        <f t="shared" si="58"/>
        <v>0</v>
      </c>
      <c r="Y44" s="200">
        <f t="shared" si="58"/>
        <v>0</v>
      </c>
      <c r="Z44" s="200">
        <f t="shared" si="58"/>
        <v>0</v>
      </c>
      <c r="AA44" s="200">
        <f t="shared" si="58"/>
        <v>0</v>
      </c>
      <c r="AB44" s="200">
        <f t="shared" si="58"/>
        <v>0</v>
      </c>
      <c r="AC44" s="200">
        <f t="shared" si="59"/>
        <v>0</v>
      </c>
      <c r="AD44" s="200">
        <f t="shared" si="59"/>
        <v>0</v>
      </c>
      <c r="AE44" s="200">
        <f t="shared" si="59"/>
        <v>0</v>
      </c>
      <c r="AF44" s="200">
        <f t="shared" si="59"/>
        <v>0</v>
      </c>
      <c r="AG44" s="200">
        <f t="shared" si="59"/>
        <v>0</v>
      </c>
      <c r="AH44" s="200">
        <f t="shared" si="59"/>
        <v>0</v>
      </c>
      <c r="AI44" s="200">
        <f t="shared" si="59"/>
        <v>0</v>
      </c>
      <c r="AJ44" s="200">
        <f t="shared" si="59"/>
        <v>0</v>
      </c>
      <c r="AK44" s="200">
        <f t="shared" si="59"/>
        <v>0</v>
      </c>
      <c r="AL44" s="200">
        <f t="shared" si="59"/>
        <v>0</v>
      </c>
      <c r="AM44" s="200">
        <f t="shared" si="60"/>
        <v>0</v>
      </c>
      <c r="AN44" s="200">
        <f t="shared" si="60"/>
        <v>0</v>
      </c>
      <c r="AO44" s="200">
        <f t="shared" si="60"/>
        <v>0</v>
      </c>
      <c r="AP44" s="200">
        <f t="shared" si="60"/>
        <v>0</v>
      </c>
      <c r="AQ44" s="200">
        <f t="shared" si="60"/>
        <v>0</v>
      </c>
      <c r="AR44" s="200">
        <f t="shared" si="60"/>
        <v>0</v>
      </c>
      <c r="AS44" s="200">
        <f t="shared" si="60"/>
        <v>0</v>
      </c>
      <c r="AT44" s="200">
        <f t="shared" si="60"/>
        <v>0</v>
      </c>
      <c r="AU44" s="200">
        <f t="shared" si="60"/>
        <v>0</v>
      </c>
      <c r="AV44" s="200">
        <f t="shared" si="60"/>
        <v>0</v>
      </c>
      <c r="AW44" s="200">
        <f t="shared" si="61"/>
        <v>0</v>
      </c>
      <c r="AX44" s="200">
        <f t="shared" si="61"/>
        <v>0</v>
      </c>
      <c r="AY44" s="200">
        <f t="shared" si="61"/>
        <v>0</v>
      </c>
      <c r="AZ44" s="200">
        <f t="shared" si="61"/>
        <v>0</v>
      </c>
      <c r="BA44" s="200">
        <f t="shared" si="61"/>
        <v>0</v>
      </c>
      <c r="BB44" s="200">
        <f t="shared" si="61"/>
        <v>0</v>
      </c>
      <c r="BC44" s="200">
        <f t="shared" si="61"/>
        <v>0</v>
      </c>
      <c r="BD44" s="200">
        <f t="shared" si="61"/>
        <v>0</v>
      </c>
      <c r="BE44" s="200">
        <f t="shared" si="61"/>
        <v>0</v>
      </c>
      <c r="BF44" s="200">
        <f t="shared" si="61"/>
        <v>0</v>
      </c>
      <c r="BG44" s="200">
        <f t="shared" si="62"/>
        <v>0</v>
      </c>
      <c r="BH44" s="200">
        <f t="shared" si="62"/>
        <v>0</v>
      </c>
      <c r="BI44" s="200">
        <f t="shared" si="62"/>
        <v>0</v>
      </c>
      <c r="BJ44" s="200">
        <f t="shared" si="62"/>
        <v>0</v>
      </c>
      <c r="BK44" s="200">
        <f t="shared" si="62"/>
        <v>0</v>
      </c>
      <c r="BL44" s="200">
        <f t="shared" si="62"/>
        <v>0</v>
      </c>
      <c r="BM44" s="200">
        <f t="shared" si="62"/>
        <v>0</v>
      </c>
      <c r="BN44" s="200">
        <f t="shared" si="62"/>
        <v>0</v>
      </c>
      <c r="BO44" s="200">
        <f t="shared" si="62"/>
        <v>0</v>
      </c>
      <c r="BP44" s="200">
        <f t="shared" si="62"/>
        <v>0</v>
      </c>
      <c r="BQ44" s="200">
        <f t="shared" si="62"/>
        <v>0</v>
      </c>
      <c r="BR44" s="200">
        <f t="shared" si="62"/>
        <v>0</v>
      </c>
      <c r="BS44" s="200">
        <f t="shared" si="62"/>
        <v>0</v>
      </c>
      <c r="BT44" s="200">
        <f t="shared" si="62"/>
        <v>0</v>
      </c>
      <c r="BV44" s="199" t="str">
        <f t="shared" si="19"/>
        <v>Investitionskosten Zeitpunkt t in €</v>
      </c>
      <c r="BW44" s="200">
        <f t="shared" si="63"/>
        <v>34000</v>
      </c>
      <c r="BX44" s="200">
        <f t="shared" si="63"/>
        <v>0</v>
      </c>
      <c r="BY44" s="200">
        <f t="shared" si="63"/>
        <v>0</v>
      </c>
      <c r="BZ44" s="200">
        <f t="shared" si="63"/>
        <v>0</v>
      </c>
      <c r="CA44" s="200">
        <f t="shared" si="63"/>
        <v>0</v>
      </c>
      <c r="CB44" s="200">
        <f t="shared" si="63"/>
        <v>0</v>
      </c>
      <c r="CC44" s="200">
        <f t="shared" si="63"/>
        <v>0</v>
      </c>
      <c r="CD44" s="200">
        <f t="shared" si="63"/>
        <v>0</v>
      </c>
      <c r="CE44" s="200">
        <f t="shared" si="63"/>
        <v>0</v>
      </c>
      <c r="CF44" s="200">
        <f t="shared" si="63"/>
        <v>0</v>
      </c>
      <c r="CG44" s="200">
        <f t="shared" si="64"/>
        <v>0</v>
      </c>
      <c r="CH44" s="200">
        <f t="shared" si="64"/>
        <v>0</v>
      </c>
      <c r="CI44" s="200">
        <f t="shared" si="64"/>
        <v>0</v>
      </c>
      <c r="CJ44" s="200">
        <f t="shared" si="64"/>
        <v>0</v>
      </c>
      <c r="CK44" s="200">
        <f t="shared" si="64"/>
        <v>0</v>
      </c>
      <c r="CL44" s="200">
        <f t="shared" si="64"/>
        <v>0</v>
      </c>
      <c r="CM44" s="200">
        <f t="shared" si="64"/>
        <v>0</v>
      </c>
      <c r="CN44" s="200">
        <f t="shared" si="64"/>
        <v>0</v>
      </c>
      <c r="CO44" s="200">
        <f t="shared" si="64"/>
        <v>0</v>
      </c>
      <c r="CP44" s="200">
        <f t="shared" si="64"/>
        <v>0</v>
      </c>
      <c r="CQ44" s="200">
        <f t="shared" si="65"/>
        <v>0</v>
      </c>
      <c r="CR44" s="200">
        <f t="shared" si="65"/>
        <v>0</v>
      </c>
      <c r="CS44" s="200">
        <f t="shared" si="65"/>
        <v>0</v>
      </c>
      <c r="CT44" s="200">
        <f t="shared" si="65"/>
        <v>0</v>
      </c>
      <c r="CU44" s="200">
        <f t="shared" si="65"/>
        <v>0</v>
      </c>
      <c r="CV44" s="200">
        <f t="shared" si="65"/>
        <v>0</v>
      </c>
      <c r="CW44" s="200">
        <f t="shared" si="65"/>
        <v>0</v>
      </c>
      <c r="CX44" s="200">
        <f t="shared" si="65"/>
        <v>0</v>
      </c>
      <c r="CY44" s="200">
        <f t="shared" si="65"/>
        <v>0</v>
      </c>
      <c r="CZ44" s="200">
        <f t="shared" si="65"/>
        <v>0</v>
      </c>
      <c r="DA44" s="200">
        <f t="shared" si="66"/>
        <v>0</v>
      </c>
      <c r="DB44" s="200">
        <f t="shared" si="66"/>
        <v>0</v>
      </c>
      <c r="DC44" s="200">
        <f t="shared" si="66"/>
        <v>0</v>
      </c>
      <c r="DD44" s="200">
        <f t="shared" si="66"/>
        <v>0</v>
      </c>
      <c r="DE44" s="200">
        <f t="shared" si="66"/>
        <v>0</v>
      </c>
      <c r="DF44" s="200">
        <f t="shared" si="66"/>
        <v>0</v>
      </c>
      <c r="DG44" s="200">
        <f t="shared" si="66"/>
        <v>0</v>
      </c>
      <c r="DH44" s="200">
        <f t="shared" si="66"/>
        <v>0</v>
      </c>
      <c r="DI44" s="200">
        <f t="shared" si="66"/>
        <v>0</v>
      </c>
      <c r="DJ44" s="200">
        <f t="shared" si="66"/>
        <v>0</v>
      </c>
      <c r="DK44" s="200">
        <f t="shared" si="67"/>
        <v>0</v>
      </c>
      <c r="DL44" s="200">
        <f t="shared" si="67"/>
        <v>0</v>
      </c>
      <c r="DM44" s="200">
        <f t="shared" si="67"/>
        <v>0</v>
      </c>
      <c r="DN44" s="200">
        <f t="shared" si="67"/>
        <v>0</v>
      </c>
      <c r="DO44" s="200">
        <f t="shared" si="67"/>
        <v>0</v>
      </c>
      <c r="DP44" s="200">
        <f t="shared" si="67"/>
        <v>0</v>
      </c>
      <c r="DQ44" s="200">
        <f t="shared" si="67"/>
        <v>0</v>
      </c>
      <c r="DR44" s="200">
        <f t="shared" si="67"/>
        <v>0</v>
      </c>
      <c r="DS44" s="200">
        <f t="shared" si="67"/>
        <v>0</v>
      </c>
      <c r="DT44" s="200">
        <f t="shared" si="67"/>
        <v>0</v>
      </c>
      <c r="DU44" s="200">
        <f t="shared" si="67"/>
        <v>0</v>
      </c>
      <c r="DV44" s="200">
        <f t="shared" si="67"/>
        <v>0</v>
      </c>
      <c r="DW44" s="200">
        <f t="shared" si="67"/>
        <v>0</v>
      </c>
      <c r="DX44" s="200">
        <f t="shared" si="67"/>
        <v>0</v>
      </c>
      <c r="DZ44" s="199" t="str">
        <f t="shared" si="22"/>
        <v>Investitionskosten Zeitpunkt t in €</v>
      </c>
      <c r="EA44" s="200">
        <f t="shared" si="68"/>
        <v>34000</v>
      </c>
      <c r="EB44" s="200">
        <f t="shared" si="68"/>
        <v>0</v>
      </c>
      <c r="EC44" s="200">
        <f t="shared" si="68"/>
        <v>0</v>
      </c>
      <c r="ED44" s="200">
        <f t="shared" si="68"/>
        <v>0</v>
      </c>
      <c r="EE44" s="200">
        <f t="shared" si="68"/>
        <v>0</v>
      </c>
      <c r="EF44" s="200">
        <f t="shared" si="68"/>
        <v>0</v>
      </c>
      <c r="EG44" s="200">
        <f t="shared" si="68"/>
        <v>0</v>
      </c>
      <c r="EH44" s="200">
        <f t="shared" si="68"/>
        <v>0</v>
      </c>
      <c r="EI44" s="200">
        <f t="shared" si="68"/>
        <v>0</v>
      </c>
      <c r="EJ44" s="200">
        <f t="shared" si="68"/>
        <v>0</v>
      </c>
      <c r="EK44" s="200">
        <f t="shared" si="69"/>
        <v>0</v>
      </c>
      <c r="EL44" s="200">
        <f t="shared" si="69"/>
        <v>0</v>
      </c>
      <c r="EM44" s="200">
        <f t="shared" si="69"/>
        <v>0</v>
      </c>
      <c r="EN44" s="200">
        <f t="shared" si="69"/>
        <v>0</v>
      </c>
      <c r="EO44" s="200">
        <f t="shared" si="69"/>
        <v>0</v>
      </c>
      <c r="EP44" s="200">
        <f t="shared" si="69"/>
        <v>0</v>
      </c>
      <c r="EQ44" s="200">
        <f t="shared" si="69"/>
        <v>0</v>
      </c>
      <c r="ER44" s="200">
        <f t="shared" si="69"/>
        <v>0</v>
      </c>
      <c r="ES44" s="200">
        <f t="shared" si="69"/>
        <v>0</v>
      </c>
      <c r="ET44" s="200">
        <f t="shared" si="69"/>
        <v>0</v>
      </c>
      <c r="EU44" s="200">
        <f t="shared" si="70"/>
        <v>0</v>
      </c>
      <c r="EV44" s="200">
        <f t="shared" si="70"/>
        <v>0</v>
      </c>
      <c r="EW44" s="200">
        <f t="shared" si="70"/>
        <v>0</v>
      </c>
      <c r="EX44" s="200">
        <f t="shared" si="70"/>
        <v>0</v>
      </c>
      <c r="EY44" s="200">
        <f t="shared" si="70"/>
        <v>0</v>
      </c>
      <c r="EZ44" s="200">
        <f t="shared" si="70"/>
        <v>0</v>
      </c>
      <c r="FA44" s="200">
        <f t="shared" si="70"/>
        <v>0</v>
      </c>
      <c r="FB44" s="200">
        <f t="shared" si="70"/>
        <v>0</v>
      </c>
      <c r="FC44" s="200">
        <f t="shared" si="70"/>
        <v>0</v>
      </c>
      <c r="FD44" s="200">
        <f t="shared" si="70"/>
        <v>0</v>
      </c>
      <c r="FE44" s="200">
        <f t="shared" si="71"/>
        <v>0</v>
      </c>
      <c r="FF44" s="200">
        <f t="shared" si="71"/>
        <v>0</v>
      </c>
      <c r="FG44" s="200">
        <f t="shared" si="71"/>
        <v>0</v>
      </c>
      <c r="FH44" s="200">
        <f t="shared" si="71"/>
        <v>0</v>
      </c>
      <c r="FI44" s="200">
        <f t="shared" si="71"/>
        <v>0</v>
      </c>
      <c r="FJ44" s="200">
        <f t="shared" si="71"/>
        <v>0</v>
      </c>
      <c r="FK44" s="200">
        <f t="shared" si="71"/>
        <v>0</v>
      </c>
      <c r="FL44" s="200">
        <f t="shared" si="71"/>
        <v>0</v>
      </c>
      <c r="FM44" s="200">
        <f t="shared" si="71"/>
        <v>0</v>
      </c>
      <c r="FN44" s="200">
        <f t="shared" si="71"/>
        <v>0</v>
      </c>
      <c r="FO44" s="200">
        <f t="shared" si="72"/>
        <v>0</v>
      </c>
      <c r="FP44" s="200">
        <f t="shared" si="72"/>
        <v>0</v>
      </c>
      <c r="FQ44" s="200">
        <f t="shared" si="72"/>
        <v>0</v>
      </c>
      <c r="FR44" s="200">
        <f t="shared" si="72"/>
        <v>0</v>
      </c>
      <c r="FS44" s="200">
        <f t="shared" si="72"/>
        <v>0</v>
      </c>
      <c r="FT44" s="200">
        <f t="shared" si="72"/>
        <v>0</v>
      </c>
      <c r="FU44" s="200">
        <f t="shared" si="72"/>
        <v>0</v>
      </c>
      <c r="FV44" s="200">
        <f t="shared" si="72"/>
        <v>0</v>
      </c>
      <c r="FW44" s="200">
        <f t="shared" si="72"/>
        <v>0</v>
      </c>
      <c r="FX44" s="200">
        <f t="shared" si="72"/>
        <v>0</v>
      </c>
      <c r="FY44" s="200">
        <f t="shared" si="72"/>
        <v>0</v>
      </c>
      <c r="FZ44" s="200">
        <f t="shared" si="72"/>
        <v>0</v>
      </c>
      <c r="GA44" s="200">
        <f t="shared" si="72"/>
        <v>0</v>
      </c>
      <c r="GB44" s="200">
        <f t="shared" si="72"/>
        <v>0</v>
      </c>
    </row>
    <row r="45" spans="1:184" ht="17.25" customHeight="1" x14ac:dyDescent="0.5">
      <c r="A45" s="88"/>
      <c r="B45" s="323"/>
      <c r="C45" s="101" t="s">
        <v>141</v>
      </c>
      <c r="D45" s="169">
        <v>0</v>
      </c>
      <c r="E45" s="169">
        <v>0</v>
      </c>
      <c r="F45" s="203">
        <v>0</v>
      </c>
      <c r="G45" s="177">
        <v>99</v>
      </c>
      <c r="H45" s="205">
        <v>99</v>
      </c>
      <c r="I45" s="206">
        <v>0</v>
      </c>
      <c r="J45" s="207">
        <v>0</v>
      </c>
      <c r="K45" s="208">
        <v>0</v>
      </c>
      <c r="L45" s="202">
        <v>0</v>
      </c>
      <c r="M45" s="209">
        <v>0</v>
      </c>
      <c r="N45" s="2">
        <v>0</v>
      </c>
      <c r="O45" s="38" t="s">
        <v>142</v>
      </c>
      <c r="R45" s="199" t="str">
        <f t="shared" si="16"/>
        <v>Abzahlung in €/Jahr  (ALTERNATIVE zu Zeile 44 – nicht zusätzlich!)</v>
      </c>
      <c r="S45" s="200">
        <f t="shared" si="58"/>
        <v>0</v>
      </c>
      <c r="T45" s="200">
        <f t="shared" si="58"/>
        <v>0</v>
      </c>
      <c r="U45" s="200">
        <f t="shared" si="58"/>
        <v>0</v>
      </c>
      <c r="V45" s="200">
        <f t="shared" si="58"/>
        <v>0</v>
      </c>
      <c r="W45" s="200">
        <f t="shared" si="58"/>
        <v>0</v>
      </c>
      <c r="X45" s="200">
        <f t="shared" si="58"/>
        <v>0</v>
      </c>
      <c r="Y45" s="200">
        <f t="shared" si="58"/>
        <v>0</v>
      </c>
      <c r="Z45" s="200">
        <f t="shared" si="58"/>
        <v>0</v>
      </c>
      <c r="AA45" s="200">
        <f t="shared" si="58"/>
        <v>0</v>
      </c>
      <c r="AB45" s="200">
        <f t="shared" si="58"/>
        <v>0</v>
      </c>
      <c r="AC45" s="200">
        <f t="shared" si="59"/>
        <v>0</v>
      </c>
      <c r="AD45" s="200">
        <f t="shared" si="59"/>
        <v>0</v>
      </c>
      <c r="AE45" s="200">
        <f t="shared" si="59"/>
        <v>0</v>
      </c>
      <c r="AF45" s="200">
        <f t="shared" si="59"/>
        <v>0</v>
      </c>
      <c r="AG45" s="200">
        <f t="shared" si="59"/>
        <v>0</v>
      </c>
      <c r="AH45" s="200">
        <f t="shared" si="59"/>
        <v>0</v>
      </c>
      <c r="AI45" s="200">
        <f t="shared" si="59"/>
        <v>0</v>
      </c>
      <c r="AJ45" s="200">
        <f t="shared" si="59"/>
        <v>0</v>
      </c>
      <c r="AK45" s="200">
        <f t="shared" si="59"/>
        <v>0</v>
      </c>
      <c r="AL45" s="200">
        <f t="shared" si="59"/>
        <v>0</v>
      </c>
      <c r="AM45" s="200">
        <f t="shared" si="60"/>
        <v>0</v>
      </c>
      <c r="AN45" s="200">
        <f t="shared" si="60"/>
        <v>0</v>
      </c>
      <c r="AO45" s="200">
        <f t="shared" si="60"/>
        <v>0</v>
      </c>
      <c r="AP45" s="200">
        <f t="shared" si="60"/>
        <v>0</v>
      </c>
      <c r="AQ45" s="200">
        <f t="shared" si="60"/>
        <v>0</v>
      </c>
      <c r="AR45" s="200">
        <f t="shared" si="60"/>
        <v>0</v>
      </c>
      <c r="AS45" s="200">
        <f t="shared" si="60"/>
        <v>0</v>
      </c>
      <c r="AT45" s="200">
        <f t="shared" si="60"/>
        <v>0</v>
      </c>
      <c r="AU45" s="200">
        <f t="shared" si="60"/>
        <v>0</v>
      </c>
      <c r="AV45" s="200">
        <f t="shared" si="60"/>
        <v>0</v>
      </c>
      <c r="AW45" s="200">
        <f t="shared" si="61"/>
        <v>0</v>
      </c>
      <c r="AX45" s="200">
        <f t="shared" si="61"/>
        <v>0</v>
      </c>
      <c r="AY45" s="200">
        <f t="shared" si="61"/>
        <v>0</v>
      </c>
      <c r="AZ45" s="200">
        <f t="shared" si="61"/>
        <v>0</v>
      </c>
      <c r="BA45" s="200">
        <f t="shared" si="61"/>
        <v>0</v>
      </c>
      <c r="BB45" s="200">
        <f t="shared" si="61"/>
        <v>0</v>
      </c>
      <c r="BC45" s="200">
        <f t="shared" si="61"/>
        <v>0</v>
      </c>
      <c r="BD45" s="200">
        <f t="shared" si="61"/>
        <v>0</v>
      </c>
      <c r="BE45" s="200">
        <f t="shared" si="61"/>
        <v>0</v>
      </c>
      <c r="BF45" s="200">
        <f t="shared" si="61"/>
        <v>0</v>
      </c>
      <c r="BG45" s="200">
        <f t="shared" si="62"/>
        <v>0</v>
      </c>
      <c r="BH45" s="200">
        <f t="shared" si="62"/>
        <v>0</v>
      </c>
      <c r="BI45" s="200">
        <f t="shared" si="62"/>
        <v>0</v>
      </c>
      <c r="BJ45" s="200">
        <f t="shared" si="62"/>
        <v>0</v>
      </c>
      <c r="BK45" s="200">
        <f t="shared" si="62"/>
        <v>0</v>
      </c>
      <c r="BL45" s="200">
        <f t="shared" si="62"/>
        <v>0</v>
      </c>
      <c r="BM45" s="200">
        <f t="shared" si="62"/>
        <v>0</v>
      </c>
      <c r="BN45" s="200">
        <f t="shared" si="62"/>
        <v>0</v>
      </c>
      <c r="BO45" s="200">
        <f t="shared" si="62"/>
        <v>0</v>
      </c>
      <c r="BP45" s="200">
        <f t="shared" si="62"/>
        <v>0</v>
      </c>
      <c r="BQ45" s="200">
        <f t="shared" si="62"/>
        <v>0</v>
      </c>
      <c r="BR45" s="200">
        <f t="shared" si="62"/>
        <v>0</v>
      </c>
      <c r="BS45" s="200">
        <f t="shared" si="62"/>
        <v>0</v>
      </c>
      <c r="BT45" s="200">
        <f t="shared" si="62"/>
        <v>0</v>
      </c>
      <c r="BV45" s="199" t="str">
        <f t="shared" si="19"/>
        <v>Abzahlung in €/Jahr  (ALTERNATIVE zu Zeile 44 – nicht zusätzlich!)</v>
      </c>
      <c r="BW45" s="200">
        <f t="shared" si="63"/>
        <v>0</v>
      </c>
      <c r="BX45" s="200">
        <f t="shared" si="63"/>
        <v>0</v>
      </c>
      <c r="BY45" s="200">
        <f t="shared" si="63"/>
        <v>0</v>
      </c>
      <c r="BZ45" s="200">
        <f t="shared" si="63"/>
        <v>0</v>
      </c>
      <c r="CA45" s="200">
        <f t="shared" si="63"/>
        <v>0</v>
      </c>
      <c r="CB45" s="200">
        <f t="shared" si="63"/>
        <v>0</v>
      </c>
      <c r="CC45" s="200">
        <f t="shared" si="63"/>
        <v>0</v>
      </c>
      <c r="CD45" s="200">
        <f t="shared" si="63"/>
        <v>0</v>
      </c>
      <c r="CE45" s="200">
        <f t="shared" si="63"/>
        <v>0</v>
      </c>
      <c r="CF45" s="200">
        <f t="shared" si="63"/>
        <v>0</v>
      </c>
      <c r="CG45" s="200">
        <f t="shared" si="64"/>
        <v>0</v>
      </c>
      <c r="CH45" s="200">
        <f t="shared" si="64"/>
        <v>0</v>
      </c>
      <c r="CI45" s="200">
        <f t="shared" si="64"/>
        <v>0</v>
      </c>
      <c r="CJ45" s="200">
        <f t="shared" si="64"/>
        <v>0</v>
      </c>
      <c r="CK45" s="200">
        <f t="shared" si="64"/>
        <v>0</v>
      </c>
      <c r="CL45" s="200">
        <f t="shared" si="64"/>
        <v>0</v>
      </c>
      <c r="CM45" s="200">
        <f t="shared" si="64"/>
        <v>0</v>
      </c>
      <c r="CN45" s="200">
        <f t="shared" si="64"/>
        <v>0</v>
      </c>
      <c r="CO45" s="200">
        <f t="shared" si="64"/>
        <v>0</v>
      </c>
      <c r="CP45" s="200">
        <f t="shared" si="64"/>
        <v>0</v>
      </c>
      <c r="CQ45" s="200">
        <f t="shared" si="65"/>
        <v>0</v>
      </c>
      <c r="CR45" s="200">
        <f t="shared" si="65"/>
        <v>0</v>
      </c>
      <c r="CS45" s="200">
        <f t="shared" si="65"/>
        <v>0</v>
      </c>
      <c r="CT45" s="200">
        <f t="shared" si="65"/>
        <v>0</v>
      </c>
      <c r="CU45" s="200">
        <f t="shared" si="65"/>
        <v>0</v>
      </c>
      <c r="CV45" s="200">
        <f t="shared" si="65"/>
        <v>0</v>
      </c>
      <c r="CW45" s="200">
        <f t="shared" si="65"/>
        <v>0</v>
      </c>
      <c r="CX45" s="200">
        <f t="shared" si="65"/>
        <v>0</v>
      </c>
      <c r="CY45" s="200">
        <f t="shared" si="65"/>
        <v>0</v>
      </c>
      <c r="CZ45" s="200">
        <f t="shared" si="65"/>
        <v>0</v>
      </c>
      <c r="DA45" s="200">
        <f t="shared" si="66"/>
        <v>0</v>
      </c>
      <c r="DB45" s="200">
        <f t="shared" si="66"/>
        <v>0</v>
      </c>
      <c r="DC45" s="200">
        <f t="shared" si="66"/>
        <v>0</v>
      </c>
      <c r="DD45" s="200">
        <f t="shared" si="66"/>
        <v>0</v>
      </c>
      <c r="DE45" s="200">
        <f t="shared" si="66"/>
        <v>0</v>
      </c>
      <c r="DF45" s="200">
        <f t="shared" si="66"/>
        <v>0</v>
      </c>
      <c r="DG45" s="200">
        <f t="shared" si="66"/>
        <v>0</v>
      </c>
      <c r="DH45" s="200">
        <f t="shared" si="66"/>
        <v>0</v>
      </c>
      <c r="DI45" s="200">
        <f t="shared" si="66"/>
        <v>0</v>
      </c>
      <c r="DJ45" s="200">
        <f t="shared" si="66"/>
        <v>0</v>
      </c>
      <c r="DK45" s="200">
        <f t="shared" si="67"/>
        <v>0</v>
      </c>
      <c r="DL45" s="200">
        <f t="shared" si="67"/>
        <v>0</v>
      </c>
      <c r="DM45" s="200">
        <f t="shared" si="67"/>
        <v>0</v>
      </c>
      <c r="DN45" s="200">
        <f t="shared" si="67"/>
        <v>0</v>
      </c>
      <c r="DO45" s="200">
        <f t="shared" si="67"/>
        <v>0</v>
      </c>
      <c r="DP45" s="200">
        <f t="shared" si="67"/>
        <v>0</v>
      </c>
      <c r="DQ45" s="200">
        <f t="shared" si="67"/>
        <v>0</v>
      </c>
      <c r="DR45" s="200">
        <f t="shared" si="67"/>
        <v>0</v>
      </c>
      <c r="DS45" s="200">
        <f t="shared" si="67"/>
        <v>0</v>
      </c>
      <c r="DT45" s="200">
        <f t="shared" si="67"/>
        <v>0</v>
      </c>
      <c r="DU45" s="200">
        <f t="shared" si="67"/>
        <v>0</v>
      </c>
      <c r="DV45" s="200">
        <f t="shared" si="67"/>
        <v>0</v>
      </c>
      <c r="DW45" s="200">
        <f t="shared" si="67"/>
        <v>0</v>
      </c>
      <c r="DX45" s="200">
        <f t="shared" si="67"/>
        <v>0</v>
      </c>
      <c r="DZ45" s="199" t="str">
        <f t="shared" si="22"/>
        <v>Abzahlung in €/Jahr  (ALTERNATIVE zu Zeile 44 – nicht zusätzlich!)</v>
      </c>
      <c r="EA45" s="200">
        <f t="shared" si="68"/>
        <v>0</v>
      </c>
      <c r="EB45" s="200">
        <f t="shared" si="68"/>
        <v>0</v>
      </c>
      <c r="EC45" s="200">
        <f t="shared" si="68"/>
        <v>0</v>
      </c>
      <c r="ED45" s="200">
        <f t="shared" si="68"/>
        <v>0</v>
      </c>
      <c r="EE45" s="200">
        <f t="shared" si="68"/>
        <v>0</v>
      </c>
      <c r="EF45" s="200">
        <f t="shared" si="68"/>
        <v>0</v>
      </c>
      <c r="EG45" s="200">
        <f t="shared" si="68"/>
        <v>0</v>
      </c>
      <c r="EH45" s="200">
        <f t="shared" si="68"/>
        <v>0</v>
      </c>
      <c r="EI45" s="200">
        <f t="shared" si="68"/>
        <v>0</v>
      </c>
      <c r="EJ45" s="200">
        <f t="shared" si="68"/>
        <v>0</v>
      </c>
      <c r="EK45" s="200">
        <f t="shared" si="69"/>
        <v>0</v>
      </c>
      <c r="EL45" s="200">
        <f t="shared" si="69"/>
        <v>0</v>
      </c>
      <c r="EM45" s="200">
        <f t="shared" si="69"/>
        <v>0</v>
      </c>
      <c r="EN45" s="200">
        <f t="shared" si="69"/>
        <v>0</v>
      </c>
      <c r="EO45" s="200">
        <f t="shared" si="69"/>
        <v>0</v>
      </c>
      <c r="EP45" s="200">
        <f t="shared" si="69"/>
        <v>0</v>
      </c>
      <c r="EQ45" s="200">
        <f t="shared" si="69"/>
        <v>0</v>
      </c>
      <c r="ER45" s="200">
        <f t="shared" si="69"/>
        <v>0</v>
      </c>
      <c r="ES45" s="200">
        <f t="shared" si="69"/>
        <v>0</v>
      </c>
      <c r="ET45" s="200">
        <f t="shared" si="69"/>
        <v>0</v>
      </c>
      <c r="EU45" s="200">
        <f t="shared" si="70"/>
        <v>0</v>
      </c>
      <c r="EV45" s="200">
        <f t="shared" si="70"/>
        <v>0</v>
      </c>
      <c r="EW45" s="200">
        <f t="shared" si="70"/>
        <v>0</v>
      </c>
      <c r="EX45" s="200">
        <f t="shared" si="70"/>
        <v>0</v>
      </c>
      <c r="EY45" s="200">
        <f t="shared" si="70"/>
        <v>0</v>
      </c>
      <c r="EZ45" s="200">
        <f t="shared" si="70"/>
        <v>0</v>
      </c>
      <c r="FA45" s="200">
        <f t="shared" si="70"/>
        <v>0</v>
      </c>
      <c r="FB45" s="200">
        <f t="shared" si="70"/>
        <v>0</v>
      </c>
      <c r="FC45" s="200">
        <f t="shared" si="70"/>
        <v>0</v>
      </c>
      <c r="FD45" s="200">
        <f t="shared" si="70"/>
        <v>0</v>
      </c>
      <c r="FE45" s="200">
        <f t="shared" si="71"/>
        <v>0</v>
      </c>
      <c r="FF45" s="200">
        <f t="shared" si="71"/>
        <v>0</v>
      </c>
      <c r="FG45" s="200">
        <f t="shared" si="71"/>
        <v>0</v>
      </c>
      <c r="FH45" s="200">
        <f t="shared" si="71"/>
        <v>0</v>
      </c>
      <c r="FI45" s="200">
        <f t="shared" si="71"/>
        <v>0</v>
      </c>
      <c r="FJ45" s="200">
        <f t="shared" si="71"/>
        <v>0</v>
      </c>
      <c r="FK45" s="200">
        <f t="shared" si="71"/>
        <v>0</v>
      </c>
      <c r="FL45" s="200">
        <f t="shared" si="71"/>
        <v>0</v>
      </c>
      <c r="FM45" s="200">
        <f t="shared" si="71"/>
        <v>0</v>
      </c>
      <c r="FN45" s="200">
        <f t="shared" si="71"/>
        <v>0</v>
      </c>
      <c r="FO45" s="200">
        <f t="shared" si="72"/>
        <v>0</v>
      </c>
      <c r="FP45" s="200">
        <f t="shared" si="72"/>
        <v>0</v>
      </c>
      <c r="FQ45" s="200">
        <f t="shared" si="72"/>
        <v>0</v>
      </c>
      <c r="FR45" s="200">
        <f t="shared" si="72"/>
        <v>0</v>
      </c>
      <c r="FS45" s="200">
        <f t="shared" si="72"/>
        <v>0</v>
      </c>
      <c r="FT45" s="200">
        <f t="shared" si="72"/>
        <v>0</v>
      </c>
      <c r="FU45" s="200">
        <f t="shared" si="72"/>
        <v>0</v>
      </c>
      <c r="FV45" s="200">
        <f t="shared" si="72"/>
        <v>0</v>
      </c>
      <c r="FW45" s="200">
        <f t="shared" si="72"/>
        <v>0</v>
      </c>
      <c r="FX45" s="200">
        <f t="shared" si="72"/>
        <v>0</v>
      </c>
      <c r="FY45" s="200">
        <f t="shared" si="72"/>
        <v>0</v>
      </c>
      <c r="FZ45" s="200">
        <f t="shared" si="72"/>
        <v>0</v>
      </c>
      <c r="GA45" s="200">
        <f t="shared" si="72"/>
        <v>0</v>
      </c>
      <c r="GB45" s="200">
        <f t="shared" si="72"/>
        <v>0</v>
      </c>
    </row>
    <row r="46" spans="1:184" ht="17.25" customHeight="1" x14ac:dyDescent="0.5">
      <c r="A46" s="88"/>
      <c r="B46" s="323"/>
      <c r="C46" s="101" t="s">
        <v>143</v>
      </c>
      <c r="D46" s="169"/>
      <c r="E46" s="169"/>
      <c r="F46" s="203"/>
      <c r="G46" s="177"/>
      <c r="H46" s="205"/>
      <c r="I46" s="154">
        <v>0</v>
      </c>
      <c r="J46" s="155">
        <v>0</v>
      </c>
      <c r="K46" s="156">
        <v>0</v>
      </c>
      <c r="L46" s="179">
        <f t="shared" ref="L46:L55" si="73">$D$7</f>
        <v>0.02</v>
      </c>
      <c r="M46" s="180">
        <f t="shared" ref="M46:M55" si="74">$E$7</f>
        <v>0.03</v>
      </c>
      <c r="N46" s="181">
        <f t="shared" ref="N46:N55" si="75">$F$7</f>
        <v>0.05</v>
      </c>
      <c r="R46" s="199" t="str">
        <f t="shared" si="16"/>
        <v>Zusätzliche Arbeitskraft in €/Jahr</v>
      </c>
      <c r="S46" s="200">
        <f t="shared" si="58"/>
        <v>0</v>
      </c>
      <c r="T46" s="200">
        <f t="shared" si="58"/>
        <v>0</v>
      </c>
      <c r="U46" s="200">
        <f t="shared" si="58"/>
        <v>0</v>
      </c>
      <c r="V46" s="200">
        <f t="shared" si="58"/>
        <v>0</v>
      </c>
      <c r="W46" s="200">
        <f t="shared" si="58"/>
        <v>0</v>
      </c>
      <c r="X46" s="200">
        <f t="shared" si="58"/>
        <v>0</v>
      </c>
      <c r="Y46" s="200">
        <f t="shared" si="58"/>
        <v>0</v>
      </c>
      <c r="Z46" s="200">
        <f t="shared" si="58"/>
        <v>0</v>
      </c>
      <c r="AA46" s="200">
        <f t="shared" si="58"/>
        <v>0</v>
      </c>
      <c r="AB46" s="200">
        <f t="shared" si="58"/>
        <v>0</v>
      </c>
      <c r="AC46" s="200">
        <f t="shared" si="59"/>
        <v>0</v>
      </c>
      <c r="AD46" s="200">
        <f t="shared" si="59"/>
        <v>0</v>
      </c>
      <c r="AE46" s="200">
        <f t="shared" si="59"/>
        <v>0</v>
      </c>
      <c r="AF46" s="200">
        <f t="shared" si="59"/>
        <v>0</v>
      </c>
      <c r="AG46" s="200">
        <f t="shared" si="59"/>
        <v>0</v>
      </c>
      <c r="AH46" s="200">
        <f t="shared" si="59"/>
        <v>0</v>
      </c>
      <c r="AI46" s="200">
        <f t="shared" si="59"/>
        <v>0</v>
      </c>
      <c r="AJ46" s="200">
        <f t="shared" si="59"/>
        <v>0</v>
      </c>
      <c r="AK46" s="200">
        <f t="shared" si="59"/>
        <v>0</v>
      </c>
      <c r="AL46" s="200">
        <f t="shared" si="59"/>
        <v>0</v>
      </c>
      <c r="AM46" s="200">
        <f t="shared" si="60"/>
        <v>0</v>
      </c>
      <c r="AN46" s="200">
        <f t="shared" si="60"/>
        <v>0</v>
      </c>
      <c r="AO46" s="200">
        <f t="shared" si="60"/>
        <v>0</v>
      </c>
      <c r="AP46" s="200">
        <f t="shared" si="60"/>
        <v>0</v>
      </c>
      <c r="AQ46" s="200">
        <f t="shared" si="60"/>
        <v>0</v>
      </c>
      <c r="AR46" s="200">
        <f t="shared" si="60"/>
        <v>0</v>
      </c>
      <c r="AS46" s="200">
        <f t="shared" si="60"/>
        <v>0</v>
      </c>
      <c r="AT46" s="200">
        <f t="shared" si="60"/>
        <v>0</v>
      </c>
      <c r="AU46" s="200">
        <f t="shared" si="60"/>
        <v>0</v>
      </c>
      <c r="AV46" s="200">
        <f t="shared" si="60"/>
        <v>0</v>
      </c>
      <c r="AW46" s="200">
        <f t="shared" si="61"/>
        <v>0</v>
      </c>
      <c r="AX46" s="200">
        <f t="shared" si="61"/>
        <v>0</v>
      </c>
      <c r="AY46" s="200">
        <f t="shared" si="61"/>
        <v>0</v>
      </c>
      <c r="AZ46" s="200">
        <f t="shared" si="61"/>
        <v>0</v>
      </c>
      <c r="BA46" s="200">
        <f t="shared" si="61"/>
        <v>0</v>
      </c>
      <c r="BB46" s="200">
        <f t="shared" si="61"/>
        <v>0</v>
      </c>
      <c r="BC46" s="200">
        <f t="shared" si="61"/>
        <v>0</v>
      </c>
      <c r="BD46" s="200">
        <f t="shared" si="61"/>
        <v>0</v>
      </c>
      <c r="BE46" s="200">
        <f t="shared" si="61"/>
        <v>0</v>
      </c>
      <c r="BF46" s="200">
        <f t="shared" si="61"/>
        <v>0</v>
      </c>
      <c r="BG46" s="200">
        <f t="shared" si="62"/>
        <v>0</v>
      </c>
      <c r="BH46" s="200">
        <f t="shared" si="62"/>
        <v>0</v>
      </c>
      <c r="BI46" s="200">
        <f t="shared" si="62"/>
        <v>0</v>
      </c>
      <c r="BJ46" s="200">
        <f t="shared" si="62"/>
        <v>0</v>
      </c>
      <c r="BK46" s="200">
        <f t="shared" si="62"/>
        <v>0</v>
      </c>
      <c r="BL46" s="200">
        <f t="shared" si="62"/>
        <v>0</v>
      </c>
      <c r="BM46" s="200">
        <f t="shared" si="62"/>
        <v>0</v>
      </c>
      <c r="BN46" s="200">
        <f t="shared" si="62"/>
        <v>0</v>
      </c>
      <c r="BO46" s="200">
        <f t="shared" si="62"/>
        <v>0</v>
      </c>
      <c r="BP46" s="200">
        <f t="shared" si="62"/>
        <v>0</v>
      </c>
      <c r="BQ46" s="200">
        <f t="shared" si="62"/>
        <v>0</v>
      </c>
      <c r="BR46" s="200">
        <f t="shared" si="62"/>
        <v>0</v>
      </c>
      <c r="BS46" s="200">
        <f t="shared" si="62"/>
        <v>0</v>
      </c>
      <c r="BT46" s="200">
        <f t="shared" si="62"/>
        <v>0</v>
      </c>
      <c r="BV46" s="199" t="str">
        <f t="shared" si="19"/>
        <v>Zusätzliche Arbeitskraft in €/Jahr</v>
      </c>
      <c r="BW46" s="200">
        <f t="shared" si="63"/>
        <v>0</v>
      </c>
      <c r="BX46" s="200">
        <f t="shared" si="63"/>
        <v>0</v>
      </c>
      <c r="BY46" s="200">
        <f t="shared" si="63"/>
        <v>0</v>
      </c>
      <c r="BZ46" s="200">
        <f t="shared" si="63"/>
        <v>0</v>
      </c>
      <c r="CA46" s="200">
        <f t="shared" si="63"/>
        <v>0</v>
      </c>
      <c r="CB46" s="200">
        <f t="shared" si="63"/>
        <v>0</v>
      </c>
      <c r="CC46" s="200">
        <f t="shared" si="63"/>
        <v>0</v>
      </c>
      <c r="CD46" s="200">
        <f t="shared" si="63"/>
        <v>0</v>
      </c>
      <c r="CE46" s="200">
        <f t="shared" si="63"/>
        <v>0</v>
      </c>
      <c r="CF46" s="200">
        <f t="shared" si="63"/>
        <v>0</v>
      </c>
      <c r="CG46" s="200">
        <f t="shared" si="64"/>
        <v>0</v>
      </c>
      <c r="CH46" s="200">
        <f t="shared" si="64"/>
        <v>0</v>
      </c>
      <c r="CI46" s="200">
        <f t="shared" si="64"/>
        <v>0</v>
      </c>
      <c r="CJ46" s="200">
        <f t="shared" si="64"/>
        <v>0</v>
      </c>
      <c r="CK46" s="200">
        <f t="shared" si="64"/>
        <v>0</v>
      </c>
      <c r="CL46" s="200">
        <f t="shared" si="64"/>
        <v>0</v>
      </c>
      <c r="CM46" s="200">
        <f t="shared" si="64"/>
        <v>0</v>
      </c>
      <c r="CN46" s="200">
        <f t="shared" si="64"/>
        <v>0</v>
      </c>
      <c r="CO46" s="200">
        <f t="shared" si="64"/>
        <v>0</v>
      </c>
      <c r="CP46" s="200">
        <f t="shared" si="64"/>
        <v>0</v>
      </c>
      <c r="CQ46" s="200">
        <f t="shared" si="65"/>
        <v>0</v>
      </c>
      <c r="CR46" s="200">
        <f t="shared" si="65"/>
        <v>0</v>
      </c>
      <c r="CS46" s="200">
        <f t="shared" si="65"/>
        <v>0</v>
      </c>
      <c r="CT46" s="200">
        <f t="shared" si="65"/>
        <v>0</v>
      </c>
      <c r="CU46" s="200">
        <f t="shared" si="65"/>
        <v>0</v>
      </c>
      <c r="CV46" s="200">
        <f t="shared" si="65"/>
        <v>0</v>
      </c>
      <c r="CW46" s="200">
        <f t="shared" si="65"/>
        <v>0</v>
      </c>
      <c r="CX46" s="200">
        <f t="shared" si="65"/>
        <v>0</v>
      </c>
      <c r="CY46" s="200">
        <f t="shared" si="65"/>
        <v>0</v>
      </c>
      <c r="CZ46" s="200">
        <f t="shared" si="65"/>
        <v>0</v>
      </c>
      <c r="DA46" s="200">
        <f t="shared" si="66"/>
        <v>0</v>
      </c>
      <c r="DB46" s="200">
        <f t="shared" si="66"/>
        <v>0</v>
      </c>
      <c r="DC46" s="200">
        <f t="shared" si="66"/>
        <v>0</v>
      </c>
      <c r="DD46" s="200">
        <f t="shared" si="66"/>
        <v>0</v>
      </c>
      <c r="DE46" s="200">
        <f t="shared" si="66"/>
        <v>0</v>
      </c>
      <c r="DF46" s="200">
        <f t="shared" si="66"/>
        <v>0</v>
      </c>
      <c r="DG46" s="200">
        <f t="shared" si="66"/>
        <v>0</v>
      </c>
      <c r="DH46" s="200">
        <f t="shared" si="66"/>
        <v>0</v>
      </c>
      <c r="DI46" s="200">
        <f t="shared" si="66"/>
        <v>0</v>
      </c>
      <c r="DJ46" s="200">
        <f t="shared" si="66"/>
        <v>0</v>
      </c>
      <c r="DK46" s="200">
        <f t="shared" si="67"/>
        <v>0</v>
      </c>
      <c r="DL46" s="200">
        <f t="shared" si="67"/>
        <v>0</v>
      </c>
      <c r="DM46" s="200">
        <f t="shared" si="67"/>
        <v>0</v>
      </c>
      <c r="DN46" s="200">
        <f t="shared" si="67"/>
        <v>0</v>
      </c>
      <c r="DO46" s="200">
        <f t="shared" si="67"/>
        <v>0</v>
      </c>
      <c r="DP46" s="200">
        <f t="shared" si="67"/>
        <v>0</v>
      </c>
      <c r="DQ46" s="200">
        <f t="shared" si="67"/>
        <v>0</v>
      </c>
      <c r="DR46" s="200">
        <f t="shared" si="67"/>
        <v>0</v>
      </c>
      <c r="DS46" s="200">
        <f t="shared" si="67"/>
        <v>0</v>
      </c>
      <c r="DT46" s="200">
        <f t="shared" si="67"/>
        <v>0</v>
      </c>
      <c r="DU46" s="200">
        <f t="shared" si="67"/>
        <v>0</v>
      </c>
      <c r="DV46" s="200">
        <f t="shared" si="67"/>
        <v>0</v>
      </c>
      <c r="DW46" s="200">
        <f t="shared" si="67"/>
        <v>0</v>
      </c>
      <c r="DX46" s="200">
        <f t="shared" si="67"/>
        <v>0</v>
      </c>
      <c r="DZ46" s="199" t="str">
        <f t="shared" si="22"/>
        <v>Zusätzliche Arbeitskraft in €/Jahr</v>
      </c>
      <c r="EA46" s="200">
        <f t="shared" si="68"/>
        <v>0</v>
      </c>
      <c r="EB46" s="200">
        <f t="shared" si="68"/>
        <v>0</v>
      </c>
      <c r="EC46" s="200">
        <f t="shared" si="68"/>
        <v>0</v>
      </c>
      <c r="ED46" s="200">
        <f t="shared" si="68"/>
        <v>0</v>
      </c>
      <c r="EE46" s="200">
        <f t="shared" si="68"/>
        <v>0</v>
      </c>
      <c r="EF46" s="200">
        <f t="shared" si="68"/>
        <v>0</v>
      </c>
      <c r="EG46" s="200">
        <f t="shared" si="68"/>
        <v>0</v>
      </c>
      <c r="EH46" s="200">
        <f t="shared" si="68"/>
        <v>0</v>
      </c>
      <c r="EI46" s="200">
        <f t="shared" si="68"/>
        <v>0</v>
      </c>
      <c r="EJ46" s="200">
        <f t="shared" si="68"/>
        <v>0</v>
      </c>
      <c r="EK46" s="200">
        <f t="shared" si="69"/>
        <v>0</v>
      </c>
      <c r="EL46" s="200">
        <f t="shared" si="69"/>
        <v>0</v>
      </c>
      <c r="EM46" s="200">
        <f t="shared" si="69"/>
        <v>0</v>
      </c>
      <c r="EN46" s="200">
        <f t="shared" si="69"/>
        <v>0</v>
      </c>
      <c r="EO46" s="200">
        <f t="shared" si="69"/>
        <v>0</v>
      </c>
      <c r="EP46" s="200">
        <f t="shared" si="69"/>
        <v>0</v>
      </c>
      <c r="EQ46" s="200">
        <f t="shared" si="69"/>
        <v>0</v>
      </c>
      <c r="ER46" s="200">
        <f t="shared" si="69"/>
        <v>0</v>
      </c>
      <c r="ES46" s="200">
        <f t="shared" si="69"/>
        <v>0</v>
      </c>
      <c r="ET46" s="200">
        <f t="shared" si="69"/>
        <v>0</v>
      </c>
      <c r="EU46" s="200">
        <f t="shared" si="70"/>
        <v>0</v>
      </c>
      <c r="EV46" s="200">
        <f t="shared" si="70"/>
        <v>0</v>
      </c>
      <c r="EW46" s="200">
        <f t="shared" si="70"/>
        <v>0</v>
      </c>
      <c r="EX46" s="200">
        <f t="shared" si="70"/>
        <v>0</v>
      </c>
      <c r="EY46" s="200">
        <f t="shared" si="70"/>
        <v>0</v>
      </c>
      <c r="EZ46" s="200">
        <f t="shared" si="70"/>
        <v>0</v>
      </c>
      <c r="FA46" s="200">
        <f t="shared" si="70"/>
        <v>0</v>
      </c>
      <c r="FB46" s="200">
        <f t="shared" si="70"/>
        <v>0</v>
      </c>
      <c r="FC46" s="200">
        <f t="shared" si="70"/>
        <v>0</v>
      </c>
      <c r="FD46" s="200">
        <f t="shared" si="70"/>
        <v>0</v>
      </c>
      <c r="FE46" s="200">
        <f t="shared" si="71"/>
        <v>0</v>
      </c>
      <c r="FF46" s="200">
        <f t="shared" si="71"/>
        <v>0</v>
      </c>
      <c r="FG46" s="200">
        <f t="shared" si="71"/>
        <v>0</v>
      </c>
      <c r="FH46" s="200">
        <f t="shared" si="71"/>
        <v>0</v>
      </c>
      <c r="FI46" s="200">
        <f t="shared" si="71"/>
        <v>0</v>
      </c>
      <c r="FJ46" s="200">
        <f t="shared" si="71"/>
        <v>0</v>
      </c>
      <c r="FK46" s="200">
        <f t="shared" si="71"/>
        <v>0</v>
      </c>
      <c r="FL46" s="200">
        <f t="shared" si="71"/>
        <v>0</v>
      </c>
      <c r="FM46" s="200">
        <f t="shared" si="71"/>
        <v>0</v>
      </c>
      <c r="FN46" s="200">
        <f t="shared" si="71"/>
        <v>0</v>
      </c>
      <c r="FO46" s="200">
        <f t="shared" si="72"/>
        <v>0</v>
      </c>
      <c r="FP46" s="200">
        <f t="shared" si="72"/>
        <v>0</v>
      </c>
      <c r="FQ46" s="200">
        <f t="shared" si="72"/>
        <v>0</v>
      </c>
      <c r="FR46" s="200">
        <f t="shared" si="72"/>
        <v>0</v>
      </c>
      <c r="FS46" s="200">
        <f t="shared" si="72"/>
        <v>0</v>
      </c>
      <c r="FT46" s="200">
        <f t="shared" si="72"/>
        <v>0</v>
      </c>
      <c r="FU46" s="200">
        <f t="shared" si="72"/>
        <v>0</v>
      </c>
      <c r="FV46" s="200">
        <f t="shared" si="72"/>
        <v>0</v>
      </c>
      <c r="FW46" s="200">
        <f t="shared" si="72"/>
        <v>0</v>
      </c>
      <c r="FX46" s="200">
        <f t="shared" si="72"/>
        <v>0</v>
      </c>
      <c r="FY46" s="200">
        <f t="shared" si="72"/>
        <v>0</v>
      </c>
      <c r="FZ46" s="200">
        <f t="shared" si="72"/>
        <v>0</v>
      </c>
      <c r="GA46" s="200">
        <f t="shared" si="72"/>
        <v>0</v>
      </c>
      <c r="GB46" s="200">
        <f t="shared" si="72"/>
        <v>0</v>
      </c>
    </row>
    <row r="47" spans="1:184" ht="17.25" customHeight="1" x14ac:dyDescent="0.5">
      <c r="A47" s="88"/>
      <c r="B47" s="323"/>
      <c r="C47" s="101" t="s">
        <v>143</v>
      </c>
      <c r="D47" s="169"/>
      <c r="E47" s="169"/>
      <c r="F47" s="203"/>
      <c r="G47" s="177"/>
      <c r="H47" s="205"/>
      <c r="I47" s="154">
        <v>0</v>
      </c>
      <c r="J47" s="155">
        <v>0</v>
      </c>
      <c r="K47" s="156">
        <v>0</v>
      </c>
      <c r="L47" s="179">
        <f t="shared" si="73"/>
        <v>0.02</v>
      </c>
      <c r="M47" s="180">
        <f t="shared" si="74"/>
        <v>0.03</v>
      </c>
      <c r="N47" s="181">
        <f t="shared" si="75"/>
        <v>0.05</v>
      </c>
      <c r="R47" s="199" t="str">
        <f t="shared" si="16"/>
        <v>Zusätzliche Arbeitskraft in €/Jahr</v>
      </c>
      <c r="S47" s="200">
        <f t="shared" si="58"/>
        <v>0</v>
      </c>
      <c r="T47" s="200">
        <f t="shared" si="58"/>
        <v>0</v>
      </c>
      <c r="U47" s="200">
        <f t="shared" si="58"/>
        <v>0</v>
      </c>
      <c r="V47" s="200">
        <f t="shared" si="58"/>
        <v>0</v>
      </c>
      <c r="W47" s="200">
        <f t="shared" si="58"/>
        <v>0</v>
      </c>
      <c r="X47" s="200">
        <f t="shared" si="58"/>
        <v>0</v>
      </c>
      <c r="Y47" s="200">
        <f t="shared" si="58"/>
        <v>0</v>
      </c>
      <c r="Z47" s="200">
        <f t="shared" si="58"/>
        <v>0</v>
      </c>
      <c r="AA47" s="200">
        <f t="shared" si="58"/>
        <v>0</v>
      </c>
      <c r="AB47" s="200">
        <f t="shared" si="58"/>
        <v>0</v>
      </c>
      <c r="AC47" s="200">
        <f t="shared" si="59"/>
        <v>0</v>
      </c>
      <c r="AD47" s="200">
        <f t="shared" si="59"/>
        <v>0</v>
      </c>
      <c r="AE47" s="200">
        <f t="shared" si="59"/>
        <v>0</v>
      </c>
      <c r="AF47" s="200">
        <f t="shared" si="59"/>
        <v>0</v>
      </c>
      <c r="AG47" s="200">
        <f t="shared" si="59"/>
        <v>0</v>
      </c>
      <c r="AH47" s="200">
        <f t="shared" si="59"/>
        <v>0</v>
      </c>
      <c r="AI47" s="200">
        <f t="shared" si="59"/>
        <v>0</v>
      </c>
      <c r="AJ47" s="200">
        <f t="shared" si="59"/>
        <v>0</v>
      </c>
      <c r="AK47" s="200">
        <f t="shared" si="59"/>
        <v>0</v>
      </c>
      <c r="AL47" s="200">
        <f t="shared" si="59"/>
        <v>0</v>
      </c>
      <c r="AM47" s="200">
        <f t="shared" si="60"/>
        <v>0</v>
      </c>
      <c r="AN47" s="200">
        <f t="shared" si="60"/>
        <v>0</v>
      </c>
      <c r="AO47" s="200">
        <f t="shared" si="60"/>
        <v>0</v>
      </c>
      <c r="AP47" s="200">
        <f t="shared" si="60"/>
        <v>0</v>
      </c>
      <c r="AQ47" s="200">
        <f t="shared" si="60"/>
        <v>0</v>
      </c>
      <c r="AR47" s="200">
        <f t="shared" si="60"/>
        <v>0</v>
      </c>
      <c r="AS47" s="200">
        <f t="shared" si="60"/>
        <v>0</v>
      </c>
      <c r="AT47" s="200">
        <f t="shared" si="60"/>
        <v>0</v>
      </c>
      <c r="AU47" s="200">
        <f t="shared" si="60"/>
        <v>0</v>
      </c>
      <c r="AV47" s="200">
        <f t="shared" si="60"/>
        <v>0</v>
      </c>
      <c r="AW47" s="200">
        <f t="shared" si="61"/>
        <v>0</v>
      </c>
      <c r="AX47" s="200">
        <f t="shared" si="61"/>
        <v>0</v>
      </c>
      <c r="AY47" s="200">
        <f t="shared" si="61"/>
        <v>0</v>
      </c>
      <c r="AZ47" s="200">
        <f t="shared" si="61"/>
        <v>0</v>
      </c>
      <c r="BA47" s="200">
        <f t="shared" si="61"/>
        <v>0</v>
      </c>
      <c r="BB47" s="200">
        <f t="shared" si="61"/>
        <v>0</v>
      </c>
      <c r="BC47" s="200">
        <f t="shared" si="61"/>
        <v>0</v>
      </c>
      <c r="BD47" s="200">
        <f t="shared" si="61"/>
        <v>0</v>
      </c>
      <c r="BE47" s="200">
        <f t="shared" si="61"/>
        <v>0</v>
      </c>
      <c r="BF47" s="200">
        <f t="shared" si="61"/>
        <v>0</v>
      </c>
      <c r="BG47" s="200">
        <f t="shared" si="62"/>
        <v>0</v>
      </c>
      <c r="BH47" s="200">
        <f t="shared" si="62"/>
        <v>0</v>
      </c>
      <c r="BI47" s="200">
        <f t="shared" si="62"/>
        <v>0</v>
      </c>
      <c r="BJ47" s="200">
        <f t="shared" si="62"/>
        <v>0</v>
      </c>
      <c r="BK47" s="200">
        <f t="shared" si="62"/>
        <v>0</v>
      </c>
      <c r="BL47" s="200">
        <f t="shared" si="62"/>
        <v>0</v>
      </c>
      <c r="BM47" s="200">
        <f t="shared" si="62"/>
        <v>0</v>
      </c>
      <c r="BN47" s="200">
        <f t="shared" si="62"/>
        <v>0</v>
      </c>
      <c r="BO47" s="200">
        <f t="shared" si="62"/>
        <v>0</v>
      </c>
      <c r="BP47" s="200">
        <f t="shared" si="62"/>
        <v>0</v>
      </c>
      <c r="BQ47" s="200">
        <f t="shared" si="62"/>
        <v>0</v>
      </c>
      <c r="BR47" s="200">
        <f t="shared" si="62"/>
        <v>0</v>
      </c>
      <c r="BS47" s="200">
        <f t="shared" si="62"/>
        <v>0</v>
      </c>
      <c r="BT47" s="200">
        <f t="shared" si="62"/>
        <v>0</v>
      </c>
      <c r="BV47" s="199" t="str">
        <f t="shared" si="19"/>
        <v>Zusätzliche Arbeitskraft in €/Jahr</v>
      </c>
      <c r="BW47" s="200">
        <f t="shared" si="63"/>
        <v>0</v>
      </c>
      <c r="BX47" s="200">
        <f t="shared" si="63"/>
        <v>0</v>
      </c>
      <c r="BY47" s="200">
        <f t="shared" si="63"/>
        <v>0</v>
      </c>
      <c r="BZ47" s="200">
        <f t="shared" si="63"/>
        <v>0</v>
      </c>
      <c r="CA47" s="200">
        <f t="shared" si="63"/>
        <v>0</v>
      </c>
      <c r="CB47" s="200">
        <f t="shared" si="63"/>
        <v>0</v>
      </c>
      <c r="CC47" s="200">
        <f t="shared" si="63"/>
        <v>0</v>
      </c>
      <c r="CD47" s="200">
        <f t="shared" si="63"/>
        <v>0</v>
      </c>
      <c r="CE47" s="200">
        <f t="shared" si="63"/>
        <v>0</v>
      </c>
      <c r="CF47" s="200">
        <f t="shared" si="63"/>
        <v>0</v>
      </c>
      <c r="CG47" s="200">
        <f t="shared" si="64"/>
        <v>0</v>
      </c>
      <c r="CH47" s="200">
        <f t="shared" si="64"/>
        <v>0</v>
      </c>
      <c r="CI47" s="200">
        <f t="shared" si="64"/>
        <v>0</v>
      </c>
      <c r="CJ47" s="200">
        <f t="shared" si="64"/>
        <v>0</v>
      </c>
      <c r="CK47" s="200">
        <f t="shared" si="64"/>
        <v>0</v>
      </c>
      <c r="CL47" s="200">
        <f t="shared" si="64"/>
        <v>0</v>
      </c>
      <c r="CM47" s="200">
        <f t="shared" si="64"/>
        <v>0</v>
      </c>
      <c r="CN47" s="200">
        <f t="shared" si="64"/>
        <v>0</v>
      </c>
      <c r="CO47" s="200">
        <f t="shared" si="64"/>
        <v>0</v>
      </c>
      <c r="CP47" s="200">
        <f t="shared" si="64"/>
        <v>0</v>
      </c>
      <c r="CQ47" s="200">
        <f t="shared" si="65"/>
        <v>0</v>
      </c>
      <c r="CR47" s="200">
        <f t="shared" si="65"/>
        <v>0</v>
      </c>
      <c r="CS47" s="200">
        <f t="shared" si="65"/>
        <v>0</v>
      </c>
      <c r="CT47" s="200">
        <f t="shared" si="65"/>
        <v>0</v>
      </c>
      <c r="CU47" s="200">
        <f t="shared" si="65"/>
        <v>0</v>
      </c>
      <c r="CV47" s="200">
        <f t="shared" si="65"/>
        <v>0</v>
      </c>
      <c r="CW47" s="200">
        <f t="shared" si="65"/>
        <v>0</v>
      </c>
      <c r="CX47" s="200">
        <f t="shared" si="65"/>
        <v>0</v>
      </c>
      <c r="CY47" s="200">
        <f t="shared" si="65"/>
        <v>0</v>
      </c>
      <c r="CZ47" s="200">
        <f t="shared" si="65"/>
        <v>0</v>
      </c>
      <c r="DA47" s="200">
        <f t="shared" si="66"/>
        <v>0</v>
      </c>
      <c r="DB47" s="200">
        <f t="shared" si="66"/>
        <v>0</v>
      </c>
      <c r="DC47" s="200">
        <f t="shared" si="66"/>
        <v>0</v>
      </c>
      <c r="DD47" s="200">
        <f t="shared" si="66"/>
        <v>0</v>
      </c>
      <c r="DE47" s="200">
        <f t="shared" si="66"/>
        <v>0</v>
      </c>
      <c r="DF47" s="200">
        <f t="shared" si="66"/>
        <v>0</v>
      </c>
      <c r="DG47" s="200">
        <f t="shared" si="66"/>
        <v>0</v>
      </c>
      <c r="DH47" s="200">
        <f t="shared" si="66"/>
        <v>0</v>
      </c>
      <c r="DI47" s="200">
        <f t="shared" si="66"/>
        <v>0</v>
      </c>
      <c r="DJ47" s="200">
        <f t="shared" si="66"/>
        <v>0</v>
      </c>
      <c r="DK47" s="200">
        <f t="shared" si="67"/>
        <v>0</v>
      </c>
      <c r="DL47" s="200">
        <f t="shared" si="67"/>
        <v>0</v>
      </c>
      <c r="DM47" s="200">
        <f t="shared" si="67"/>
        <v>0</v>
      </c>
      <c r="DN47" s="200">
        <f t="shared" si="67"/>
        <v>0</v>
      </c>
      <c r="DO47" s="200">
        <f t="shared" si="67"/>
        <v>0</v>
      </c>
      <c r="DP47" s="200">
        <f t="shared" si="67"/>
        <v>0</v>
      </c>
      <c r="DQ47" s="200">
        <f t="shared" si="67"/>
        <v>0</v>
      </c>
      <c r="DR47" s="200">
        <f t="shared" si="67"/>
        <v>0</v>
      </c>
      <c r="DS47" s="200">
        <f t="shared" si="67"/>
        <v>0</v>
      </c>
      <c r="DT47" s="200">
        <f t="shared" si="67"/>
        <v>0</v>
      </c>
      <c r="DU47" s="200">
        <f t="shared" si="67"/>
        <v>0</v>
      </c>
      <c r="DV47" s="200">
        <f t="shared" si="67"/>
        <v>0</v>
      </c>
      <c r="DW47" s="200">
        <f t="shared" si="67"/>
        <v>0</v>
      </c>
      <c r="DX47" s="200">
        <f t="shared" si="67"/>
        <v>0</v>
      </c>
      <c r="DZ47" s="199" t="str">
        <f t="shared" si="22"/>
        <v>Zusätzliche Arbeitskraft in €/Jahr</v>
      </c>
      <c r="EA47" s="200">
        <f t="shared" si="68"/>
        <v>0</v>
      </c>
      <c r="EB47" s="200">
        <f t="shared" si="68"/>
        <v>0</v>
      </c>
      <c r="EC47" s="200">
        <f t="shared" si="68"/>
        <v>0</v>
      </c>
      <c r="ED47" s="200">
        <f t="shared" si="68"/>
        <v>0</v>
      </c>
      <c r="EE47" s="200">
        <f t="shared" si="68"/>
        <v>0</v>
      </c>
      <c r="EF47" s="200">
        <f t="shared" si="68"/>
        <v>0</v>
      </c>
      <c r="EG47" s="200">
        <f t="shared" si="68"/>
        <v>0</v>
      </c>
      <c r="EH47" s="200">
        <f t="shared" si="68"/>
        <v>0</v>
      </c>
      <c r="EI47" s="200">
        <f t="shared" si="68"/>
        <v>0</v>
      </c>
      <c r="EJ47" s="200">
        <f t="shared" si="68"/>
        <v>0</v>
      </c>
      <c r="EK47" s="200">
        <f t="shared" si="69"/>
        <v>0</v>
      </c>
      <c r="EL47" s="200">
        <f t="shared" si="69"/>
        <v>0</v>
      </c>
      <c r="EM47" s="200">
        <f t="shared" si="69"/>
        <v>0</v>
      </c>
      <c r="EN47" s="200">
        <f t="shared" si="69"/>
        <v>0</v>
      </c>
      <c r="EO47" s="200">
        <f t="shared" si="69"/>
        <v>0</v>
      </c>
      <c r="EP47" s="200">
        <f t="shared" si="69"/>
        <v>0</v>
      </c>
      <c r="EQ47" s="200">
        <f t="shared" si="69"/>
        <v>0</v>
      </c>
      <c r="ER47" s="200">
        <f t="shared" si="69"/>
        <v>0</v>
      </c>
      <c r="ES47" s="200">
        <f t="shared" si="69"/>
        <v>0</v>
      </c>
      <c r="ET47" s="200">
        <f t="shared" si="69"/>
        <v>0</v>
      </c>
      <c r="EU47" s="200">
        <f t="shared" si="70"/>
        <v>0</v>
      </c>
      <c r="EV47" s="200">
        <f t="shared" si="70"/>
        <v>0</v>
      </c>
      <c r="EW47" s="200">
        <f t="shared" si="70"/>
        <v>0</v>
      </c>
      <c r="EX47" s="200">
        <f t="shared" si="70"/>
        <v>0</v>
      </c>
      <c r="EY47" s="200">
        <f t="shared" si="70"/>
        <v>0</v>
      </c>
      <c r="EZ47" s="200">
        <f t="shared" si="70"/>
        <v>0</v>
      </c>
      <c r="FA47" s="200">
        <f t="shared" si="70"/>
        <v>0</v>
      </c>
      <c r="FB47" s="200">
        <f t="shared" si="70"/>
        <v>0</v>
      </c>
      <c r="FC47" s="200">
        <f t="shared" si="70"/>
        <v>0</v>
      </c>
      <c r="FD47" s="200">
        <f t="shared" si="70"/>
        <v>0</v>
      </c>
      <c r="FE47" s="200">
        <f t="shared" si="71"/>
        <v>0</v>
      </c>
      <c r="FF47" s="200">
        <f t="shared" si="71"/>
        <v>0</v>
      </c>
      <c r="FG47" s="200">
        <f t="shared" si="71"/>
        <v>0</v>
      </c>
      <c r="FH47" s="200">
        <f t="shared" si="71"/>
        <v>0</v>
      </c>
      <c r="FI47" s="200">
        <f t="shared" si="71"/>
        <v>0</v>
      </c>
      <c r="FJ47" s="200">
        <f t="shared" si="71"/>
        <v>0</v>
      </c>
      <c r="FK47" s="200">
        <f t="shared" si="71"/>
        <v>0</v>
      </c>
      <c r="FL47" s="200">
        <f t="shared" si="71"/>
        <v>0</v>
      </c>
      <c r="FM47" s="200">
        <f t="shared" si="71"/>
        <v>0</v>
      </c>
      <c r="FN47" s="200">
        <f t="shared" si="71"/>
        <v>0</v>
      </c>
      <c r="FO47" s="200">
        <f t="shared" si="72"/>
        <v>0</v>
      </c>
      <c r="FP47" s="200">
        <f t="shared" si="72"/>
        <v>0</v>
      </c>
      <c r="FQ47" s="200">
        <f t="shared" si="72"/>
        <v>0</v>
      </c>
      <c r="FR47" s="200">
        <f t="shared" si="72"/>
        <v>0</v>
      </c>
      <c r="FS47" s="200">
        <f t="shared" si="72"/>
        <v>0</v>
      </c>
      <c r="FT47" s="200">
        <f t="shared" si="72"/>
        <v>0</v>
      </c>
      <c r="FU47" s="200">
        <f t="shared" si="72"/>
        <v>0</v>
      </c>
      <c r="FV47" s="200">
        <f t="shared" si="72"/>
        <v>0</v>
      </c>
      <c r="FW47" s="200">
        <f t="shared" si="72"/>
        <v>0</v>
      </c>
      <c r="FX47" s="200">
        <f t="shared" si="72"/>
        <v>0</v>
      </c>
      <c r="FY47" s="200">
        <f t="shared" si="72"/>
        <v>0</v>
      </c>
      <c r="FZ47" s="200">
        <f t="shared" si="72"/>
        <v>0</v>
      </c>
      <c r="GA47" s="200">
        <f t="shared" si="72"/>
        <v>0</v>
      </c>
      <c r="GB47" s="200">
        <f t="shared" si="72"/>
        <v>0</v>
      </c>
    </row>
    <row r="48" spans="1:184" ht="17.25" customHeight="1" x14ac:dyDescent="0.5">
      <c r="A48" s="88"/>
      <c r="B48" s="323"/>
      <c r="C48" s="101" t="s">
        <v>144</v>
      </c>
      <c r="D48" s="169"/>
      <c r="E48" s="169"/>
      <c r="F48" s="203"/>
      <c r="G48" s="177"/>
      <c r="H48" s="205"/>
      <c r="I48" s="154">
        <v>0</v>
      </c>
      <c r="J48" s="155">
        <v>0</v>
      </c>
      <c r="K48" s="156">
        <v>0</v>
      </c>
      <c r="L48" s="179">
        <f t="shared" si="73"/>
        <v>0.02</v>
      </c>
      <c r="M48" s="180">
        <f t="shared" si="74"/>
        <v>0.03</v>
      </c>
      <c r="N48" s="181">
        <f t="shared" si="75"/>
        <v>0.05</v>
      </c>
      <c r="R48" s="199" t="str">
        <f t="shared" si="16"/>
        <v>Minderproduktion in €/Jahr</v>
      </c>
      <c r="S48" s="200">
        <f t="shared" si="58"/>
        <v>0</v>
      </c>
      <c r="T48" s="200">
        <f t="shared" si="58"/>
        <v>0</v>
      </c>
      <c r="U48" s="200">
        <f t="shared" si="58"/>
        <v>0</v>
      </c>
      <c r="V48" s="200">
        <f t="shared" si="58"/>
        <v>0</v>
      </c>
      <c r="W48" s="200">
        <f t="shared" si="58"/>
        <v>0</v>
      </c>
      <c r="X48" s="200">
        <f t="shared" si="58"/>
        <v>0</v>
      </c>
      <c r="Y48" s="200">
        <f t="shared" si="58"/>
        <v>0</v>
      </c>
      <c r="Z48" s="200">
        <f t="shared" si="58"/>
        <v>0</v>
      </c>
      <c r="AA48" s="200">
        <f t="shared" si="58"/>
        <v>0</v>
      </c>
      <c r="AB48" s="200">
        <f t="shared" si="58"/>
        <v>0</v>
      </c>
      <c r="AC48" s="200">
        <f t="shared" si="59"/>
        <v>0</v>
      </c>
      <c r="AD48" s="200">
        <f t="shared" si="59"/>
        <v>0</v>
      </c>
      <c r="AE48" s="200">
        <f t="shared" si="59"/>
        <v>0</v>
      </c>
      <c r="AF48" s="200">
        <f t="shared" si="59"/>
        <v>0</v>
      </c>
      <c r="AG48" s="200">
        <f t="shared" si="59"/>
        <v>0</v>
      </c>
      <c r="AH48" s="200">
        <f t="shared" si="59"/>
        <v>0</v>
      </c>
      <c r="AI48" s="200">
        <f t="shared" si="59"/>
        <v>0</v>
      </c>
      <c r="AJ48" s="200">
        <f t="shared" si="59"/>
        <v>0</v>
      </c>
      <c r="AK48" s="200">
        <f t="shared" si="59"/>
        <v>0</v>
      </c>
      <c r="AL48" s="200">
        <f t="shared" si="59"/>
        <v>0</v>
      </c>
      <c r="AM48" s="200">
        <f t="shared" si="60"/>
        <v>0</v>
      </c>
      <c r="AN48" s="200">
        <f t="shared" si="60"/>
        <v>0</v>
      </c>
      <c r="AO48" s="200">
        <f t="shared" si="60"/>
        <v>0</v>
      </c>
      <c r="AP48" s="200">
        <f t="shared" si="60"/>
        <v>0</v>
      </c>
      <c r="AQ48" s="200">
        <f t="shared" si="60"/>
        <v>0</v>
      </c>
      <c r="AR48" s="200">
        <f t="shared" si="60"/>
        <v>0</v>
      </c>
      <c r="AS48" s="200">
        <f t="shared" si="60"/>
        <v>0</v>
      </c>
      <c r="AT48" s="200">
        <f t="shared" si="60"/>
        <v>0</v>
      </c>
      <c r="AU48" s="200">
        <f t="shared" si="60"/>
        <v>0</v>
      </c>
      <c r="AV48" s="200">
        <f t="shared" si="60"/>
        <v>0</v>
      </c>
      <c r="AW48" s="200">
        <f t="shared" si="61"/>
        <v>0</v>
      </c>
      <c r="AX48" s="200">
        <f t="shared" si="61"/>
        <v>0</v>
      </c>
      <c r="AY48" s="200">
        <f t="shared" si="61"/>
        <v>0</v>
      </c>
      <c r="AZ48" s="200">
        <f t="shared" si="61"/>
        <v>0</v>
      </c>
      <c r="BA48" s="200">
        <f t="shared" si="61"/>
        <v>0</v>
      </c>
      <c r="BB48" s="200">
        <f t="shared" si="61"/>
        <v>0</v>
      </c>
      <c r="BC48" s="200">
        <f t="shared" si="61"/>
        <v>0</v>
      </c>
      <c r="BD48" s="200">
        <f t="shared" si="61"/>
        <v>0</v>
      </c>
      <c r="BE48" s="200">
        <f t="shared" si="61"/>
        <v>0</v>
      </c>
      <c r="BF48" s="200">
        <f t="shared" si="61"/>
        <v>0</v>
      </c>
      <c r="BG48" s="200">
        <f t="shared" si="62"/>
        <v>0</v>
      </c>
      <c r="BH48" s="200">
        <f t="shared" si="62"/>
        <v>0</v>
      </c>
      <c r="BI48" s="200">
        <f t="shared" si="62"/>
        <v>0</v>
      </c>
      <c r="BJ48" s="200">
        <f t="shared" si="62"/>
        <v>0</v>
      </c>
      <c r="BK48" s="200">
        <f t="shared" si="62"/>
        <v>0</v>
      </c>
      <c r="BL48" s="200">
        <f t="shared" si="62"/>
        <v>0</v>
      </c>
      <c r="BM48" s="200">
        <f t="shared" si="62"/>
        <v>0</v>
      </c>
      <c r="BN48" s="200">
        <f t="shared" si="62"/>
        <v>0</v>
      </c>
      <c r="BO48" s="200">
        <f t="shared" si="62"/>
        <v>0</v>
      </c>
      <c r="BP48" s="200">
        <f t="shared" si="62"/>
        <v>0</v>
      </c>
      <c r="BQ48" s="200">
        <f t="shared" si="62"/>
        <v>0</v>
      </c>
      <c r="BR48" s="200">
        <f t="shared" si="62"/>
        <v>0</v>
      </c>
      <c r="BS48" s="200">
        <f t="shared" si="62"/>
        <v>0</v>
      </c>
      <c r="BT48" s="200">
        <f t="shared" si="62"/>
        <v>0</v>
      </c>
      <c r="BV48" s="199" t="str">
        <f t="shared" si="19"/>
        <v>Minderproduktion in €/Jahr</v>
      </c>
      <c r="BW48" s="200">
        <f t="shared" si="63"/>
        <v>0</v>
      </c>
      <c r="BX48" s="200">
        <f t="shared" si="63"/>
        <v>0</v>
      </c>
      <c r="BY48" s="200">
        <f t="shared" si="63"/>
        <v>0</v>
      </c>
      <c r="BZ48" s="200">
        <f t="shared" si="63"/>
        <v>0</v>
      </c>
      <c r="CA48" s="200">
        <f t="shared" si="63"/>
        <v>0</v>
      </c>
      <c r="CB48" s="200">
        <f t="shared" si="63"/>
        <v>0</v>
      </c>
      <c r="CC48" s="200">
        <f t="shared" si="63"/>
        <v>0</v>
      </c>
      <c r="CD48" s="200">
        <f t="shared" si="63"/>
        <v>0</v>
      </c>
      <c r="CE48" s="200">
        <f t="shared" si="63"/>
        <v>0</v>
      </c>
      <c r="CF48" s="200">
        <f t="shared" si="63"/>
        <v>0</v>
      </c>
      <c r="CG48" s="200">
        <f t="shared" si="64"/>
        <v>0</v>
      </c>
      <c r="CH48" s="200">
        <f t="shared" si="64"/>
        <v>0</v>
      </c>
      <c r="CI48" s="200">
        <f t="shared" si="64"/>
        <v>0</v>
      </c>
      <c r="CJ48" s="200">
        <f t="shared" si="64"/>
        <v>0</v>
      </c>
      <c r="CK48" s="200">
        <f t="shared" si="64"/>
        <v>0</v>
      </c>
      <c r="CL48" s="200">
        <f t="shared" si="64"/>
        <v>0</v>
      </c>
      <c r="CM48" s="200">
        <f t="shared" si="64"/>
        <v>0</v>
      </c>
      <c r="CN48" s="200">
        <f t="shared" si="64"/>
        <v>0</v>
      </c>
      <c r="CO48" s="200">
        <f t="shared" si="64"/>
        <v>0</v>
      </c>
      <c r="CP48" s="200">
        <f t="shared" si="64"/>
        <v>0</v>
      </c>
      <c r="CQ48" s="200">
        <f t="shared" si="65"/>
        <v>0</v>
      </c>
      <c r="CR48" s="200">
        <f t="shared" si="65"/>
        <v>0</v>
      </c>
      <c r="CS48" s="200">
        <f t="shared" si="65"/>
        <v>0</v>
      </c>
      <c r="CT48" s="200">
        <f t="shared" si="65"/>
        <v>0</v>
      </c>
      <c r="CU48" s="200">
        <f t="shared" si="65"/>
        <v>0</v>
      </c>
      <c r="CV48" s="200">
        <f t="shared" si="65"/>
        <v>0</v>
      </c>
      <c r="CW48" s="200">
        <f t="shared" si="65"/>
        <v>0</v>
      </c>
      <c r="CX48" s="200">
        <f t="shared" si="65"/>
        <v>0</v>
      </c>
      <c r="CY48" s="200">
        <f t="shared" si="65"/>
        <v>0</v>
      </c>
      <c r="CZ48" s="200">
        <f t="shared" si="65"/>
        <v>0</v>
      </c>
      <c r="DA48" s="200">
        <f t="shared" si="66"/>
        <v>0</v>
      </c>
      <c r="DB48" s="200">
        <f t="shared" si="66"/>
        <v>0</v>
      </c>
      <c r="DC48" s="200">
        <f t="shared" si="66"/>
        <v>0</v>
      </c>
      <c r="DD48" s="200">
        <f t="shared" si="66"/>
        <v>0</v>
      </c>
      <c r="DE48" s="200">
        <f t="shared" si="66"/>
        <v>0</v>
      </c>
      <c r="DF48" s="200">
        <f t="shared" si="66"/>
        <v>0</v>
      </c>
      <c r="DG48" s="200">
        <f t="shared" si="66"/>
        <v>0</v>
      </c>
      <c r="DH48" s="200">
        <f t="shared" si="66"/>
        <v>0</v>
      </c>
      <c r="DI48" s="200">
        <f t="shared" si="66"/>
        <v>0</v>
      </c>
      <c r="DJ48" s="200">
        <f t="shared" si="66"/>
        <v>0</v>
      </c>
      <c r="DK48" s="200">
        <f t="shared" si="67"/>
        <v>0</v>
      </c>
      <c r="DL48" s="200">
        <f t="shared" si="67"/>
        <v>0</v>
      </c>
      <c r="DM48" s="200">
        <f t="shared" si="67"/>
        <v>0</v>
      </c>
      <c r="DN48" s="200">
        <f t="shared" si="67"/>
        <v>0</v>
      </c>
      <c r="DO48" s="200">
        <f t="shared" si="67"/>
        <v>0</v>
      </c>
      <c r="DP48" s="200">
        <f t="shared" si="67"/>
        <v>0</v>
      </c>
      <c r="DQ48" s="200">
        <f t="shared" si="67"/>
        <v>0</v>
      </c>
      <c r="DR48" s="200">
        <f t="shared" si="67"/>
        <v>0</v>
      </c>
      <c r="DS48" s="200">
        <f t="shared" si="67"/>
        <v>0</v>
      </c>
      <c r="DT48" s="200">
        <f t="shared" si="67"/>
        <v>0</v>
      </c>
      <c r="DU48" s="200">
        <f t="shared" si="67"/>
        <v>0</v>
      </c>
      <c r="DV48" s="200">
        <f t="shared" si="67"/>
        <v>0</v>
      </c>
      <c r="DW48" s="200">
        <f t="shared" si="67"/>
        <v>0</v>
      </c>
      <c r="DX48" s="200">
        <f t="shared" si="67"/>
        <v>0</v>
      </c>
      <c r="DZ48" s="199" t="str">
        <f t="shared" si="22"/>
        <v>Minderproduktion in €/Jahr</v>
      </c>
      <c r="EA48" s="200">
        <f t="shared" si="68"/>
        <v>0</v>
      </c>
      <c r="EB48" s="200">
        <f t="shared" si="68"/>
        <v>0</v>
      </c>
      <c r="EC48" s="200">
        <f t="shared" si="68"/>
        <v>0</v>
      </c>
      <c r="ED48" s="200">
        <f t="shared" si="68"/>
        <v>0</v>
      </c>
      <c r="EE48" s="200">
        <f t="shared" si="68"/>
        <v>0</v>
      </c>
      <c r="EF48" s="200">
        <f t="shared" si="68"/>
        <v>0</v>
      </c>
      <c r="EG48" s="200">
        <f t="shared" si="68"/>
        <v>0</v>
      </c>
      <c r="EH48" s="200">
        <f t="shared" si="68"/>
        <v>0</v>
      </c>
      <c r="EI48" s="200">
        <f t="shared" si="68"/>
        <v>0</v>
      </c>
      <c r="EJ48" s="200">
        <f t="shared" si="68"/>
        <v>0</v>
      </c>
      <c r="EK48" s="200">
        <f t="shared" si="69"/>
        <v>0</v>
      </c>
      <c r="EL48" s="200">
        <f t="shared" si="69"/>
        <v>0</v>
      </c>
      <c r="EM48" s="200">
        <f t="shared" si="69"/>
        <v>0</v>
      </c>
      <c r="EN48" s="200">
        <f t="shared" si="69"/>
        <v>0</v>
      </c>
      <c r="EO48" s="200">
        <f t="shared" si="69"/>
        <v>0</v>
      </c>
      <c r="EP48" s="200">
        <f t="shared" si="69"/>
        <v>0</v>
      </c>
      <c r="EQ48" s="200">
        <f t="shared" si="69"/>
        <v>0</v>
      </c>
      <c r="ER48" s="200">
        <f t="shared" si="69"/>
        <v>0</v>
      </c>
      <c r="ES48" s="200">
        <f t="shared" si="69"/>
        <v>0</v>
      </c>
      <c r="ET48" s="200">
        <f t="shared" si="69"/>
        <v>0</v>
      </c>
      <c r="EU48" s="200">
        <f t="shared" si="70"/>
        <v>0</v>
      </c>
      <c r="EV48" s="200">
        <f t="shared" si="70"/>
        <v>0</v>
      </c>
      <c r="EW48" s="200">
        <f t="shared" si="70"/>
        <v>0</v>
      </c>
      <c r="EX48" s="200">
        <f t="shared" si="70"/>
        <v>0</v>
      </c>
      <c r="EY48" s="200">
        <f t="shared" si="70"/>
        <v>0</v>
      </c>
      <c r="EZ48" s="200">
        <f t="shared" si="70"/>
        <v>0</v>
      </c>
      <c r="FA48" s="200">
        <f t="shared" si="70"/>
        <v>0</v>
      </c>
      <c r="FB48" s="200">
        <f t="shared" si="70"/>
        <v>0</v>
      </c>
      <c r="FC48" s="200">
        <f t="shared" si="70"/>
        <v>0</v>
      </c>
      <c r="FD48" s="200">
        <f t="shared" si="70"/>
        <v>0</v>
      </c>
      <c r="FE48" s="200">
        <f t="shared" si="71"/>
        <v>0</v>
      </c>
      <c r="FF48" s="200">
        <f t="shared" si="71"/>
        <v>0</v>
      </c>
      <c r="FG48" s="200">
        <f t="shared" si="71"/>
        <v>0</v>
      </c>
      <c r="FH48" s="200">
        <f t="shared" si="71"/>
        <v>0</v>
      </c>
      <c r="FI48" s="200">
        <f t="shared" si="71"/>
        <v>0</v>
      </c>
      <c r="FJ48" s="200">
        <f t="shared" si="71"/>
        <v>0</v>
      </c>
      <c r="FK48" s="200">
        <f t="shared" si="71"/>
        <v>0</v>
      </c>
      <c r="FL48" s="200">
        <f t="shared" si="71"/>
        <v>0</v>
      </c>
      <c r="FM48" s="200">
        <f t="shared" si="71"/>
        <v>0</v>
      </c>
      <c r="FN48" s="200">
        <f t="shared" si="71"/>
        <v>0</v>
      </c>
      <c r="FO48" s="200">
        <f t="shared" si="72"/>
        <v>0</v>
      </c>
      <c r="FP48" s="200">
        <f t="shared" si="72"/>
        <v>0</v>
      </c>
      <c r="FQ48" s="200">
        <f t="shared" si="72"/>
        <v>0</v>
      </c>
      <c r="FR48" s="200">
        <f t="shared" si="72"/>
        <v>0</v>
      </c>
      <c r="FS48" s="200">
        <f t="shared" si="72"/>
        <v>0</v>
      </c>
      <c r="FT48" s="200">
        <f t="shared" si="72"/>
        <v>0</v>
      </c>
      <c r="FU48" s="200">
        <f t="shared" si="72"/>
        <v>0</v>
      </c>
      <c r="FV48" s="200">
        <f t="shared" si="72"/>
        <v>0</v>
      </c>
      <c r="FW48" s="200">
        <f t="shared" si="72"/>
        <v>0</v>
      </c>
      <c r="FX48" s="200">
        <f t="shared" si="72"/>
        <v>0</v>
      </c>
      <c r="FY48" s="200">
        <f t="shared" si="72"/>
        <v>0</v>
      </c>
      <c r="FZ48" s="200">
        <f t="shared" si="72"/>
        <v>0</v>
      </c>
      <c r="GA48" s="200">
        <f t="shared" si="72"/>
        <v>0</v>
      </c>
      <c r="GB48" s="200">
        <f t="shared" si="72"/>
        <v>0</v>
      </c>
    </row>
    <row r="49" spans="1:184" ht="17.25" customHeight="1" x14ac:dyDescent="0.5">
      <c r="A49" s="88"/>
      <c r="B49" s="323"/>
      <c r="C49" s="101" t="s">
        <v>134</v>
      </c>
      <c r="D49" s="169"/>
      <c r="E49" s="169"/>
      <c r="F49" s="203"/>
      <c r="G49" s="177"/>
      <c r="H49" s="205"/>
      <c r="I49" s="154">
        <v>0</v>
      </c>
      <c r="J49" s="155">
        <v>0</v>
      </c>
      <c r="K49" s="156">
        <v>0</v>
      </c>
      <c r="L49" s="179">
        <f t="shared" si="73"/>
        <v>0.02</v>
      </c>
      <c r="M49" s="180">
        <f t="shared" si="74"/>
        <v>0.03</v>
      </c>
      <c r="N49" s="181">
        <f t="shared" si="75"/>
        <v>0.05</v>
      </c>
      <c r="R49" s="199" t="str">
        <f t="shared" si="16"/>
        <v>XX in €/Jahr</v>
      </c>
      <c r="S49" s="200">
        <f t="shared" si="58"/>
        <v>0</v>
      </c>
      <c r="T49" s="200">
        <f t="shared" si="58"/>
        <v>0</v>
      </c>
      <c r="U49" s="200">
        <f t="shared" si="58"/>
        <v>0</v>
      </c>
      <c r="V49" s="200">
        <f t="shared" si="58"/>
        <v>0</v>
      </c>
      <c r="W49" s="200">
        <f t="shared" si="58"/>
        <v>0</v>
      </c>
      <c r="X49" s="200">
        <f t="shared" si="58"/>
        <v>0</v>
      </c>
      <c r="Y49" s="200">
        <f t="shared" si="58"/>
        <v>0</v>
      </c>
      <c r="Z49" s="200">
        <f t="shared" si="58"/>
        <v>0</v>
      </c>
      <c r="AA49" s="200">
        <f t="shared" si="58"/>
        <v>0</v>
      </c>
      <c r="AB49" s="200">
        <f t="shared" si="58"/>
        <v>0</v>
      </c>
      <c r="AC49" s="200">
        <f t="shared" si="59"/>
        <v>0</v>
      </c>
      <c r="AD49" s="200">
        <f t="shared" si="59"/>
        <v>0</v>
      </c>
      <c r="AE49" s="200">
        <f t="shared" si="59"/>
        <v>0</v>
      </c>
      <c r="AF49" s="200">
        <f t="shared" si="59"/>
        <v>0</v>
      </c>
      <c r="AG49" s="200">
        <f t="shared" si="59"/>
        <v>0</v>
      </c>
      <c r="AH49" s="200">
        <f t="shared" si="59"/>
        <v>0</v>
      </c>
      <c r="AI49" s="200">
        <f t="shared" si="59"/>
        <v>0</v>
      </c>
      <c r="AJ49" s="200">
        <f t="shared" si="59"/>
        <v>0</v>
      </c>
      <c r="AK49" s="200">
        <f t="shared" si="59"/>
        <v>0</v>
      </c>
      <c r="AL49" s="200">
        <f t="shared" si="59"/>
        <v>0</v>
      </c>
      <c r="AM49" s="200">
        <f t="shared" si="60"/>
        <v>0</v>
      </c>
      <c r="AN49" s="200">
        <f t="shared" si="60"/>
        <v>0</v>
      </c>
      <c r="AO49" s="200">
        <f t="shared" si="60"/>
        <v>0</v>
      </c>
      <c r="AP49" s="200">
        <f t="shared" si="60"/>
        <v>0</v>
      </c>
      <c r="AQ49" s="200">
        <f t="shared" si="60"/>
        <v>0</v>
      </c>
      <c r="AR49" s="200">
        <f t="shared" si="60"/>
        <v>0</v>
      </c>
      <c r="AS49" s="200">
        <f t="shared" si="60"/>
        <v>0</v>
      </c>
      <c r="AT49" s="200">
        <f t="shared" si="60"/>
        <v>0</v>
      </c>
      <c r="AU49" s="200">
        <f t="shared" si="60"/>
        <v>0</v>
      </c>
      <c r="AV49" s="200">
        <f t="shared" si="60"/>
        <v>0</v>
      </c>
      <c r="AW49" s="200">
        <f t="shared" si="61"/>
        <v>0</v>
      </c>
      <c r="AX49" s="200">
        <f t="shared" si="61"/>
        <v>0</v>
      </c>
      <c r="AY49" s="200">
        <f t="shared" si="61"/>
        <v>0</v>
      </c>
      <c r="AZ49" s="200">
        <f t="shared" si="61"/>
        <v>0</v>
      </c>
      <c r="BA49" s="200">
        <f t="shared" si="61"/>
        <v>0</v>
      </c>
      <c r="BB49" s="200">
        <f t="shared" si="61"/>
        <v>0</v>
      </c>
      <c r="BC49" s="200">
        <f t="shared" si="61"/>
        <v>0</v>
      </c>
      <c r="BD49" s="200">
        <f t="shared" si="61"/>
        <v>0</v>
      </c>
      <c r="BE49" s="200">
        <f t="shared" si="61"/>
        <v>0</v>
      </c>
      <c r="BF49" s="200">
        <f t="shared" si="61"/>
        <v>0</v>
      </c>
      <c r="BG49" s="200">
        <f t="shared" si="62"/>
        <v>0</v>
      </c>
      <c r="BH49" s="200">
        <f t="shared" si="62"/>
        <v>0</v>
      </c>
      <c r="BI49" s="200">
        <f t="shared" si="62"/>
        <v>0</v>
      </c>
      <c r="BJ49" s="200">
        <f t="shared" si="62"/>
        <v>0</v>
      </c>
      <c r="BK49" s="200">
        <f t="shared" si="62"/>
        <v>0</v>
      </c>
      <c r="BL49" s="200">
        <f t="shared" si="62"/>
        <v>0</v>
      </c>
      <c r="BM49" s="200">
        <f t="shared" si="62"/>
        <v>0</v>
      </c>
      <c r="BN49" s="200">
        <f t="shared" si="62"/>
        <v>0</v>
      </c>
      <c r="BO49" s="200">
        <f t="shared" si="62"/>
        <v>0</v>
      </c>
      <c r="BP49" s="200">
        <f t="shared" si="62"/>
        <v>0</v>
      </c>
      <c r="BQ49" s="200">
        <f t="shared" si="62"/>
        <v>0</v>
      </c>
      <c r="BR49" s="200">
        <f t="shared" si="62"/>
        <v>0</v>
      </c>
      <c r="BS49" s="200">
        <f t="shared" si="62"/>
        <v>0</v>
      </c>
      <c r="BT49" s="200">
        <f t="shared" si="62"/>
        <v>0</v>
      </c>
      <c r="BV49" s="199" t="str">
        <f t="shared" si="19"/>
        <v>XX in €/Jahr</v>
      </c>
      <c r="BW49" s="200">
        <f t="shared" si="63"/>
        <v>0</v>
      </c>
      <c r="BX49" s="200">
        <f t="shared" si="63"/>
        <v>0</v>
      </c>
      <c r="BY49" s="200">
        <f t="shared" si="63"/>
        <v>0</v>
      </c>
      <c r="BZ49" s="200">
        <f t="shared" si="63"/>
        <v>0</v>
      </c>
      <c r="CA49" s="200">
        <f t="shared" si="63"/>
        <v>0</v>
      </c>
      <c r="CB49" s="200">
        <f t="shared" si="63"/>
        <v>0</v>
      </c>
      <c r="CC49" s="200">
        <f t="shared" si="63"/>
        <v>0</v>
      </c>
      <c r="CD49" s="200">
        <f t="shared" si="63"/>
        <v>0</v>
      </c>
      <c r="CE49" s="200">
        <f t="shared" si="63"/>
        <v>0</v>
      </c>
      <c r="CF49" s="200">
        <f t="shared" si="63"/>
        <v>0</v>
      </c>
      <c r="CG49" s="200">
        <f t="shared" si="64"/>
        <v>0</v>
      </c>
      <c r="CH49" s="200">
        <f t="shared" si="64"/>
        <v>0</v>
      </c>
      <c r="CI49" s="200">
        <f t="shared" si="64"/>
        <v>0</v>
      </c>
      <c r="CJ49" s="200">
        <f t="shared" si="64"/>
        <v>0</v>
      </c>
      <c r="CK49" s="200">
        <f t="shared" si="64"/>
        <v>0</v>
      </c>
      <c r="CL49" s="200">
        <f t="shared" si="64"/>
        <v>0</v>
      </c>
      <c r="CM49" s="200">
        <f t="shared" si="64"/>
        <v>0</v>
      </c>
      <c r="CN49" s="200">
        <f t="shared" si="64"/>
        <v>0</v>
      </c>
      <c r="CO49" s="200">
        <f t="shared" si="64"/>
        <v>0</v>
      </c>
      <c r="CP49" s="200">
        <f t="shared" si="64"/>
        <v>0</v>
      </c>
      <c r="CQ49" s="200">
        <f t="shared" si="65"/>
        <v>0</v>
      </c>
      <c r="CR49" s="200">
        <f t="shared" si="65"/>
        <v>0</v>
      </c>
      <c r="CS49" s="200">
        <f t="shared" si="65"/>
        <v>0</v>
      </c>
      <c r="CT49" s="200">
        <f t="shared" si="65"/>
        <v>0</v>
      </c>
      <c r="CU49" s="200">
        <f t="shared" si="65"/>
        <v>0</v>
      </c>
      <c r="CV49" s="200">
        <f t="shared" si="65"/>
        <v>0</v>
      </c>
      <c r="CW49" s="200">
        <f t="shared" si="65"/>
        <v>0</v>
      </c>
      <c r="CX49" s="200">
        <f t="shared" si="65"/>
        <v>0</v>
      </c>
      <c r="CY49" s="200">
        <f t="shared" si="65"/>
        <v>0</v>
      </c>
      <c r="CZ49" s="200">
        <f t="shared" si="65"/>
        <v>0</v>
      </c>
      <c r="DA49" s="200">
        <f t="shared" si="66"/>
        <v>0</v>
      </c>
      <c r="DB49" s="200">
        <f t="shared" si="66"/>
        <v>0</v>
      </c>
      <c r="DC49" s="200">
        <f t="shared" si="66"/>
        <v>0</v>
      </c>
      <c r="DD49" s="200">
        <f t="shared" si="66"/>
        <v>0</v>
      </c>
      <c r="DE49" s="200">
        <f t="shared" si="66"/>
        <v>0</v>
      </c>
      <c r="DF49" s="200">
        <f t="shared" si="66"/>
        <v>0</v>
      </c>
      <c r="DG49" s="200">
        <f t="shared" si="66"/>
        <v>0</v>
      </c>
      <c r="DH49" s="200">
        <f t="shared" si="66"/>
        <v>0</v>
      </c>
      <c r="DI49" s="200">
        <f t="shared" si="66"/>
        <v>0</v>
      </c>
      <c r="DJ49" s="200">
        <f t="shared" si="66"/>
        <v>0</v>
      </c>
      <c r="DK49" s="200">
        <f t="shared" si="67"/>
        <v>0</v>
      </c>
      <c r="DL49" s="200">
        <f t="shared" si="67"/>
        <v>0</v>
      </c>
      <c r="DM49" s="200">
        <f t="shared" si="67"/>
        <v>0</v>
      </c>
      <c r="DN49" s="200">
        <f t="shared" si="67"/>
        <v>0</v>
      </c>
      <c r="DO49" s="200">
        <f t="shared" si="67"/>
        <v>0</v>
      </c>
      <c r="DP49" s="200">
        <f t="shared" si="67"/>
        <v>0</v>
      </c>
      <c r="DQ49" s="200">
        <f t="shared" si="67"/>
        <v>0</v>
      </c>
      <c r="DR49" s="200">
        <f t="shared" si="67"/>
        <v>0</v>
      </c>
      <c r="DS49" s="200">
        <f t="shared" si="67"/>
        <v>0</v>
      </c>
      <c r="DT49" s="200">
        <f t="shared" si="67"/>
        <v>0</v>
      </c>
      <c r="DU49" s="200">
        <f t="shared" si="67"/>
        <v>0</v>
      </c>
      <c r="DV49" s="200">
        <f t="shared" si="67"/>
        <v>0</v>
      </c>
      <c r="DW49" s="200">
        <f t="shared" si="67"/>
        <v>0</v>
      </c>
      <c r="DX49" s="200">
        <f t="shared" si="67"/>
        <v>0</v>
      </c>
      <c r="DZ49" s="199" t="str">
        <f t="shared" si="22"/>
        <v>XX in €/Jahr</v>
      </c>
      <c r="EA49" s="200">
        <f t="shared" si="68"/>
        <v>0</v>
      </c>
      <c r="EB49" s="200">
        <f t="shared" si="68"/>
        <v>0</v>
      </c>
      <c r="EC49" s="200">
        <f t="shared" si="68"/>
        <v>0</v>
      </c>
      <c r="ED49" s="200">
        <f t="shared" si="68"/>
        <v>0</v>
      </c>
      <c r="EE49" s="200">
        <f t="shared" si="68"/>
        <v>0</v>
      </c>
      <c r="EF49" s="200">
        <f t="shared" si="68"/>
        <v>0</v>
      </c>
      <c r="EG49" s="200">
        <f t="shared" si="68"/>
        <v>0</v>
      </c>
      <c r="EH49" s="200">
        <f t="shared" si="68"/>
        <v>0</v>
      </c>
      <c r="EI49" s="200">
        <f t="shared" si="68"/>
        <v>0</v>
      </c>
      <c r="EJ49" s="200">
        <f t="shared" si="68"/>
        <v>0</v>
      </c>
      <c r="EK49" s="200">
        <f t="shared" si="69"/>
        <v>0</v>
      </c>
      <c r="EL49" s="200">
        <f t="shared" si="69"/>
        <v>0</v>
      </c>
      <c r="EM49" s="200">
        <f t="shared" si="69"/>
        <v>0</v>
      </c>
      <c r="EN49" s="200">
        <f t="shared" si="69"/>
        <v>0</v>
      </c>
      <c r="EO49" s="200">
        <f t="shared" si="69"/>
        <v>0</v>
      </c>
      <c r="EP49" s="200">
        <f t="shared" si="69"/>
        <v>0</v>
      </c>
      <c r="EQ49" s="200">
        <f t="shared" si="69"/>
        <v>0</v>
      </c>
      <c r="ER49" s="200">
        <f t="shared" si="69"/>
        <v>0</v>
      </c>
      <c r="ES49" s="200">
        <f t="shared" si="69"/>
        <v>0</v>
      </c>
      <c r="ET49" s="200">
        <f t="shared" si="69"/>
        <v>0</v>
      </c>
      <c r="EU49" s="200">
        <f t="shared" si="70"/>
        <v>0</v>
      </c>
      <c r="EV49" s="200">
        <f t="shared" si="70"/>
        <v>0</v>
      </c>
      <c r="EW49" s="200">
        <f t="shared" si="70"/>
        <v>0</v>
      </c>
      <c r="EX49" s="200">
        <f t="shared" si="70"/>
        <v>0</v>
      </c>
      <c r="EY49" s="200">
        <f t="shared" si="70"/>
        <v>0</v>
      </c>
      <c r="EZ49" s="200">
        <f t="shared" si="70"/>
        <v>0</v>
      </c>
      <c r="FA49" s="200">
        <f t="shared" si="70"/>
        <v>0</v>
      </c>
      <c r="FB49" s="200">
        <f t="shared" si="70"/>
        <v>0</v>
      </c>
      <c r="FC49" s="200">
        <f t="shared" si="70"/>
        <v>0</v>
      </c>
      <c r="FD49" s="200">
        <f t="shared" si="70"/>
        <v>0</v>
      </c>
      <c r="FE49" s="200">
        <f t="shared" si="71"/>
        <v>0</v>
      </c>
      <c r="FF49" s="200">
        <f t="shared" si="71"/>
        <v>0</v>
      </c>
      <c r="FG49" s="200">
        <f t="shared" si="71"/>
        <v>0</v>
      </c>
      <c r="FH49" s="200">
        <f t="shared" si="71"/>
        <v>0</v>
      </c>
      <c r="FI49" s="200">
        <f t="shared" si="71"/>
        <v>0</v>
      </c>
      <c r="FJ49" s="200">
        <f t="shared" si="71"/>
        <v>0</v>
      </c>
      <c r="FK49" s="200">
        <f t="shared" si="71"/>
        <v>0</v>
      </c>
      <c r="FL49" s="200">
        <f t="shared" si="71"/>
        <v>0</v>
      </c>
      <c r="FM49" s="200">
        <f t="shared" si="71"/>
        <v>0</v>
      </c>
      <c r="FN49" s="200">
        <f t="shared" si="71"/>
        <v>0</v>
      </c>
      <c r="FO49" s="200">
        <f t="shared" si="72"/>
        <v>0</v>
      </c>
      <c r="FP49" s="200">
        <f t="shared" si="72"/>
        <v>0</v>
      </c>
      <c r="FQ49" s="200">
        <f t="shared" si="72"/>
        <v>0</v>
      </c>
      <c r="FR49" s="200">
        <f t="shared" si="72"/>
        <v>0</v>
      </c>
      <c r="FS49" s="200">
        <f t="shared" si="72"/>
        <v>0</v>
      </c>
      <c r="FT49" s="200">
        <f t="shared" si="72"/>
        <v>0</v>
      </c>
      <c r="FU49" s="200">
        <f t="shared" si="72"/>
        <v>0</v>
      </c>
      <c r="FV49" s="200">
        <f t="shared" si="72"/>
        <v>0</v>
      </c>
      <c r="FW49" s="200">
        <f t="shared" si="72"/>
        <v>0</v>
      </c>
      <c r="FX49" s="200">
        <f t="shared" si="72"/>
        <v>0</v>
      </c>
      <c r="FY49" s="200">
        <f t="shared" si="72"/>
        <v>0</v>
      </c>
      <c r="FZ49" s="200">
        <f t="shared" si="72"/>
        <v>0</v>
      </c>
      <c r="GA49" s="200">
        <f t="shared" si="72"/>
        <v>0</v>
      </c>
      <c r="GB49" s="200">
        <f t="shared" si="72"/>
        <v>0</v>
      </c>
    </row>
    <row r="50" spans="1:184" ht="17.25" customHeight="1" x14ac:dyDescent="0.5">
      <c r="A50" s="88"/>
      <c r="B50" s="323"/>
      <c r="C50" s="101" t="s">
        <v>134</v>
      </c>
      <c r="D50" s="169"/>
      <c r="E50" s="169"/>
      <c r="F50" s="203"/>
      <c r="G50" s="177"/>
      <c r="H50" s="205"/>
      <c r="I50" s="154">
        <v>0</v>
      </c>
      <c r="J50" s="155">
        <v>0</v>
      </c>
      <c r="K50" s="156">
        <v>0</v>
      </c>
      <c r="L50" s="179">
        <f t="shared" si="73"/>
        <v>0.02</v>
      </c>
      <c r="M50" s="180">
        <f t="shared" si="74"/>
        <v>0.03</v>
      </c>
      <c r="N50" s="181">
        <f t="shared" si="75"/>
        <v>0.05</v>
      </c>
      <c r="R50" s="199" t="str">
        <f t="shared" si="16"/>
        <v>XX in €/Jahr</v>
      </c>
      <c r="S50" s="200">
        <f t="shared" si="58"/>
        <v>0</v>
      </c>
      <c r="T50" s="200">
        <f t="shared" si="58"/>
        <v>0</v>
      </c>
      <c r="U50" s="200">
        <f t="shared" si="58"/>
        <v>0</v>
      </c>
      <c r="V50" s="200">
        <f t="shared" si="58"/>
        <v>0</v>
      </c>
      <c r="W50" s="200">
        <f t="shared" si="58"/>
        <v>0</v>
      </c>
      <c r="X50" s="200">
        <f t="shared" si="58"/>
        <v>0</v>
      </c>
      <c r="Y50" s="200">
        <f t="shared" si="58"/>
        <v>0</v>
      </c>
      <c r="Z50" s="200">
        <f t="shared" si="58"/>
        <v>0</v>
      </c>
      <c r="AA50" s="200">
        <f t="shared" si="58"/>
        <v>0</v>
      </c>
      <c r="AB50" s="200">
        <f t="shared" si="58"/>
        <v>0</v>
      </c>
      <c r="AC50" s="200">
        <f t="shared" si="59"/>
        <v>0</v>
      </c>
      <c r="AD50" s="200">
        <f t="shared" si="59"/>
        <v>0</v>
      </c>
      <c r="AE50" s="200">
        <f t="shared" si="59"/>
        <v>0</v>
      </c>
      <c r="AF50" s="200">
        <f t="shared" si="59"/>
        <v>0</v>
      </c>
      <c r="AG50" s="200">
        <f t="shared" si="59"/>
        <v>0</v>
      </c>
      <c r="AH50" s="200">
        <f t="shared" si="59"/>
        <v>0</v>
      </c>
      <c r="AI50" s="200">
        <f t="shared" si="59"/>
        <v>0</v>
      </c>
      <c r="AJ50" s="200">
        <f t="shared" si="59"/>
        <v>0</v>
      </c>
      <c r="AK50" s="200">
        <f t="shared" si="59"/>
        <v>0</v>
      </c>
      <c r="AL50" s="200">
        <f t="shared" si="59"/>
        <v>0</v>
      </c>
      <c r="AM50" s="200">
        <f t="shared" si="60"/>
        <v>0</v>
      </c>
      <c r="AN50" s="200">
        <f t="shared" si="60"/>
        <v>0</v>
      </c>
      <c r="AO50" s="200">
        <f t="shared" si="60"/>
        <v>0</v>
      </c>
      <c r="AP50" s="200">
        <f t="shared" si="60"/>
        <v>0</v>
      </c>
      <c r="AQ50" s="200">
        <f t="shared" si="60"/>
        <v>0</v>
      </c>
      <c r="AR50" s="200">
        <f t="shared" si="60"/>
        <v>0</v>
      </c>
      <c r="AS50" s="200">
        <f t="shared" si="60"/>
        <v>0</v>
      </c>
      <c r="AT50" s="200">
        <f t="shared" si="60"/>
        <v>0</v>
      </c>
      <c r="AU50" s="200">
        <f t="shared" si="60"/>
        <v>0</v>
      </c>
      <c r="AV50" s="200">
        <f t="shared" si="60"/>
        <v>0</v>
      </c>
      <c r="AW50" s="200">
        <f t="shared" si="61"/>
        <v>0</v>
      </c>
      <c r="AX50" s="200">
        <f t="shared" si="61"/>
        <v>0</v>
      </c>
      <c r="AY50" s="200">
        <f t="shared" si="61"/>
        <v>0</v>
      </c>
      <c r="AZ50" s="200">
        <f t="shared" si="61"/>
        <v>0</v>
      </c>
      <c r="BA50" s="200">
        <f t="shared" si="61"/>
        <v>0</v>
      </c>
      <c r="BB50" s="200">
        <f t="shared" si="61"/>
        <v>0</v>
      </c>
      <c r="BC50" s="200">
        <f t="shared" si="61"/>
        <v>0</v>
      </c>
      <c r="BD50" s="200">
        <f t="shared" si="61"/>
        <v>0</v>
      </c>
      <c r="BE50" s="200">
        <f t="shared" si="61"/>
        <v>0</v>
      </c>
      <c r="BF50" s="200">
        <f t="shared" si="61"/>
        <v>0</v>
      </c>
      <c r="BG50" s="200">
        <f t="shared" si="62"/>
        <v>0</v>
      </c>
      <c r="BH50" s="200">
        <f t="shared" si="62"/>
        <v>0</v>
      </c>
      <c r="BI50" s="200">
        <f t="shared" si="62"/>
        <v>0</v>
      </c>
      <c r="BJ50" s="200">
        <f t="shared" si="62"/>
        <v>0</v>
      </c>
      <c r="BK50" s="200">
        <f t="shared" si="62"/>
        <v>0</v>
      </c>
      <c r="BL50" s="200">
        <f t="shared" si="62"/>
        <v>0</v>
      </c>
      <c r="BM50" s="200">
        <f t="shared" si="62"/>
        <v>0</v>
      </c>
      <c r="BN50" s="200">
        <f t="shared" si="62"/>
        <v>0</v>
      </c>
      <c r="BO50" s="200">
        <f t="shared" si="62"/>
        <v>0</v>
      </c>
      <c r="BP50" s="200">
        <f t="shared" si="62"/>
        <v>0</v>
      </c>
      <c r="BQ50" s="200">
        <f t="shared" si="62"/>
        <v>0</v>
      </c>
      <c r="BR50" s="200">
        <f t="shared" si="62"/>
        <v>0</v>
      </c>
      <c r="BS50" s="200">
        <f t="shared" si="62"/>
        <v>0</v>
      </c>
      <c r="BT50" s="200">
        <f t="shared" si="62"/>
        <v>0</v>
      </c>
      <c r="BV50" s="199" t="str">
        <f t="shared" si="19"/>
        <v>XX in €/Jahr</v>
      </c>
      <c r="BW50" s="200">
        <f t="shared" si="63"/>
        <v>0</v>
      </c>
      <c r="BX50" s="200">
        <f t="shared" si="63"/>
        <v>0</v>
      </c>
      <c r="BY50" s="200">
        <f t="shared" si="63"/>
        <v>0</v>
      </c>
      <c r="BZ50" s="200">
        <f t="shared" si="63"/>
        <v>0</v>
      </c>
      <c r="CA50" s="200">
        <f t="shared" si="63"/>
        <v>0</v>
      </c>
      <c r="CB50" s="200">
        <f t="shared" si="63"/>
        <v>0</v>
      </c>
      <c r="CC50" s="200">
        <f t="shared" si="63"/>
        <v>0</v>
      </c>
      <c r="CD50" s="200">
        <f t="shared" si="63"/>
        <v>0</v>
      </c>
      <c r="CE50" s="200">
        <f t="shared" si="63"/>
        <v>0</v>
      </c>
      <c r="CF50" s="200">
        <f t="shared" si="63"/>
        <v>0</v>
      </c>
      <c r="CG50" s="200">
        <f t="shared" si="64"/>
        <v>0</v>
      </c>
      <c r="CH50" s="200">
        <f t="shared" si="64"/>
        <v>0</v>
      </c>
      <c r="CI50" s="200">
        <f t="shared" si="64"/>
        <v>0</v>
      </c>
      <c r="CJ50" s="200">
        <f t="shared" si="64"/>
        <v>0</v>
      </c>
      <c r="CK50" s="200">
        <f t="shared" si="64"/>
        <v>0</v>
      </c>
      <c r="CL50" s="200">
        <f t="shared" si="64"/>
        <v>0</v>
      </c>
      <c r="CM50" s="200">
        <f t="shared" si="64"/>
        <v>0</v>
      </c>
      <c r="CN50" s="200">
        <f t="shared" si="64"/>
        <v>0</v>
      </c>
      <c r="CO50" s="200">
        <f t="shared" si="64"/>
        <v>0</v>
      </c>
      <c r="CP50" s="200">
        <f t="shared" si="64"/>
        <v>0</v>
      </c>
      <c r="CQ50" s="200">
        <f t="shared" si="65"/>
        <v>0</v>
      </c>
      <c r="CR50" s="200">
        <f t="shared" si="65"/>
        <v>0</v>
      </c>
      <c r="CS50" s="200">
        <f t="shared" si="65"/>
        <v>0</v>
      </c>
      <c r="CT50" s="200">
        <f t="shared" si="65"/>
        <v>0</v>
      </c>
      <c r="CU50" s="200">
        <f t="shared" si="65"/>
        <v>0</v>
      </c>
      <c r="CV50" s="200">
        <f t="shared" si="65"/>
        <v>0</v>
      </c>
      <c r="CW50" s="200">
        <f t="shared" si="65"/>
        <v>0</v>
      </c>
      <c r="CX50" s="200">
        <f t="shared" si="65"/>
        <v>0</v>
      </c>
      <c r="CY50" s="200">
        <f t="shared" si="65"/>
        <v>0</v>
      </c>
      <c r="CZ50" s="200">
        <f t="shared" si="65"/>
        <v>0</v>
      </c>
      <c r="DA50" s="200">
        <f t="shared" si="66"/>
        <v>0</v>
      </c>
      <c r="DB50" s="200">
        <f t="shared" si="66"/>
        <v>0</v>
      </c>
      <c r="DC50" s="200">
        <f t="shared" si="66"/>
        <v>0</v>
      </c>
      <c r="DD50" s="200">
        <f t="shared" si="66"/>
        <v>0</v>
      </c>
      <c r="DE50" s="200">
        <f t="shared" si="66"/>
        <v>0</v>
      </c>
      <c r="DF50" s="200">
        <f t="shared" si="66"/>
        <v>0</v>
      </c>
      <c r="DG50" s="200">
        <f t="shared" si="66"/>
        <v>0</v>
      </c>
      <c r="DH50" s="200">
        <f t="shared" si="66"/>
        <v>0</v>
      </c>
      <c r="DI50" s="200">
        <f t="shared" si="66"/>
        <v>0</v>
      </c>
      <c r="DJ50" s="200">
        <f t="shared" si="66"/>
        <v>0</v>
      </c>
      <c r="DK50" s="200">
        <f t="shared" si="67"/>
        <v>0</v>
      </c>
      <c r="DL50" s="200">
        <f t="shared" si="67"/>
        <v>0</v>
      </c>
      <c r="DM50" s="200">
        <f t="shared" si="67"/>
        <v>0</v>
      </c>
      <c r="DN50" s="200">
        <f t="shared" si="67"/>
        <v>0</v>
      </c>
      <c r="DO50" s="200">
        <f t="shared" si="67"/>
        <v>0</v>
      </c>
      <c r="DP50" s="200">
        <f t="shared" si="67"/>
        <v>0</v>
      </c>
      <c r="DQ50" s="200">
        <f t="shared" si="67"/>
        <v>0</v>
      </c>
      <c r="DR50" s="200">
        <f t="shared" si="67"/>
        <v>0</v>
      </c>
      <c r="DS50" s="200">
        <f t="shared" si="67"/>
        <v>0</v>
      </c>
      <c r="DT50" s="200">
        <f t="shared" si="67"/>
        <v>0</v>
      </c>
      <c r="DU50" s="200">
        <f t="shared" si="67"/>
        <v>0</v>
      </c>
      <c r="DV50" s="200">
        <f t="shared" si="67"/>
        <v>0</v>
      </c>
      <c r="DW50" s="200">
        <f t="shared" si="67"/>
        <v>0</v>
      </c>
      <c r="DX50" s="200">
        <f t="shared" si="67"/>
        <v>0</v>
      </c>
      <c r="DZ50" s="199" t="str">
        <f t="shared" si="22"/>
        <v>XX in €/Jahr</v>
      </c>
      <c r="EA50" s="200">
        <f t="shared" si="68"/>
        <v>0</v>
      </c>
      <c r="EB50" s="200">
        <f t="shared" si="68"/>
        <v>0</v>
      </c>
      <c r="EC50" s="200">
        <f t="shared" si="68"/>
        <v>0</v>
      </c>
      <c r="ED50" s="200">
        <f t="shared" si="68"/>
        <v>0</v>
      </c>
      <c r="EE50" s="200">
        <f t="shared" si="68"/>
        <v>0</v>
      </c>
      <c r="EF50" s="200">
        <f t="shared" si="68"/>
        <v>0</v>
      </c>
      <c r="EG50" s="200">
        <f t="shared" si="68"/>
        <v>0</v>
      </c>
      <c r="EH50" s="200">
        <f t="shared" si="68"/>
        <v>0</v>
      </c>
      <c r="EI50" s="200">
        <f t="shared" si="68"/>
        <v>0</v>
      </c>
      <c r="EJ50" s="200">
        <f t="shared" si="68"/>
        <v>0</v>
      </c>
      <c r="EK50" s="200">
        <f t="shared" si="69"/>
        <v>0</v>
      </c>
      <c r="EL50" s="200">
        <f t="shared" si="69"/>
        <v>0</v>
      </c>
      <c r="EM50" s="200">
        <f t="shared" si="69"/>
        <v>0</v>
      </c>
      <c r="EN50" s="200">
        <f t="shared" si="69"/>
        <v>0</v>
      </c>
      <c r="EO50" s="200">
        <f t="shared" si="69"/>
        <v>0</v>
      </c>
      <c r="EP50" s="200">
        <f t="shared" si="69"/>
        <v>0</v>
      </c>
      <c r="EQ50" s="200">
        <f t="shared" si="69"/>
        <v>0</v>
      </c>
      <c r="ER50" s="200">
        <f t="shared" si="69"/>
        <v>0</v>
      </c>
      <c r="ES50" s="200">
        <f t="shared" si="69"/>
        <v>0</v>
      </c>
      <c r="ET50" s="200">
        <f t="shared" si="69"/>
        <v>0</v>
      </c>
      <c r="EU50" s="200">
        <f t="shared" si="70"/>
        <v>0</v>
      </c>
      <c r="EV50" s="200">
        <f t="shared" si="70"/>
        <v>0</v>
      </c>
      <c r="EW50" s="200">
        <f t="shared" si="70"/>
        <v>0</v>
      </c>
      <c r="EX50" s="200">
        <f t="shared" si="70"/>
        <v>0</v>
      </c>
      <c r="EY50" s="200">
        <f t="shared" si="70"/>
        <v>0</v>
      </c>
      <c r="EZ50" s="200">
        <f t="shared" si="70"/>
        <v>0</v>
      </c>
      <c r="FA50" s="200">
        <f t="shared" si="70"/>
        <v>0</v>
      </c>
      <c r="FB50" s="200">
        <f t="shared" si="70"/>
        <v>0</v>
      </c>
      <c r="FC50" s="200">
        <f t="shared" si="70"/>
        <v>0</v>
      </c>
      <c r="FD50" s="200">
        <f t="shared" si="70"/>
        <v>0</v>
      </c>
      <c r="FE50" s="200">
        <f t="shared" si="71"/>
        <v>0</v>
      </c>
      <c r="FF50" s="200">
        <f t="shared" si="71"/>
        <v>0</v>
      </c>
      <c r="FG50" s="200">
        <f t="shared" si="71"/>
        <v>0</v>
      </c>
      <c r="FH50" s="200">
        <f t="shared" si="71"/>
        <v>0</v>
      </c>
      <c r="FI50" s="200">
        <f t="shared" si="71"/>
        <v>0</v>
      </c>
      <c r="FJ50" s="200">
        <f t="shared" si="71"/>
        <v>0</v>
      </c>
      <c r="FK50" s="200">
        <f t="shared" si="71"/>
        <v>0</v>
      </c>
      <c r="FL50" s="200">
        <f t="shared" si="71"/>
        <v>0</v>
      </c>
      <c r="FM50" s="200">
        <f t="shared" si="71"/>
        <v>0</v>
      </c>
      <c r="FN50" s="200">
        <f t="shared" si="71"/>
        <v>0</v>
      </c>
      <c r="FO50" s="200">
        <f t="shared" si="72"/>
        <v>0</v>
      </c>
      <c r="FP50" s="200">
        <f t="shared" si="72"/>
        <v>0</v>
      </c>
      <c r="FQ50" s="200">
        <f t="shared" si="72"/>
        <v>0</v>
      </c>
      <c r="FR50" s="200">
        <f t="shared" si="72"/>
        <v>0</v>
      </c>
      <c r="FS50" s="200">
        <f t="shared" si="72"/>
        <v>0</v>
      </c>
      <c r="FT50" s="200">
        <f t="shared" si="72"/>
        <v>0</v>
      </c>
      <c r="FU50" s="200">
        <f t="shared" si="72"/>
        <v>0</v>
      </c>
      <c r="FV50" s="200">
        <f t="shared" si="72"/>
        <v>0</v>
      </c>
      <c r="FW50" s="200">
        <f t="shared" si="72"/>
        <v>0</v>
      </c>
      <c r="FX50" s="200">
        <f t="shared" si="72"/>
        <v>0</v>
      </c>
      <c r="FY50" s="200">
        <f t="shared" si="72"/>
        <v>0</v>
      </c>
      <c r="FZ50" s="200">
        <f t="shared" si="72"/>
        <v>0</v>
      </c>
      <c r="GA50" s="200">
        <f t="shared" si="72"/>
        <v>0</v>
      </c>
      <c r="GB50" s="200">
        <f t="shared" si="72"/>
        <v>0</v>
      </c>
    </row>
    <row r="51" spans="1:184" ht="17.25" customHeight="1" x14ac:dyDescent="0.5">
      <c r="A51" s="88"/>
      <c r="B51" s="323"/>
      <c r="C51" s="101" t="s">
        <v>134</v>
      </c>
      <c r="D51" s="169"/>
      <c r="E51" s="169"/>
      <c r="F51" s="203"/>
      <c r="G51" s="177"/>
      <c r="H51" s="205"/>
      <c r="I51" s="154">
        <v>0</v>
      </c>
      <c r="J51" s="155">
        <v>0</v>
      </c>
      <c r="K51" s="156">
        <v>0</v>
      </c>
      <c r="L51" s="179">
        <f t="shared" si="73"/>
        <v>0.02</v>
      </c>
      <c r="M51" s="180">
        <f t="shared" si="74"/>
        <v>0.03</v>
      </c>
      <c r="N51" s="181">
        <f t="shared" si="75"/>
        <v>0.05</v>
      </c>
      <c r="R51" s="199" t="str">
        <f t="shared" si="16"/>
        <v>XX in €/Jahr</v>
      </c>
      <c r="S51" s="200">
        <f t="shared" si="58"/>
        <v>0</v>
      </c>
      <c r="T51" s="200">
        <f t="shared" si="58"/>
        <v>0</v>
      </c>
      <c r="U51" s="200">
        <f t="shared" si="58"/>
        <v>0</v>
      </c>
      <c r="V51" s="200">
        <f t="shared" si="58"/>
        <v>0</v>
      </c>
      <c r="W51" s="200">
        <f t="shared" si="58"/>
        <v>0</v>
      </c>
      <c r="X51" s="200">
        <f t="shared" si="58"/>
        <v>0</v>
      </c>
      <c r="Y51" s="200">
        <f t="shared" si="58"/>
        <v>0</v>
      </c>
      <c r="Z51" s="200">
        <f t="shared" si="58"/>
        <v>0</v>
      </c>
      <c r="AA51" s="200">
        <f t="shared" si="58"/>
        <v>0</v>
      </c>
      <c r="AB51" s="200">
        <f t="shared" si="58"/>
        <v>0</v>
      </c>
      <c r="AC51" s="200">
        <f t="shared" si="59"/>
        <v>0</v>
      </c>
      <c r="AD51" s="200">
        <f t="shared" si="59"/>
        <v>0</v>
      </c>
      <c r="AE51" s="200">
        <f t="shared" si="59"/>
        <v>0</v>
      </c>
      <c r="AF51" s="200">
        <f t="shared" si="59"/>
        <v>0</v>
      </c>
      <c r="AG51" s="200">
        <f t="shared" si="59"/>
        <v>0</v>
      </c>
      <c r="AH51" s="200">
        <f t="shared" si="59"/>
        <v>0</v>
      </c>
      <c r="AI51" s="200">
        <f t="shared" si="59"/>
        <v>0</v>
      </c>
      <c r="AJ51" s="200">
        <f t="shared" si="59"/>
        <v>0</v>
      </c>
      <c r="AK51" s="200">
        <f t="shared" si="59"/>
        <v>0</v>
      </c>
      <c r="AL51" s="200">
        <f t="shared" si="59"/>
        <v>0</v>
      </c>
      <c r="AM51" s="200">
        <f t="shared" si="60"/>
        <v>0</v>
      </c>
      <c r="AN51" s="200">
        <f t="shared" si="60"/>
        <v>0</v>
      </c>
      <c r="AO51" s="200">
        <f t="shared" si="60"/>
        <v>0</v>
      </c>
      <c r="AP51" s="200">
        <f t="shared" si="60"/>
        <v>0</v>
      </c>
      <c r="AQ51" s="200">
        <f t="shared" si="60"/>
        <v>0</v>
      </c>
      <c r="AR51" s="200">
        <f t="shared" si="60"/>
        <v>0</v>
      </c>
      <c r="AS51" s="200">
        <f t="shared" si="60"/>
        <v>0</v>
      </c>
      <c r="AT51" s="200">
        <f t="shared" si="60"/>
        <v>0</v>
      </c>
      <c r="AU51" s="200">
        <f t="shared" si="60"/>
        <v>0</v>
      </c>
      <c r="AV51" s="200">
        <f t="shared" si="60"/>
        <v>0</v>
      </c>
      <c r="AW51" s="200">
        <f t="shared" si="61"/>
        <v>0</v>
      </c>
      <c r="AX51" s="200">
        <f t="shared" si="61"/>
        <v>0</v>
      </c>
      <c r="AY51" s="200">
        <f t="shared" si="61"/>
        <v>0</v>
      </c>
      <c r="AZ51" s="200">
        <f t="shared" si="61"/>
        <v>0</v>
      </c>
      <c r="BA51" s="200">
        <f t="shared" si="61"/>
        <v>0</v>
      </c>
      <c r="BB51" s="200">
        <f t="shared" si="61"/>
        <v>0</v>
      </c>
      <c r="BC51" s="200">
        <f t="shared" si="61"/>
        <v>0</v>
      </c>
      <c r="BD51" s="200">
        <f t="shared" si="61"/>
        <v>0</v>
      </c>
      <c r="BE51" s="200">
        <f t="shared" si="61"/>
        <v>0</v>
      </c>
      <c r="BF51" s="200">
        <f t="shared" si="61"/>
        <v>0</v>
      </c>
      <c r="BG51" s="200">
        <f t="shared" si="62"/>
        <v>0</v>
      </c>
      <c r="BH51" s="200">
        <f t="shared" si="62"/>
        <v>0</v>
      </c>
      <c r="BI51" s="200">
        <f t="shared" si="62"/>
        <v>0</v>
      </c>
      <c r="BJ51" s="200">
        <f t="shared" si="62"/>
        <v>0</v>
      </c>
      <c r="BK51" s="200">
        <f t="shared" si="62"/>
        <v>0</v>
      </c>
      <c r="BL51" s="200">
        <f t="shared" si="62"/>
        <v>0</v>
      </c>
      <c r="BM51" s="200">
        <f t="shared" si="62"/>
        <v>0</v>
      </c>
      <c r="BN51" s="200">
        <f t="shared" si="62"/>
        <v>0</v>
      </c>
      <c r="BO51" s="200">
        <f t="shared" si="62"/>
        <v>0</v>
      </c>
      <c r="BP51" s="200">
        <f t="shared" si="62"/>
        <v>0</v>
      </c>
      <c r="BQ51" s="200">
        <f t="shared" si="62"/>
        <v>0</v>
      </c>
      <c r="BR51" s="200">
        <f t="shared" si="62"/>
        <v>0</v>
      </c>
      <c r="BS51" s="200">
        <f t="shared" si="62"/>
        <v>0</v>
      </c>
      <c r="BT51" s="200">
        <f t="shared" si="62"/>
        <v>0</v>
      </c>
      <c r="BV51" s="199" t="str">
        <f t="shared" si="19"/>
        <v>XX in €/Jahr</v>
      </c>
      <c r="BW51" s="200">
        <f t="shared" si="63"/>
        <v>0</v>
      </c>
      <c r="BX51" s="200">
        <f t="shared" si="63"/>
        <v>0</v>
      </c>
      <c r="BY51" s="200">
        <f t="shared" si="63"/>
        <v>0</v>
      </c>
      <c r="BZ51" s="200">
        <f t="shared" si="63"/>
        <v>0</v>
      </c>
      <c r="CA51" s="200">
        <f t="shared" si="63"/>
        <v>0</v>
      </c>
      <c r="CB51" s="200">
        <f t="shared" si="63"/>
        <v>0</v>
      </c>
      <c r="CC51" s="200">
        <f t="shared" si="63"/>
        <v>0</v>
      </c>
      <c r="CD51" s="200">
        <f t="shared" si="63"/>
        <v>0</v>
      </c>
      <c r="CE51" s="200">
        <f t="shared" si="63"/>
        <v>0</v>
      </c>
      <c r="CF51" s="200">
        <f t="shared" si="63"/>
        <v>0</v>
      </c>
      <c r="CG51" s="200">
        <f t="shared" si="64"/>
        <v>0</v>
      </c>
      <c r="CH51" s="200">
        <f t="shared" si="64"/>
        <v>0</v>
      </c>
      <c r="CI51" s="200">
        <f t="shared" si="64"/>
        <v>0</v>
      </c>
      <c r="CJ51" s="200">
        <f t="shared" si="64"/>
        <v>0</v>
      </c>
      <c r="CK51" s="200">
        <f t="shared" si="64"/>
        <v>0</v>
      </c>
      <c r="CL51" s="200">
        <f t="shared" si="64"/>
        <v>0</v>
      </c>
      <c r="CM51" s="200">
        <f t="shared" si="64"/>
        <v>0</v>
      </c>
      <c r="CN51" s="200">
        <f t="shared" si="64"/>
        <v>0</v>
      </c>
      <c r="CO51" s="200">
        <f t="shared" si="64"/>
        <v>0</v>
      </c>
      <c r="CP51" s="200">
        <f t="shared" si="64"/>
        <v>0</v>
      </c>
      <c r="CQ51" s="200">
        <f t="shared" si="65"/>
        <v>0</v>
      </c>
      <c r="CR51" s="200">
        <f t="shared" si="65"/>
        <v>0</v>
      </c>
      <c r="CS51" s="200">
        <f t="shared" si="65"/>
        <v>0</v>
      </c>
      <c r="CT51" s="200">
        <f t="shared" si="65"/>
        <v>0</v>
      </c>
      <c r="CU51" s="200">
        <f t="shared" si="65"/>
        <v>0</v>
      </c>
      <c r="CV51" s="200">
        <f t="shared" si="65"/>
        <v>0</v>
      </c>
      <c r="CW51" s="200">
        <f t="shared" si="65"/>
        <v>0</v>
      </c>
      <c r="CX51" s="200">
        <f t="shared" si="65"/>
        <v>0</v>
      </c>
      <c r="CY51" s="200">
        <f t="shared" si="65"/>
        <v>0</v>
      </c>
      <c r="CZ51" s="200">
        <f t="shared" si="65"/>
        <v>0</v>
      </c>
      <c r="DA51" s="200">
        <f t="shared" si="66"/>
        <v>0</v>
      </c>
      <c r="DB51" s="200">
        <f t="shared" si="66"/>
        <v>0</v>
      </c>
      <c r="DC51" s="200">
        <f t="shared" si="66"/>
        <v>0</v>
      </c>
      <c r="DD51" s="200">
        <f t="shared" si="66"/>
        <v>0</v>
      </c>
      <c r="DE51" s="200">
        <f t="shared" si="66"/>
        <v>0</v>
      </c>
      <c r="DF51" s="200">
        <f t="shared" si="66"/>
        <v>0</v>
      </c>
      <c r="DG51" s="200">
        <f t="shared" si="66"/>
        <v>0</v>
      </c>
      <c r="DH51" s="200">
        <f t="shared" si="66"/>
        <v>0</v>
      </c>
      <c r="DI51" s="200">
        <f t="shared" si="66"/>
        <v>0</v>
      </c>
      <c r="DJ51" s="200">
        <f t="shared" si="66"/>
        <v>0</v>
      </c>
      <c r="DK51" s="200">
        <f t="shared" si="67"/>
        <v>0</v>
      </c>
      <c r="DL51" s="200">
        <f t="shared" si="67"/>
        <v>0</v>
      </c>
      <c r="DM51" s="200">
        <f t="shared" si="67"/>
        <v>0</v>
      </c>
      <c r="DN51" s="200">
        <f t="shared" si="67"/>
        <v>0</v>
      </c>
      <c r="DO51" s="200">
        <f t="shared" si="67"/>
        <v>0</v>
      </c>
      <c r="DP51" s="200">
        <f t="shared" si="67"/>
        <v>0</v>
      </c>
      <c r="DQ51" s="200">
        <f t="shared" si="67"/>
        <v>0</v>
      </c>
      <c r="DR51" s="200">
        <f t="shared" si="67"/>
        <v>0</v>
      </c>
      <c r="DS51" s="200">
        <f t="shared" si="67"/>
        <v>0</v>
      </c>
      <c r="DT51" s="200">
        <f t="shared" si="67"/>
        <v>0</v>
      </c>
      <c r="DU51" s="200">
        <f t="shared" si="67"/>
        <v>0</v>
      </c>
      <c r="DV51" s="200">
        <f t="shared" si="67"/>
        <v>0</v>
      </c>
      <c r="DW51" s="200">
        <f t="shared" si="67"/>
        <v>0</v>
      </c>
      <c r="DX51" s="200">
        <f t="shared" si="67"/>
        <v>0</v>
      </c>
      <c r="DZ51" s="199" t="str">
        <f t="shared" si="22"/>
        <v>XX in €/Jahr</v>
      </c>
      <c r="EA51" s="200">
        <f t="shared" si="68"/>
        <v>0</v>
      </c>
      <c r="EB51" s="200">
        <f t="shared" si="68"/>
        <v>0</v>
      </c>
      <c r="EC51" s="200">
        <f t="shared" si="68"/>
        <v>0</v>
      </c>
      <c r="ED51" s="200">
        <f t="shared" si="68"/>
        <v>0</v>
      </c>
      <c r="EE51" s="200">
        <f t="shared" si="68"/>
        <v>0</v>
      </c>
      <c r="EF51" s="200">
        <f t="shared" si="68"/>
        <v>0</v>
      </c>
      <c r="EG51" s="200">
        <f t="shared" si="68"/>
        <v>0</v>
      </c>
      <c r="EH51" s="200">
        <f t="shared" si="68"/>
        <v>0</v>
      </c>
      <c r="EI51" s="200">
        <f t="shared" si="68"/>
        <v>0</v>
      </c>
      <c r="EJ51" s="200">
        <f t="shared" si="68"/>
        <v>0</v>
      </c>
      <c r="EK51" s="200">
        <f t="shared" si="69"/>
        <v>0</v>
      </c>
      <c r="EL51" s="200">
        <f t="shared" si="69"/>
        <v>0</v>
      </c>
      <c r="EM51" s="200">
        <f t="shared" si="69"/>
        <v>0</v>
      </c>
      <c r="EN51" s="200">
        <f t="shared" si="69"/>
        <v>0</v>
      </c>
      <c r="EO51" s="200">
        <f t="shared" si="69"/>
        <v>0</v>
      </c>
      <c r="EP51" s="200">
        <f t="shared" si="69"/>
        <v>0</v>
      </c>
      <c r="EQ51" s="200">
        <f t="shared" si="69"/>
        <v>0</v>
      </c>
      <c r="ER51" s="200">
        <f t="shared" si="69"/>
        <v>0</v>
      </c>
      <c r="ES51" s="200">
        <f t="shared" si="69"/>
        <v>0</v>
      </c>
      <c r="ET51" s="200">
        <f t="shared" si="69"/>
        <v>0</v>
      </c>
      <c r="EU51" s="200">
        <f t="shared" si="70"/>
        <v>0</v>
      </c>
      <c r="EV51" s="200">
        <f t="shared" si="70"/>
        <v>0</v>
      </c>
      <c r="EW51" s="200">
        <f t="shared" si="70"/>
        <v>0</v>
      </c>
      <c r="EX51" s="200">
        <f t="shared" si="70"/>
        <v>0</v>
      </c>
      <c r="EY51" s="200">
        <f t="shared" si="70"/>
        <v>0</v>
      </c>
      <c r="EZ51" s="200">
        <f t="shared" si="70"/>
        <v>0</v>
      </c>
      <c r="FA51" s="200">
        <f t="shared" si="70"/>
        <v>0</v>
      </c>
      <c r="FB51" s="200">
        <f t="shared" si="70"/>
        <v>0</v>
      </c>
      <c r="FC51" s="200">
        <f t="shared" si="70"/>
        <v>0</v>
      </c>
      <c r="FD51" s="200">
        <f t="shared" si="70"/>
        <v>0</v>
      </c>
      <c r="FE51" s="200">
        <f t="shared" si="71"/>
        <v>0</v>
      </c>
      <c r="FF51" s="200">
        <f t="shared" si="71"/>
        <v>0</v>
      </c>
      <c r="FG51" s="200">
        <f t="shared" si="71"/>
        <v>0</v>
      </c>
      <c r="FH51" s="200">
        <f t="shared" si="71"/>
        <v>0</v>
      </c>
      <c r="FI51" s="200">
        <f t="shared" si="71"/>
        <v>0</v>
      </c>
      <c r="FJ51" s="200">
        <f t="shared" si="71"/>
        <v>0</v>
      </c>
      <c r="FK51" s="200">
        <f t="shared" si="71"/>
        <v>0</v>
      </c>
      <c r="FL51" s="200">
        <f t="shared" si="71"/>
        <v>0</v>
      </c>
      <c r="FM51" s="200">
        <f t="shared" si="71"/>
        <v>0</v>
      </c>
      <c r="FN51" s="200">
        <f t="shared" si="71"/>
        <v>0</v>
      </c>
      <c r="FO51" s="200">
        <f t="shared" si="72"/>
        <v>0</v>
      </c>
      <c r="FP51" s="200">
        <f t="shared" si="72"/>
        <v>0</v>
      </c>
      <c r="FQ51" s="200">
        <f t="shared" si="72"/>
        <v>0</v>
      </c>
      <c r="FR51" s="200">
        <f t="shared" si="72"/>
        <v>0</v>
      </c>
      <c r="FS51" s="200">
        <f t="shared" si="72"/>
        <v>0</v>
      </c>
      <c r="FT51" s="200">
        <f t="shared" si="72"/>
        <v>0</v>
      </c>
      <c r="FU51" s="200">
        <f t="shared" si="72"/>
        <v>0</v>
      </c>
      <c r="FV51" s="200">
        <f t="shared" si="72"/>
        <v>0</v>
      </c>
      <c r="FW51" s="200">
        <f t="shared" si="72"/>
        <v>0</v>
      </c>
      <c r="FX51" s="200">
        <f t="shared" si="72"/>
        <v>0</v>
      </c>
      <c r="FY51" s="200">
        <f t="shared" si="72"/>
        <v>0</v>
      </c>
      <c r="FZ51" s="200">
        <f t="shared" si="72"/>
        <v>0</v>
      </c>
      <c r="GA51" s="200">
        <f t="shared" si="72"/>
        <v>0</v>
      </c>
      <c r="GB51" s="200">
        <f t="shared" si="72"/>
        <v>0</v>
      </c>
    </row>
    <row r="52" spans="1:184" ht="17.25" customHeight="1" x14ac:dyDescent="0.5">
      <c r="A52" s="88"/>
      <c r="B52" s="323"/>
      <c r="C52" s="101" t="s">
        <v>134</v>
      </c>
      <c r="D52" s="169"/>
      <c r="E52" s="169"/>
      <c r="F52" s="203"/>
      <c r="G52" s="177"/>
      <c r="H52" s="205"/>
      <c r="I52" s="154">
        <v>0</v>
      </c>
      <c r="J52" s="155">
        <v>0</v>
      </c>
      <c r="K52" s="156">
        <v>0</v>
      </c>
      <c r="L52" s="179">
        <f t="shared" si="73"/>
        <v>0.02</v>
      </c>
      <c r="M52" s="180">
        <f t="shared" si="74"/>
        <v>0.03</v>
      </c>
      <c r="N52" s="181">
        <f t="shared" si="75"/>
        <v>0.05</v>
      </c>
      <c r="R52" s="199" t="str">
        <f t="shared" si="16"/>
        <v>XX in €/Jahr</v>
      </c>
      <c r="S52" s="200">
        <f t="shared" si="58"/>
        <v>0</v>
      </c>
      <c r="T52" s="200">
        <f t="shared" si="58"/>
        <v>0</v>
      </c>
      <c r="U52" s="200">
        <f t="shared" si="58"/>
        <v>0</v>
      </c>
      <c r="V52" s="200">
        <f t="shared" si="58"/>
        <v>0</v>
      </c>
      <c r="W52" s="200">
        <f t="shared" si="58"/>
        <v>0</v>
      </c>
      <c r="X52" s="200">
        <f t="shared" si="58"/>
        <v>0</v>
      </c>
      <c r="Y52" s="200">
        <f t="shared" si="58"/>
        <v>0</v>
      </c>
      <c r="Z52" s="200">
        <f t="shared" si="58"/>
        <v>0</v>
      </c>
      <c r="AA52" s="200">
        <f t="shared" si="58"/>
        <v>0</v>
      </c>
      <c r="AB52" s="200">
        <f t="shared" si="58"/>
        <v>0</v>
      </c>
      <c r="AC52" s="200">
        <f t="shared" si="59"/>
        <v>0</v>
      </c>
      <c r="AD52" s="200">
        <f t="shared" si="59"/>
        <v>0</v>
      </c>
      <c r="AE52" s="200">
        <f t="shared" si="59"/>
        <v>0</v>
      </c>
      <c r="AF52" s="200">
        <f t="shared" si="59"/>
        <v>0</v>
      </c>
      <c r="AG52" s="200">
        <f t="shared" si="59"/>
        <v>0</v>
      </c>
      <c r="AH52" s="200">
        <f t="shared" si="59"/>
        <v>0</v>
      </c>
      <c r="AI52" s="200">
        <f t="shared" si="59"/>
        <v>0</v>
      </c>
      <c r="AJ52" s="200">
        <f t="shared" si="59"/>
        <v>0</v>
      </c>
      <c r="AK52" s="200">
        <f t="shared" si="59"/>
        <v>0</v>
      </c>
      <c r="AL52" s="200">
        <f t="shared" si="59"/>
        <v>0</v>
      </c>
      <c r="AM52" s="200">
        <f t="shared" si="60"/>
        <v>0</v>
      </c>
      <c r="AN52" s="200">
        <f t="shared" si="60"/>
        <v>0</v>
      </c>
      <c r="AO52" s="200">
        <f t="shared" si="60"/>
        <v>0</v>
      </c>
      <c r="AP52" s="200">
        <f t="shared" si="60"/>
        <v>0</v>
      </c>
      <c r="AQ52" s="200">
        <f t="shared" si="60"/>
        <v>0</v>
      </c>
      <c r="AR52" s="200">
        <f t="shared" si="60"/>
        <v>0</v>
      </c>
      <c r="AS52" s="200">
        <f t="shared" si="60"/>
        <v>0</v>
      </c>
      <c r="AT52" s="200">
        <f t="shared" si="60"/>
        <v>0</v>
      </c>
      <c r="AU52" s="200">
        <f t="shared" si="60"/>
        <v>0</v>
      </c>
      <c r="AV52" s="200">
        <f t="shared" si="60"/>
        <v>0</v>
      </c>
      <c r="AW52" s="200">
        <f t="shared" si="61"/>
        <v>0</v>
      </c>
      <c r="AX52" s="200">
        <f t="shared" si="61"/>
        <v>0</v>
      </c>
      <c r="AY52" s="200">
        <f t="shared" si="61"/>
        <v>0</v>
      </c>
      <c r="AZ52" s="200">
        <f t="shared" si="61"/>
        <v>0</v>
      </c>
      <c r="BA52" s="200">
        <f t="shared" si="61"/>
        <v>0</v>
      </c>
      <c r="BB52" s="200">
        <f t="shared" si="61"/>
        <v>0</v>
      </c>
      <c r="BC52" s="200">
        <f t="shared" si="61"/>
        <v>0</v>
      </c>
      <c r="BD52" s="200">
        <f t="shared" si="61"/>
        <v>0</v>
      </c>
      <c r="BE52" s="200">
        <f t="shared" si="61"/>
        <v>0</v>
      </c>
      <c r="BF52" s="200">
        <f t="shared" si="61"/>
        <v>0</v>
      </c>
      <c r="BG52" s="200">
        <f t="shared" si="62"/>
        <v>0</v>
      </c>
      <c r="BH52" s="200">
        <f t="shared" si="62"/>
        <v>0</v>
      </c>
      <c r="BI52" s="200">
        <f t="shared" si="62"/>
        <v>0</v>
      </c>
      <c r="BJ52" s="200">
        <f t="shared" si="62"/>
        <v>0</v>
      </c>
      <c r="BK52" s="200">
        <f t="shared" si="62"/>
        <v>0</v>
      </c>
      <c r="BL52" s="200">
        <f t="shared" si="62"/>
        <v>0</v>
      </c>
      <c r="BM52" s="200">
        <f t="shared" si="62"/>
        <v>0</v>
      </c>
      <c r="BN52" s="200">
        <f t="shared" si="62"/>
        <v>0</v>
      </c>
      <c r="BO52" s="200">
        <f t="shared" si="62"/>
        <v>0</v>
      </c>
      <c r="BP52" s="200">
        <f t="shared" si="62"/>
        <v>0</v>
      </c>
      <c r="BQ52" s="200">
        <f t="shared" si="62"/>
        <v>0</v>
      </c>
      <c r="BR52" s="200">
        <f t="shared" si="62"/>
        <v>0</v>
      </c>
      <c r="BS52" s="200">
        <f t="shared" si="62"/>
        <v>0</v>
      </c>
      <c r="BT52" s="200">
        <f t="shared" si="62"/>
        <v>0</v>
      </c>
      <c r="BV52" s="199" t="str">
        <f t="shared" si="19"/>
        <v>XX in €/Jahr</v>
      </c>
      <c r="BW52" s="200">
        <f t="shared" si="63"/>
        <v>0</v>
      </c>
      <c r="BX52" s="200">
        <f t="shared" si="63"/>
        <v>0</v>
      </c>
      <c r="BY52" s="200">
        <f t="shared" si="63"/>
        <v>0</v>
      </c>
      <c r="BZ52" s="200">
        <f t="shared" si="63"/>
        <v>0</v>
      </c>
      <c r="CA52" s="200">
        <f t="shared" si="63"/>
        <v>0</v>
      </c>
      <c r="CB52" s="200">
        <f t="shared" si="63"/>
        <v>0</v>
      </c>
      <c r="CC52" s="200">
        <f t="shared" si="63"/>
        <v>0</v>
      </c>
      <c r="CD52" s="200">
        <f t="shared" si="63"/>
        <v>0</v>
      </c>
      <c r="CE52" s="200">
        <f t="shared" si="63"/>
        <v>0</v>
      </c>
      <c r="CF52" s="200">
        <f t="shared" si="63"/>
        <v>0</v>
      </c>
      <c r="CG52" s="200">
        <f t="shared" si="64"/>
        <v>0</v>
      </c>
      <c r="CH52" s="200">
        <f t="shared" si="64"/>
        <v>0</v>
      </c>
      <c r="CI52" s="200">
        <f t="shared" si="64"/>
        <v>0</v>
      </c>
      <c r="CJ52" s="200">
        <f t="shared" si="64"/>
        <v>0</v>
      </c>
      <c r="CK52" s="200">
        <f t="shared" si="64"/>
        <v>0</v>
      </c>
      <c r="CL52" s="200">
        <f t="shared" si="64"/>
        <v>0</v>
      </c>
      <c r="CM52" s="200">
        <f t="shared" si="64"/>
        <v>0</v>
      </c>
      <c r="CN52" s="200">
        <f t="shared" si="64"/>
        <v>0</v>
      </c>
      <c r="CO52" s="200">
        <f t="shared" si="64"/>
        <v>0</v>
      </c>
      <c r="CP52" s="200">
        <f t="shared" si="64"/>
        <v>0</v>
      </c>
      <c r="CQ52" s="200">
        <f t="shared" si="65"/>
        <v>0</v>
      </c>
      <c r="CR52" s="200">
        <f t="shared" si="65"/>
        <v>0</v>
      </c>
      <c r="CS52" s="200">
        <f t="shared" si="65"/>
        <v>0</v>
      </c>
      <c r="CT52" s="200">
        <f t="shared" si="65"/>
        <v>0</v>
      </c>
      <c r="CU52" s="200">
        <f t="shared" si="65"/>
        <v>0</v>
      </c>
      <c r="CV52" s="200">
        <f t="shared" si="65"/>
        <v>0</v>
      </c>
      <c r="CW52" s="200">
        <f t="shared" si="65"/>
        <v>0</v>
      </c>
      <c r="CX52" s="200">
        <f t="shared" si="65"/>
        <v>0</v>
      </c>
      <c r="CY52" s="200">
        <f t="shared" si="65"/>
        <v>0</v>
      </c>
      <c r="CZ52" s="200">
        <f t="shared" si="65"/>
        <v>0</v>
      </c>
      <c r="DA52" s="200">
        <f t="shared" si="66"/>
        <v>0</v>
      </c>
      <c r="DB52" s="200">
        <f t="shared" si="66"/>
        <v>0</v>
      </c>
      <c r="DC52" s="200">
        <f t="shared" si="66"/>
        <v>0</v>
      </c>
      <c r="DD52" s="200">
        <f t="shared" si="66"/>
        <v>0</v>
      </c>
      <c r="DE52" s="200">
        <f t="shared" si="66"/>
        <v>0</v>
      </c>
      <c r="DF52" s="200">
        <f t="shared" si="66"/>
        <v>0</v>
      </c>
      <c r="DG52" s="200">
        <f t="shared" si="66"/>
        <v>0</v>
      </c>
      <c r="DH52" s="200">
        <f t="shared" si="66"/>
        <v>0</v>
      </c>
      <c r="DI52" s="200">
        <f t="shared" si="66"/>
        <v>0</v>
      </c>
      <c r="DJ52" s="200">
        <f t="shared" si="66"/>
        <v>0</v>
      </c>
      <c r="DK52" s="200">
        <f t="shared" si="67"/>
        <v>0</v>
      </c>
      <c r="DL52" s="200">
        <f t="shared" si="67"/>
        <v>0</v>
      </c>
      <c r="DM52" s="200">
        <f t="shared" si="67"/>
        <v>0</v>
      </c>
      <c r="DN52" s="200">
        <f t="shared" si="67"/>
        <v>0</v>
      </c>
      <c r="DO52" s="200">
        <f t="shared" si="67"/>
        <v>0</v>
      </c>
      <c r="DP52" s="200">
        <f t="shared" si="67"/>
        <v>0</v>
      </c>
      <c r="DQ52" s="200">
        <f t="shared" si="67"/>
        <v>0</v>
      </c>
      <c r="DR52" s="200">
        <f t="shared" si="67"/>
        <v>0</v>
      </c>
      <c r="DS52" s="200">
        <f t="shared" si="67"/>
        <v>0</v>
      </c>
      <c r="DT52" s="200">
        <f t="shared" si="67"/>
        <v>0</v>
      </c>
      <c r="DU52" s="200">
        <f t="shared" si="67"/>
        <v>0</v>
      </c>
      <c r="DV52" s="200">
        <f t="shared" si="67"/>
        <v>0</v>
      </c>
      <c r="DW52" s="200">
        <f t="shared" si="67"/>
        <v>0</v>
      </c>
      <c r="DX52" s="200">
        <f t="shared" si="67"/>
        <v>0</v>
      </c>
      <c r="DZ52" s="199" t="str">
        <f t="shared" si="22"/>
        <v>XX in €/Jahr</v>
      </c>
      <c r="EA52" s="200">
        <f t="shared" si="68"/>
        <v>0</v>
      </c>
      <c r="EB52" s="200">
        <f t="shared" si="68"/>
        <v>0</v>
      </c>
      <c r="EC52" s="200">
        <f t="shared" si="68"/>
        <v>0</v>
      </c>
      <c r="ED52" s="200">
        <f t="shared" si="68"/>
        <v>0</v>
      </c>
      <c r="EE52" s="200">
        <f t="shared" si="68"/>
        <v>0</v>
      </c>
      <c r="EF52" s="200">
        <f t="shared" si="68"/>
        <v>0</v>
      </c>
      <c r="EG52" s="200">
        <f t="shared" si="68"/>
        <v>0</v>
      </c>
      <c r="EH52" s="200">
        <f t="shared" si="68"/>
        <v>0</v>
      </c>
      <c r="EI52" s="200">
        <f t="shared" si="68"/>
        <v>0</v>
      </c>
      <c r="EJ52" s="200">
        <f t="shared" si="68"/>
        <v>0</v>
      </c>
      <c r="EK52" s="200">
        <f t="shared" si="69"/>
        <v>0</v>
      </c>
      <c r="EL52" s="200">
        <f t="shared" si="69"/>
        <v>0</v>
      </c>
      <c r="EM52" s="200">
        <f t="shared" si="69"/>
        <v>0</v>
      </c>
      <c r="EN52" s="200">
        <f t="shared" si="69"/>
        <v>0</v>
      </c>
      <c r="EO52" s="200">
        <f t="shared" si="69"/>
        <v>0</v>
      </c>
      <c r="EP52" s="200">
        <f t="shared" si="69"/>
        <v>0</v>
      </c>
      <c r="EQ52" s="200">
        <f t="shared" si="69"/>
        <v>0</v>
      </c>
      <c r="ER52" s="200">
        <f t="shared" si="69"/>
        <v>0</v>
      </c>
      <c r="ES52" s="200">
        <f t="shared" si="69"/>
        <v>0</v>
      </c>
      <c r="ET52" s="200">
        <f t="shared" si="69"/>
        <v>0</v>
      </c>
      <c r="EU52" s="200">
        <f t="shared" si="70"/>
        <v>0</v>
      </c>
      <c r="EV52" s="200">
        <f t="shared" si="70"/>
        <v>0</v>
      </c>
      <c r="EW52" s="200">
        <f t="shared" si="70"/>
        <v>0</v>
      </c>
      <c r="EX52" s="200">
        <f t="shared" si="70"/>
        <v>0</v>
      </c>
      <c r="EY52" s="200">
        <f t="shared" si="70"/>
        <v>0</v>
      </c>
      <c r="EZ52" s="200">
        <f t="shared" si="70"/>
        <v>0</v>
      </c>
      <c r="FA52" s="200">
        <f t="shared" si="70"/>
        <v>0</v>
      </c>
      <c r="FB52" s="200">
        <f t="shared" si="70"/>
        <v>0</v>
      </c>
      <c r="FC52" s="200">
        <f t="shared" si="70"/>
        <v>0</v>
      </c>
      <c r="FD52" s="200">
        <f t="shared" si="70"/>
        <v>0</v>
      </c>
      <c r="FE52" s="200">
        <f t="shared" si="71"/>
        <v>0</v>
      </c>
      <c r="FF52" s="200">
        <f t="shared" si="71"/>
        <v>0</v>
      </c>
      <c r="FG52" s="200">
        <f t="shared" si="71"/>
        <v>0</v>
      </c>
      <c r="FH52" s="200">
        <f t="shared" si="71"/>
        <v>0</v>
      </c>
      <c r="FI52" s="200">
        <f t="shared" si="71"/>
        <v>0</v>
      </c>
      <c r="FJ52" s="200">
        <f t="shared" si="71"/>
        <v>0</v>
      </c>
      <c r="FK52" s="200">
        <f t="shared" si="71"/>
        <v>0</v>
      </c>
      <c r="FL52" s="200">
        <f t="shared" si="71"/>
        <v>0</v>
      </c>
      <c r="FM52" s="200">
        <f t="shared" si="71"/>
        <v>0</v>
      </c>
      <c r="FN52" s="200">
        <f t="shared" si="71"/>
        <v>0</v>
      </c>
      <c r="FO52" s="200">
        <f t="shared" si="72"/>
        <v>0</v>
      </c>
      <c r="FP52" s="200">
        <f t="shared" si="72"/>
        <v>0</v>
      </c>
      <c r="FQ52" s="200">
        <f t="shared" si="72"/>
        <v>0</v>
      </c>
      <c r="FR52" s="200">
        <f t="shared" si="72"/>
        <v>0</v>
      </c>
      <c r="FS52" s="200">
        <f t="shared" si="72"/>
        <v>0</v>
      </c>
      <c r="FT52" s="200">
        <f t="shared" si="72"/>
        <v>0</v>
      </c>
      <c r="FU52" s="200">
        <f t="shared" si="72"/>
        <v>0</v>
      </c>
      <c r="FV52" s="200">
        <f t="shared" si="72"/>
        <v>0</v>
      </c>
      <c r="FW52" s="200">
        <f t="shared" si="72"/>
        <v>0</v>
      </c>
      <c r="FX52" s="200">
        <f t="shared" si="72"/>
        <v>0</v>
      </c>
      <c r="FY52" s="200">
        <f t="shared" si="72"/>
        <v>0</v>
      </c>
      <c r="FZ52" s="200">
        <f t="shared" si="72"/>
        <v>0</v>
      </c>
      <c r="GA52" s="200">
        <f t="shared" si="72"/>
        <v>0</v>
      </c>
      <c r="GB52" s="200">
        <f t="shared" si="72"/>
        <v>0</v>
      </c>
    </row>
    <row r="53" spans="1:184" ht="17.25" customHeight="1" x14ac:dyDescent="0.5">
      <c r="A53" s="88"/>
      <c r="B53" s="323"/>
      <c r="C53" s="101" t="s">
        <v>134</v>
      </c>
      <c r="D53" s="169"/>
      <c r="E53" s="169"/>
      <c r="F53" s="203"/>
      <c r="G53" s="177"/>
      <c r="H53" s="205"/>
      <c r="I53" s="154">
        <v>0</v>
      </c>
      <c r="J53" s="155">
        <v>0</v>
      </c>
      <c r="K53" s="156">
        <v>0</v>
      </c>
      <c r="L53" s="179">
        <f t="shared" si="73"/>
        <v>0.02</v>
      </c>
      <c r="M53" s="180">
        <f t="shared" si="74"/>
        <v>0.03</v>
      </c>
      <c r="N53" s="181">
        <f t="shared" si="75"/>
        <v>0.05</v>
      </c>
      <c r="R53" s="199" t="str">
        <f t="shared" si="16"/>
        <v>XX in €/Jahr</v>
      </c>
      <c r="S53" s="200">
        <f t="shared" si="58"/>
        <v>0</v>
      </c>
      <c r="T53" s="200">
        <f t="shared" si="58"/>
        <v>0</v>
      </c>
      <c r="U53" s="200">
        <f t="shared" si="58"/>
        <v>0</v>
      </c>
      <c r="V53" s="200">
        <f t="shared" si="58"/>
        <v>0</v>
      </c>
      <c r="W53" s="200">
        <f t="shared" si="58"/>
        <v>0</v>
      </c>
      <c r="X53" s="200">
        <f t="shared" si="58"/>
        <v>0</v>
      </c>
      <c r="Y53" s="200">
        <f t="shared" si="58"/>
        <v>0</v>
      </c>
      <c r="Z53" s="200">
        <f t="shared" si="58"/>
        <v>0</v>
      </c>
      <c r="AA53" s="200">
        <f t="shared" si="58"/>
        <v>0</v>
      </c>
      <c r="AB53" s="200">
        <f t="shared" si="58"/>
        <v>0</v>
      </c>
      <c r="AC53" s="200">
        <f t="shared" si="59"/>
        <v>0</v>
      </c>
      <c r="AD53" s="200">
        <f t="shared" si="59"/>
        <v>0</v>
      </c>
      <c r="AE53" s="200">
        <f t="shared" si="59"/>
        <v>0</v>
      </c>
      <c r="AF53" s="200">
        <f t="shared" si="59"/>
        <v>0</v>
      </c>
      <c r="AG53" s="200">
        <f t="shared" si="59"/>
        <v>0</v>
      </c>
      <c r="AH53" s="200">
        <f t="shared" si="59"/>
        <v>0</v>
      </c>
      <c r="AI53" s="200">
        <f t="shared" si="59"/>
        <v>0</v>
      </c>
      <c r="AJ53" s="200">
        <f t="shared" si="59"/>
        <v>0</v>
      </c>
      <c r="AK53" s="200">
        <f t="shared" si="59"/>
        <v>0</v>
      </c>
      <c r="AL53" s="200">
        <f t="shared" si="59"/>
        <v>0</v>
      </c>
      <c r="AM53" s="200">
        <f t="shared" si="60"/>
        <v>0</v>
      </c>
      <c r="AN53" s="200">
        <f t="shared" si="60"/>
        <v>0</v>
      </c>
      <c r="AO53" s="200">
        <f t="shared" si="60"/>
        <v>0</v>
      </c>
      <c r="AP53" s="200">
        <f t="shared" si="60"/>
        <v>0</v>
      </c>
      <c r="AQ53" s="200">
        <f t="shared" si="60"/>
        <v>0</v>
      </c>
      <c r="AR53" s="200">
        <f t="shared" si="60"/>
        <v>0</v>
      </c>
      <c r="AS53" s="200">
        <f t="shared" si="60"/>
        <v>0</v>
      </c>
      <c r="AT53" s="200">
        <f t="shared" si="60"/>
        <v>0</v>
      </c>
      <c r="AU53" s="200">
        <f t="shared" si="60"/>
        <v>0</v>
      </c>
      <c r="AV53" s="200">
        <f t="shared" si="60"/>
        <v>0</v>
      </c>
      <c r="AW53" s="200">
        <f t="shared" si="61"/>
        <v>0</v>
      </c>
      <c r="AX53" s="200">
        <f t="shared" si="61"/>
        <v>0</v>
      </c>
      <c r="AY53" s="200">
        <f t="shared" si="61"/>
        <v>0</v>
      </c>
      <c r="AZ53" s="200">
        <f t="shared" si="61"/>
        <v>0</v>
      </c>
      <c r="BA53" s="200">
        <f t="shared" si="61"/>
        <v>0</v>
      </c>
      <c r="BB53" s="200">
        <f t="shared" si="61"/>
        <v>0</v>
      </c>
      <c r="BC53" s="200">
        <f t="shared" si="61"/>
        <v>0</v>
      </c>
      <c r="BD53" s="200">
        <f t="shared" si="61"/>
        <v>0</v>
      </c>
      <c r="BE53" s="200">
        <f t="shared" si="61"/>
        <v>0</v>
      </c>
      <c r="BF53" s="200">
        <f t="shared" si="61"/>
        <v>0</v>
      </c>
      <c r="BG53" s="200">
        <f t="shared" si="62"/>
        <v>0</v>
      </c>
      <c r="BH53" s="200">
        <f t="shared" si="62"/>
        <v>0</v>
      </c>
      <c r="BI53" s="200">
        <f t="shared" si="62"/>
        <v>0</v>
      </c>
      <c r="BJ53" s="200">
        <f t="shared" si="62"/>
        <v>0</v>
      </c>
      <c r="BK53" s="200">
        <f t="shared" si="62"/>
        <v>0</v>
      </c>
      <c r="BL53" s="200">
        <f t="shared" si="62"/>
        <v>0</v>
      </c>
      <c r="BM53" s="200">
        <f t="shared" si="62"/>
        <v>0</v>
      </c>
      <c r="BN53" s="200">
        <f t="shared" si="62"/>
        <v>0</v>
      </c>
      <c r="BO53" s="200">
        <f t="shared" si="62"/>
        <v>0</v>
      </c>
      <c r="BP53" s="200">
        <f t="shared" si="62"/>
        <v>0</v>
      </c>
      <c r="BQ53" s="200">
        <f t="shared" si="62"/>
        <v>0</v>
      </c>
      <c r="BR53" s="200">
        <f t="shared" si="62"/>
        <v>0</v>
      </c>
      <c r="BS53" s="200">
        <f t="shared" si="62"/>
        <v>0</v>
      </c>
      <c r="BT53" s="200">
        <f t="shared" si="62"/>
        <v>0</v>
      </c>
      <c r="BV53" s="199" t="str">
        <f t="shared" si="19"/>
        <v>XX in €/Jahr</v>
      </c>
      <c r="BW53" s="200">
        <f t="shared" si="63"/>
        <v>0</v>
      </c>
      <c r="BX53" s="200">
        <f t="shared" si="63"/>
        <v>0</v>
      </c>
      <c r="BY53" s="200">
        <f t="shared" si="63"/>
        <v>0</v>
      </c>
      <c r="BZ53" s="200">
        <f t="shared" si="63"/>
        <v>0</v>
      </c>
      <c r="CA53" s="200">
        <f t="shared" si="63"/>
        <v>0</v>
      </c>
      <c r="CB53" s="200">
        <f t="shared" si="63"/>
        <v>0</v>
      </c>
      <c r="CC53" s="200">
        <f t="shared" si="63"/>
        <v>0</v>
      </c>
      <c r="CD53" s="200">
        <f t="shared" si="63"/>
        <v>0</v>
      </c>
      <c r="CE53" s="200">
        <f t="shared" si="63"/>
        <v>0</v>
      </c>
      <c r="CF53" s="200">
        <f t="shared" si="63"/>
        <v>0</v>
      </c>
      <c r="CG53" s="200">
        <f t="shared" si="64"/>
        <v>0</v>
      </c>
      <c r="CH53" s="200">
        <f t="shared" si="64"/>
        <v>0</v>
      </c>
      <c r="CI53" s="200">
        <f t="shared" si="64"/>
        <v>0</v>
      </c>
      <c r="CJ53" s="200">
        <f t="shared" si="64"/>
        <v>0</v>
      </c>
      <c r="CK53" s="200">
        <f t="shared" si="64"/>
        <v>0</v>
      </c>
      <c r="CL53" s="200">
        <f t="shared" si="64"/>
        <v>0</v>
      </c>
      <c r="CM53" s="200">
        <f t="shared" si="64"/>
        <v>0</v>
      </c>
      <c r="CN53" s="200">
        <f t="shared" si="64"/>
        <v>0</v>
      </c>
      <c r="CO53" s="200">
        <f t="shared" si="64"/>
        <v>0</v>
      </c>
      <c r="CP53" s="200">
        <f t="shared" si="64"/>
        <v>0</v>
      </c>
      <c r="CQ53" s="200">
        <f t="shared" si="65"/>
        <v>0</v>
      </c>
      <c r="CR53" s="200">
        <f t="shared" si="65"/>
        <v>0</v>
      </c>
      <c r="CS53" s="200">
        <f t="shared" si="65"/>
        <v>0</v>
      </c>
      <c r="CT53" s="200">
        <f t="shared" si="65"/>
        <v>0</v>
      </c>
      <c r="CU53" s="200">
        <f t="shared" si="65"/>
        <v>0</v>
      </c>
      <c r="CV53" s="200">
        <f t="shared" si="65"/>
        <v>0</v>
      </c>
      <c r="CW53" s="200">
        <f t="shared" si="65"/>
        <v>0</v>
      </c>
      <c r="CX53" s="200">
        <f t="shared" si="65"/>
        <v>0</v>
      </c>
      <c r="CY53" s="200">
        <f t="shared" si="65"/>
        <v>0</v>
      </c>
      <c r="CZ53" s="200">
        <f t="shared" si="65"/>
        <v>0</v>
      </c>
      <c r="DA53" s="200">
        <f t="shared" si="66"/>
        <v>0</v>
      </c>
      <c r="DB53" s="200">
        <f t="shared" si="66"/>
        <v>0</v>
      </c>
      <c r="DC53" s="200">
        <f t="shared" si="66"/>
        <v>0</v>
      </c>
      <c r="DD53" s="200">
        <f t="shared" si="66"/>
        <v>0</v>
      </c>
      <c r="DE53" s="200">
        <f t="shared" si="66"/>
        <v>0</v>
      </c>
      <c r="DF53" s="200">
        <f t="shared" si="66"/>
        <v>0</v>
      </c>
      <c r="DG53" s="200">
        <f t="shared" si="66"/>
        <v>0</v>
      </c>
      <c r="DH53" s="200">
        <f t="shared" si="66"/>
        <v>0</v>
      </c>
      <c r="DI53" s="200">
        <f t="shared" si="66"/>
        <v>0</v>
      </c>
      <c r="DJ53" s="200">
        <f t="shared" si="66"/>
        <v>0</v>
      </c>
      <c r="DK53" s="200">
        <f t="shared" si="67"/>
        <v>0</v>
      </c>
      <c r="DL53" s="200">
        <f t="shared" si="67"/>
        <v>0</v>
      </c>
      <c r="DM53" s="200">
        <f t="shared" si="67"/>
        <v>0</v>
      </c>
      <c r="DN53" s="200">
        <f t="shared" si="67"/>
        <v>0</v>
      </c>
      <c r="DO53" s="200">
        <f t="shared" si="67"/>
        <v>0</v>
      </c>
      <c r="DP53" s="200">
        <f t="shared" si="67"/>
        <v>0</v>
      </c>
      <c r="DQ53" s="200">
        <f t="shared" si="67"/>
        <v>0</v>
      </c>
      <c r="DR53" s="200">
        <f t="shared" si="67"/>
        <v>0</v>
      </c>
      <c r="DS53" s="200">
        <f t="shared" si="67"/>
        <v>0</v>
      </c>
      <c r="DT53" s="200">
        <f t="shared" si="67"/>
        <v>0</v>
      </c>
      <c r="DU53" s="200">
        <f t="shared" si="67"/>
        <v>0</v>
      </c>
      <c r="DV53" s="200">
        <f t="shared" si="67"/>
        <v>0</v>
      </c>
      <c r="DW53" s="200">
        <f t="shared" si="67"/>
        <v>0</v>
      </c>
      <c r="DX53" s="200">
        <f t="shared" si="67"/>
        <v>0</v>
      </c>
      <c r="DZ53" s="199" t="str">
        <f t="shared" si="22"/>
        <v>XX in €/Jahr</v>
      </c>
      <c r="EA53" s="200">
        <f t="shared" si="68"/>
        <v>0</v>
      </c>
      <c r="EB53" s="200">
        <f t="shared" si="68"/>
        <v>0</v>
      </c>
      <c r="EC53" s="200">
        <f t="shared" si="68"/>
        <v>0</v>
      </c>
      <c r="ED53" s="200">
        <f t="shared" si="68"/>
        <v>0</v>
      </c>
      <c r="EE53" s="200">
        <f t="shared" si="68"/>
        <v>0</v>
      </c>
      <c r="EF53" s="200">
        <f t="shared" si="68"/>
        <v>0</v>
      </c>
      <c r="EG53" s="200">
        <f t="shared" si="68"/>
        <v>0</v>
      </c>
      <c r="EH53" s="200">
        <f t="shared" si="68"/>
        <v>0</v>
      </c>
      <c r="EI53" s="200">
        <f t="shared" si="68"/>
        <v>0</v>
      </c>
      <c r="EJ53" s="200">
        <f t="shared" si="68"/>
        <v>0</v>
      </c>
      <c r="EK53" s="200">
        <f t="shared" si="69"/>
        <v>0</v>
      </c>
      <c r="EL53" s="200">
        <f t="shared" si="69"/>
        <v>0</v>
      </c>
      <c r="EM53" s="200">
        <f t="shared" si="69"/>
        <v>0</v>
      </c>
      <c r="EN53" s="200">
        <f t="shared" si="69"/>
        <v>0</v>
      </c>
      <c r="EO53" s="200">
        <f t="shared" si="69"/>
        <v>0</v>
      </c>
      <c r="EP53" s="200">
        <f t="shared" si="69"/>
        <v>0</v>
      </c>
      <c r="EQ53" s="200">
        <f t="shared" si="69"/>
        <v>0</v>
      </c>
      <c r="ER53" s="200">
        <f t="shared" si="69"/>
        <v>0</v>
      </c>
      <c r="ES53" s="200">
        <f t="shared" si="69"/>
        <v>0</v>
      </c>
      <c r="ET53" s="200">
        <f t="shared" si="69"/>
        <v>0</v>
      </c>
      <c r="EU53" s="200">
        <f t="shared" si="70"/>
        <v>0</v>
      </c>
      <c r="EV53" s="200">
        <f t="shared" si="70"/>
        <v>0</v>
      </c>
      <c r="EW53" s="200">
        <f t="shared" si="70"/>
        <v>0</v>
      </c>
      <c r="EX53" s="200">
        <f t="shared" si="70"/>
        <v>0</v>
      </c>
      <c r="EY53" s="200">
        <f t="shared" si="70"/>
        <v>0</v>
      </c>
      <c r="EZ53" s="200">
        <f t="shared" si="70"/>
        <v>0</v>
      </c>
      <c r="FA53" s="200">
        <f t="shared" si="70"/>
        <v>0</v>
      </c>
      <c r="FB53" s="200">
        <f t="shared" si="70"/>
        <v>0</v>
      </c>
      <c r="FC53" s="200">
        <f t="shared" si="70"/>
        <v>0</v>
      </c>
      <c r="FD53" s="200">
        <f t="shared" si="70"/>
        <v>0</v>
      </c>
      <c r="FE53" s="200">
        <f t="shared" si="71"/>
        <v>0</v>
      </c>
      <c r="FF53" s="200">
        <f t="shared" si="71"/>
        <v>0</v>
      </c>
      <c r="FG53" s="200">
        <f t="shared" si="71"/>
        <v>0</v>
      </c>
      <c r="FH53" s="200">
        <f t="shared" si="71"/>
        <v>0</v>
      </c>
      <c r="FI53" s="200">
        <f t="shared" si="71"/>
        <v>0</v>
      </c>
      <c r="FJ53" s="200">
        <f t="shared" si="71"/>
        <v>0</v>
      </c>
      <c r="FK53" s="200">
        <f t="shared" si="71"/>
        <v>0</v>
      </c>
      <c r="FL53" s="200">
        <f t="shared" si="71"/>
        <v>0</v>
      </c>
      <c r="FM53" s="200">
        <f t="shared" si="71"/>
        <v>0</v>
      </c>
      <c r="FN53" s="200">
        <f t="shared" si="71"/>
        <v>0</v>
      </c>
      <c r="FO53" s="200">
        <f t="shared" si="72"/>
        <v>0</v>
      </c>
      <c r="FP53" s="200">
        <f t="shared" si="72"/>
        <v>0</v>
      </c>
      <c r="FQ53" s="200">
        <f t="shared" si="72"/>
        <v>0</v>
      </c>
      <c r="FR53" s="200">
        <f t="shared" si="72"/>
        <v>0</v>
      </c>
      <c r="FS53" s="200">
        <f t="shared" si="72"/>
        <v>0</v>
      </c>
      <c r="FT53" s="200">
        <f t="shared" si="72"/>
        <v>0</v>
      </c>
      <c r="FU53" s="200">
        <f t="shared" si="72"/>
        <v>0</v>
      </c>
      <c r="FV53" s="200">
        <f t="shared" si="72"/>
        <v>0</v>
      </c>
      <c r="FW53" s="200">
        <f t="shared" si="72"/>
        <v>0</v>
      </c>
      <c r="FX53" s="200">
        <f t="shared" si="72"/>
        <v>0</v>
      </c>
      <c r="FY53" s="200">
        <f t="shared" si="72"/>
        <v>0</v>
      </c>
      <c r="FZ53" s="200">
        <f t="shared" si="72"/>
        <v>0</v>
      </c>
      <c r="GA53" s="200">
        <f t="shared" si="72"/>
        <v>0</v>
      </c>
      <c r="GB53" s="200">
        <f t="shared" si="72"/>
        <v>0</v>
      </c>
    </row>
    <row r="54" spans="1:184" ht="17.25" customHeight="1" x14ac:dyDescent="0.5">
      <c r="A54" s="88"/>
      <c r="B54" s="323"/>
      <c r="C54" s="101" t="s">
        <v>134</v>
      </c>
      <c r="D54" s="169"/>
      <c r="E54" s="169"/>
      <c r="F54" s="203"/>
      <c r="G54" s="177"/>
      <c r="H54" s="205"/>
      <c r="I54" s="154">
        <v>0</v>
      </c>
      <c r="J54" s="155">
        <v>0</v>
      </c>
      <c r="K54" s="156">
        <v>0</v>
      </c>
      <c r="L54" s="179">
        <f t="shared" si="73"/>
        <v>0.02</v>
      </c>
      <c r="M54" s="180">
        <f t="shared" si="74"/>
        <v>0.03</v>
      </c>
      <c r="N54" s="181">
        <f t="shared" si="75"/>
        <v>0.05</v>
      </c>
      <c r="R54" s="199" t="str">
        <f t="shared" si="16"/>
        <v>XX in €/Jahr</v>
      </c>
      <c r="S54" s="200">
        <f t="shared" si="58"/>
        <v>0</v>
      </c>
      <c r="T54" s="200">
        <f t="shared" si="58"/>
        <v>0</v>
      </c>
      <c r="U54" s="200">
        <f t="shared" si="58"/>
        <v>0</v>
      </c>
      <c r="V54" s="200">
        <f t="shared" si="58"/>
        <v>0</v>
      </c>
      <c r="W54" s="200">
        <f t="shared" si="58"/>
        <v>0</v>
      </c>
      <c r="X54" s="200">
        <f t="shared" si="58"/>
        <v>0</v>
      </c>
      <c r="Y54" s="200">
        <f t="shared" si="58"/>
        <v>0</v>
      </c>
      <c r="Z54" s="200">
        <f t="shared" si="58"/>
        <v>0</v>
      </c>
      <c r="AA54" s="200">
        <f t="shared" si="58"/>
        <v>0</v>
      </c>
      <c r="AB54" s="200">
        <f t="shared" si="58"/>
        <v>0</v>
      </c>
      <c r="AC54" s="200">
        <f t="shared" si="59"/>
        <v>0</v>
      </c>
      <c r="AD54" s="200">
        <f t="shared" si="59"/>
        <v>0</v>
      </c>
      <c r="AE54" s="200">
        <f t="shared" si="59"/>
        <v>0</v>
      </c>
      <c r="AF54" s="200">
        <f t="shared" si="59"/>
        <v>0</v>
      </c>
      <c r="AG54" s="200">
        <f t="shared" si="59"/>
        <v>0</v>
      </c>
      <c r="AH54" s="200">
        <f t="shared" si="59"/>
        <v>0</v>
      </c>
      <c r="AI54" s="200">
        <f t="shared" si="59"/>
        <v>0</v>
      </c>
      <c r="AJ54" s="200">
        <f t="shared" si="59"/>
        <v>0</v>
      </c>
      <c r="AK54" s="200">
        <f t="shared" si="59"/>
        <v>0</v>
      </c>
      <c r="AL54" s="200">
        <f t="shared" si="59"/>
        <v>0</v>
      </c>
      <c r="AM54" s="200">
        <f t="shared" si="60"/>
        <v>0</v>
      </c>
      <c r="AN54" s="200">
        <f t="shared" si="60"/>
        <v>0</v>
      </c>
      <c r="AO54" s="200">
        <f t="shared" si="60"/>
        <v>0</v>
      </c>
      <c r="AP54" s="200">
        <f t="shared" si="60"/>
        <v>0</v>
      </c>
      <c r="AQ54" s="200">
        <f t="shared" si="60"/>
        <v>0</v>
      </c>
      <c r="AR54" s="200">
        <f t="shared" si="60"/>
        <v>0</v>
      </c>
      <c r="AS54" s="200">
        <f t="shared" si="60"/>
        <v>0</v>
      </c>
      <c r="AT54" s="200">
        <f t="shared" si="60"/>
        <v>0</v>
      </c>
      <c r="AU54" s="200">
        <f t="shared" si="60"/>
        <v>0</v>
      </c>
      <c r="AV54" s="200">
        <f t="shared" si="60"/>
        <v>0</v>
      </c>
      <c r="AW54" s="200">
        <f t="shared" si="61"/>
        <v>0</v>
      </c>
      <c r="AX54" s="200">
        <f t="shared" si="61"/>
        <v>0</v>
      </c>
      <c r="AY54" s="200">
        <f t="shared" si="61"/>
        <v>0</v>
      </c>
      <c r="AZ54" s="200">
        <f t="shared" si="61"/>
        <v>0</v>
      </c>
      <c r="BA54" s="200">
        <f t="shared" si="61"/>
        <v>0</v>
      </c>
      <c r="BB54" s="200">
        <f t="shared" si="61"/>
        <v>0</v>
      </c>
      <c r="BC54" s="200">
        <f t="shared" si="61"/>
        <v>0</v>
      </c>
      <c r="BD54" s="200">
        <f t="shared" si="61"/>
        <v>0</v>
      </c>
      <c r="BE54" s="200">
        <f t="shared" si="61"/>
        <v>0</v>
      </c>
      <c r="BF54" s="200">
        <f t="shared" si="61"/>
        <v>0</v>
      </c>
      <c r="BG54" s="200">
        <f t="shared" si="62"/>
        <v>0</v>
      </c>
      <c r="BH54" s="200">
        <f t="shared" si="62"/>
        <v>0</v>
      </c>
      <c r="BI54" s="200">
        <f t="shared" si="62"/>
        <v>0</v>
      </c>
      <c r="BJ54" s="200">
        <f t="shared" si="62"/>
        <v>0</v>
      </c>
      <c r="BK54" s="200">
        <f t="shared" si="62"/>
        <v>0</v>
      </c>
      <c r="BL54" s="200">
        <f t="shared" si="62"/>
        <v>0</v>
      </c>
      <c r="BM54" s="200">
        <f t="shared" si="62"/>
        <v>0</v>
      </c>
      <c r="BN54" s="200">
        <f t="shared" si="62"/>
        <v>0</v>
      </c>
      <c r="BO54" s="200">
        <f t="shared" si="62"/>
        <v>0</v>
      </c>
      <c r="BP54" s="200">
        <f t="shared" si="62"/>
        <v>0</v>
      </c>
      <c r="BQ54" s="200">
        <f t="shared" si="62"/>
        <v>0</v>
      </c>
      <c r="BR54" s="200">
        <f t="shared" si="62"/>
        <v>0</v>
      </c>
      <c r="BS54" s="200">
        <f t="shared" si="62"/>
        <v>0</v>
      </c>
      <c r="BT54" s="200">
        <f t="shared" si="62"/>
        <v>0</v>
      </c>
      <c r="BV54" s="199" t="str">
        <f t="shared" si="19"/>
        <v>XX in €/Jahr</v>
      </c>
      <c r="BW54" s="200">
        <f t="shared" si="63"/>
        <v>0</v>
      </c>
      <c r="BX54" s="200">
        <f t="shared" si="63"/>
        <v>0</v>
      </c>
      <c r="BY54" s="200">
        <f t="shared" si="63"/>
        <v>0</v>
      </c>
      <c r="BZ54" s="200">
        <f t="shared" si="63"/>
        <v>0</v>
      </c>
      <c r="CA54" s="200">
        <f t="shared" si="63"/>
        <v>0</v>
      </c>
      <c r="CB54" s="200">
        <f t="shared" si="63"/>
        <v>0</v>
      </c>
      <c r="CC54" s="200">
        <f t="shared" si="63"/>
        <v>0</v>
      </c>
      <c r="CD54" s="200">
        <f t="shared" si="63"/>
        <v>0</v>
      </c>
      <c r="CE54" s="200">
        <f t="shared" si="63"/>
        <v>0</v>
      </c>
      <c r="CF54" s="200">
        <f t="shared" si="63"/>
        <v>0</v>
      </c>
      <c r="CG54" s="200">
        <f t="shared" si="64"/>
        <v>0</v>
      </c>
      <c r="CH54" s="200">
        <f t="shared" si="64"/>
        <v>0</v>
      </c>
      <c r="CI54" s="200">
        <f t="shared" si="64"/>
        <v>0</v>
      </c>
      <c r="CJ54" s="200">
        <f t="shared" si="64"/>
        <v>0</v>
      </c>
      <c r="CK54" s="200">
        <f t="shared" si="64"/>
        <v>0</v>
      </c>
      <c r="CL54" s="200">
        <f t="shared" si="64"/>
        <v>0</v>
      </c>
      <c r="CM54" s="200">
        <f t="shared" si="64"/>
        <v>0</v>
      </c>
      <c r="CN54" s="200">
        <f t="shared" si="64"/>
        <v>0</v>
      </c>
      <c r="CO54" s="200">
        <f t="shared" si="64"/>
        <v>0</v>
      </c>
      <c r="CP54" s="200">
        <f t="shared" si="64"/>
        <v>0</v>
      </c>
      <c r="CQ54" s="200">
        <f t="shared" si="65"/>
        <v>0</v>
      </c>
      <c r="CR54" s="200">
        <f t="shared" si="65"/>
        <v>0</v>
      </c>
      <c r="CS54" s="200">
        <f t="shared" si="65"/>
        <v>0</v>
      </c>
      <c r="CT54" s="200">
        <f t="shared" si="65"/>
        <v>0</v>
      </c>
      <c r="CU54" s="200">
        <f t="shared" si="65"/>
        <v>0</v>
      </c>
      <c r="CV54" s="200">
        <f t="shared" si="65"/>
        <v>0</v>
      </c>
      <c r="CW54" s="200">
        <f t="shared" si="65"/>
        <v>0</v>
      </c>
      <c r="CX54" s="200">
        <f t="shared" si="65"/>
        <v>0</v>
      </c>
      <c r="CY54" s="200">
        <f t="shared" si="65"/>
        <v>0</v>
      </c>
      <c r="CZ54" s="200">
        <f t="shared" si="65"/>
        <v>0</v>
      </c>
      <c r="DA54" s="200">
        <f t="shared" si="66"/>
        <v>0</v>
      </c>
      <c r="DB54" s="200">
        <f t="shared" si="66"/>
        <v>0</v>
      </c>
      <c r="DC54" s="200">
        <f t="shared" si="66"/>
        <v>0</v>
      </c>
      <c r="DD54" s="200">
        <f t="shared" si="66"/>
        <v>0</v>
      </c>
      <c r="DE54" s="200">
        <f t="shared" si="66"/>
        <v>0</v>
      </c>
      <c r="DF54" s="200">
        <f t="shared" si="66"/>
        <v>0</v>
      </c>
      <c r="DG54" s="200">
        <f t="shared" si="66"/>
        <v>0</v>
      </c>
      <c r="DH54" s="200">
        <f t="shared" si="66"/>
        <v>0</v>
      </c>
      <c r="DI54" s="200">
        <f t="shared" si="66"/>
        <v>0</v>
      </c>
      <c r="DJ54" s="200">
        <f t="shared" si="66"/>
        <v>0</v>
      </c>
      <c r="DK54" s="200">
        <f t="shared" si="67"/>
        <v>0</v>
      </c>
      <c r="DL54" s="200">
        <f t="shared" si="67"/>
        <v>0</v>
      </c>
      <c r="DM54" s="200">
        <f t="shared" si="67"/>
        <v>0</v>
      </c>
      <c r="DN54" s="200">
        <f t="shared" si="67"/>
        <v>0</v>
      </c>
      <c r="DO54" s="200">
        <f t="shared" si="67"/>
        <v>0</v>
      </c>
      <c r="DP54" s="200">
        <f t="shared" si="67"/>
        <v>0</v>
      </c>
      <c r="DQ54" s="200">
        <f t="shared" si="67"/>
        <v>0</v>
      </c>
      <c r="DR54" s="200">
        <f t="shared" si="67"/>
        <v>0</v>
      </c>
      <c r="DS54" s="200">
        <f t="shared" si="67"/>
        <v>0</v>
      </c>
      <c r="DT54" s="200">
        <f t="shared" si="67"/>
        <v>0</v>
      </c>
      <c r="DU54" s="200">
        <f t="shared" si="67"/>
        <v>0</v>
      </c>
      <c r="DV54" s="200">
        <f t="shared" si="67"/>
        <v>0</v>
      </c>
      <c r="DW54" s="200">
        <f t="shared" si="67"/>
        <v>0</v>
      </c>
      <c r="DX54" s="200">
        <f t="shared" si="67"/>
        <v>0</v>
      </c>
      <c r="DZ54" s="199" t="str">
        <f t="shared" si="22"/>
        <v>XX in €/Jahr</v>
      </c>
      <c r="EA54" s="200">
        <f t="shared" si="68"/>
        <v>0</v>
      </c>
      <c r="EB54" s="200">
        <f t="shared" si="68"/>
        <v>0</v>
      </c>
      <c r="EC54" s="200">
        <f t="shared" si="68"/>
        <v>0</v>
      </c>
      <c r="ED54" s="200">
        <f t="shared" si="68"/>
        <v>0</v>
      </c>
      <c r="EE54" s="200">
        <f t="shared" si="68"/>
        <v>0</v>
      </c>
      <c r="EF54" s="200">
        <f t="shared" si="68"/>
        <v>0</v>
      </c>
      <c r="EG54" s="200">
        <f t="shared" si="68"/>
        <v>0</v>
      </c>
      <c r="EH54" s="200">
        <f t="shared" si="68"/>
        <v>0</v>
      </c>
      <c r="EI54" s="200">
        <f t="shared" si="68"/>
        <v>0</v>
      </c>
      <c r="EJ54" s="200">
        <f t="shared" si="68"/>
        <v>0</v>
      </c>
      <c r="EK54" s="200">
        <f t="shared" si="69"/>
        <v>0</v>
      </c>
      <c r="EL54" s="200">
        <f t="shared" si="69"/>
        <v>0</v>
      </c>
      <c r="EM54" s="200">
        <f t="shared" si="69"/>
        <v>0</v>
      </c>
      <c r="EN54" s="200">
        <f t="shared" si="69"/>
        <v>0</v>
      </c>
      <c r="EO54" s="200">
        <f t="shared" si="69"/>
        <v>0</v>
      </c>
      <c r="EP54" s="200">
        <f t="shared" si="69"/>
        <v>0</v>
      </c>
      <c r="EQ54" s="200">
        <f t="shared" si="69"/>
        <v>0</v>
      </c>
      <c r="ER54" s="200">
        <f t="shared" si="69"/>
        <v>0</v>
      </c>
      <c r="ES54" s="200">
        <f t="shared" si="69"/>
        <v>0</v>
      </c>
      <c r="ET54" s="200">
        <f t="shared" si="69"/>
        <v>0</v>
      </c>
      <c r="EU54" s="200">
        <f t="shared" si="70"/>
        <v>0</v>
      </c>
      <c r="EV54" s="200">
        <f t="shared" si="70"/>
        <v>0</v>
      </c>
      <c r="EW54" s="200">
        <f t="shared" si="70"/>
        <v>0</v>
      </c>
      <c r="EX54" s="200">
        <f t="shared" si="70"/>
        <v>0</v>
      </c>
      <c r="EY54" s="200">
        <f t="shared" si="70"/>
        <v>0</v>
      </c>
      <c r="EZ54" s="200">
        <f t="shared" si="70"/>
        <v>0</v>
      </c>
      <c r="FA54" s="200">
        <f t="shared" si="70"/>
        <v>0</v>
      </c>
      <c r="FB54" s="200">
        <f t="shared" si="70"/>
        <v>0</v>
      </c>
      <c r="FC54" s="200">
        <f t="shared" si="70"/>
        <v>0</v>
      </c>
      <c r="FD54" s="200">
        <f t="shared" si="70"/>
        <v>0</v>
      </c>
      <c r="FE54" s="200">
        <f t="shared" si="71"/>
        <v>0</v>
      </c>
      <c r="FF54" s="200">
        <f t="shared" si="71"/>
        <v>0</v>
      </c>
      <c r="FG54" s="200">
        <f t="shared" si="71"/>
        <v>0</v>
      </c>
      <c r="FH54" s="200">
        <f t="shared" si="71"/>
        <v>0</v>
      </c>
      <c r="FI54" s="200">
        <f t="shared" si="71"/>
        <v>0</v>
      </c>
      <c r="FJ54" s="200">
        <f t="shared" si="71"/>
        <v>0</v>
      </c>
      <c r="FK54" s="200">
        <f t="shared" si="71"/>
        <v>0</v>
      </c>
      <c r="FL54" s="200">
        <f t="shared" si="71"/>
        <v>0</v>
      </c>
      <c r="FM54" s="200">
        <f t="shared" si="71"/>
        <v>0</v>
      </c>
      <c r="FN54" s="200">
        <f t="shared" si="71"/>
        <v>0</v>
      </c>
      <c r="FO54" s="200">
        <f t="shared" si="72"/>
        <v>0</v>
      </c>
      <c r="FP54" s="200">
        <f t="shared" si="72"/>
        <v>0</v>
      </c>
      <c r="FQ54" s="200">
        <f t="shared" si="72"/>
        <v>0</v>
      </c>
      <c r="FR54" s="200">
        <f t="shared" si="72"/>
        <v>0</v>
      </c>
      <c r="FS54" s="200">
        <f t="shared" si="72"/>
        <v>0</v>
      </c>
      <c r="FT54" s="200">
        <f t="shared" si="72"/>
        <v>0</v>
      </c>
      <c r="FU54" s="200">
        <f t="shared" si="72"/>
        <v>0</v>
      </c>
      <c r="FV54" s="200">
        <f t="shared" si="72"/>
        <v>0</v>
      </c>
      <c r="FW54" s="200">
        <f t="shared" si="72"/>
        <v>0</v>
      </c>
      <c r="FX54" s="200">
        <f t="shared" si="72"/>
        <v>0</v>
      </c>
      <c r="FY54" s="200">
        <f t="shared" si="72"/>
        <v>0</v>
      </c>
      <c r="FZ54" s="200">
        <f t="shared" si="72"/>
        <v>0</v>
      </c>
      <c r="GA54" s="200">
        <f t="shared" si="72"/>
        <v>0</v>
      </c>
      <c r="GB54" s="200">
        <f t="shared" si="72"/>
        <v>0</v>
      </c>
    </row>
    <row r="55" spans="1:184" ht="18" customHeight="1" x14ac:dyDescent="0.5">
      <c r="B55" s="323"/>
      <c r="C55" s="114" t="s">
        <v>134</v>
      </c>
      <c r="D55" s="210"/>
      <c r="E55" s="210"/>
      <c r="F55" s="211"/>
      <c r="G55" s="183"/>
      <c r="H55" s="212"/>
      <c r="I55" s="185">
        <v>0</v>
      </c>
      <c r="J55" s="186">
        <v>0</v>
      </c>
      <c r="K55" s="187">
        <v>0</v>
      </c>
      <c r="L55" s="213">
        <f t="shared" si="73"/>
        <v>0.02</v>
      </c>
      <c r="M55" s="214">
        <f t="shared" si="74"/>
        <v>0.03</v>
      </c>
      <c r="N55" s="215">
        <f t="shared" si="75"/>
        <v>0.05</v>
      </c>
      <c r="R55" s="216" t="str">
        <f t="shared" si="16"/>
        <v>XX in €/Jahr</v>
      </c>
      <c r="S55" s="200">
        <f t="shared" si="58"/>
        <v>0</v>
      </c>
      <c r="T55" s="200">
        <f t="shared" si="58"/>
        <v>0</v>
      </c>
      <c r="U55" s="200">
        <f t="shared" si="58"/>
        <v>0</v>
      </c>
      <c r="V55" s="200">
        <f t="shared" si="58"/>
        <v>0</v>
      </c>
      <c r="W55" s="200">
        <f t="shared" si="58"/>
        <v>0</v>
      </c>
      <c r="X55" s="200">
        <f t="shared" si="58"/>
        <v>0</v>
      </c>
      <c r="Y55" s="200">
        <f t="shared" si="58"/>
        <v>0</v>
      </c>
      <c r="Z55" s="200">
        <f t="shared" si="58"/>
        <v>0</v>
      </c>
      <c r="AA55" s="200">
        <f t="shared" si="58"/>
        <v>0</v>
      </c>
      <c r="AB55" s="200">
        <f t="shared" si="58"/>
        <v>0</v>
      </c>
      <c r="AC55" s="200">
        <f t="shared" si="59"/>
        <v>0</v>
      </c>
      <c r="AD55" s="200">
        <f t="shared" si="59"/>
        <v>0</v>
      </c>
      <c r="AE55" s="200">
        <f t="shared" si="59"/>
        <v>0</v>
      </c>
      <c r="AF55" s="200">
        <f t="shared" si="59"/>
        <v>0</v>
      </c>
      <c r="AG55" s="200">
        <f t="shared" si="59"/>
        <v>0</v>
      </c>
      <c r="AH55" s="200">
        <f t="shared" si="59"/>
        <v>0</v>
      </c>
      <c r="AI55" s="200">
        <f t="shared" si="59"/>
        <v>0</v>
      </c>
      <c r="AJ55" s="200">
        <f t="shared" si="59"/>
        <v>0</v>
      </c>
      <c r="AK55" s="200">
        <f t="shared" si="59"/>
        <v>0</v>
      </c>
      <c r="AL55" s="200">
        <f t="shared" si="59"/>
        <v>0</v>
      </c>
      <c r="AM55" s="200">
        <f t="shared" si="60"/>
        <v>0</v>
      </c>
      <c r="AN55" s="200">
        <f t="shared" si="60"/>
        <v>0</v>
      </c>
      <c r="AO55" s="200">
        <f t="shared" si="60"/>
        <v>0</v>
      </c>
      <c r="AP55" s="200">
        <f t="shared" si="60"/>
        <v>0</v>
      </c>
      <c r="AQ55" s="200">
        <f t="shared" si="60"/>
        <v>0</v>
      </c>
      <c r="AR55" s="200">
        <f t="shared" si="60"/>
        <v>0</v>
      </c>
      <c r="AS55" s="200">
        <f t="shared" si="60"/>
        <v>0</v>
      </c>
      <c r="AT55" s="200">
        <f t="shared" si="60"/>
        <v>0</v>
      </c>
      <c r="AU55" s="200">
        <f t="shared" si="60"/>
        <v>0</v>
      </c>
      <c r="AV55" s="200">
        <f t="shared" si="60"/>
        <v>0</v>
      </c>
      <c r="AW55" s="200">
        <f t="shared" si="61"/>
        <v>0</v>
      </c>
      <c r="AX55" s="200">
        <f t="shared" si="61"/>
        <v>0</v>
      </c>
      <c r="AY55" s="200">
        <f t="shared" si="61"/>
        <v>0</v>
      </c>
      <c r="AZ55" s="200">
        <f t="shared" si="61"/>
        <v>0</v>
      </c>
      <c r="BA55" s="200">
        <f t="shared" si="61"/>
        <v>0</v>
      </c>
      <c r="BB55" s="200">
        <f t="shared" si="61"/>
        <v>0</v>
      </c>
      <c r="BC55" s="200">
        <f t="shared" si="61"/>
        <v>0</v>
      </c>
      <c r="BD55" s="200">
        <f t="shared" si="61"/>
        <v>0</v>
      </c>
      <c r="BE55" s="200">
        <f t="shared" si="61"/>
        <v>0</v>
      </c>
      <c r="BF55" s="200">
        <f t="shared" si="61"/>
        <v>0</v>
      </c>
      <c r="BG55" s="200">
        <f t="shared" si="62"/>
        <v>0</v>
      </c>
      <c r="BH55" s="200">
        <f t="shared" si="62"/>
        <v>0</v>
      </c>
      <c r="BI55" s="200">
        <f t="shared" si="62"/>
        <v>0</v>
      </c>
      <c r="BJ55" s="200">
        <f t="shared" si="62"/>
        <v>0</v>
      </c>
      <c r="BK55" s="200">
        <f t="shared" si="62"/>
        <v>0</v>
      </c>
      <c r="BL55" s="200">
        <f t="shared" si="62"/>
        <v>0</v>
      </c>
      <c r="BM55" s="200">
        <f t="shared" si="62"/>
        <v>0</v>
      </c>
      <c r="BN55" s="200">
        <f t="shared" si="62"/>
        <v>0</v>
      </c>
      <c r="BO55" s="200">
        <f t="shared" si="62"/>
        <v>0</v>
      </c>
      <c r="BP55" s="200">
        <f t="shared" si="62"/>
        <v>0</v>
      </c>
      <c r="BQ55" s="200">
        <f t="shared" si="62"/>
        <v>0</v>
      </c>
      <c r="BR55" s="200">
        <f t="shared" si="62"/>
        <v>0</v>
      </c>
      <c r="BS55" s="200">
        <f t="shared" si="62"/>
        <v>0</v>
      </c>
      <c r="BT55" s="200">
        <f t="shared" si="62"/>
        <v>0</v>
      </c>
      <c r="BV55" s="216" t="str">
        <f t="shared" si="19"/>
        <v>XX in €/Jahr</v>
      </c>
      <c r="BW55" s="200">
        <f t="shared" si="63"/>
        <v>0</v>
      </c>
      <c r="BX55" s="200">
        <f t="shared" si="63"/>
        <v>0</v>
      </c>
      <c r="BY55" s="200">
        <f t="shared" si="63"/>
        <v>0</v>
      </c>
      <c r="BZ55" s="200">
        <f t="shared" si="63"/>
        <v>0</v>
      </c>
      <c r="CA55" s="200">
        <f t="shared" si="63"/>
        <v>0</v>
      </c>
      <c r="CB55" s="200">
        <f t="shared" si="63"/>
        <v>0</v>
      </c>
      <c r="CC55" s="200">
        <f t="shared" si="63"/>
        <v>0</v>
      </c>
      <c r="CD55" s="200">
        <f t="shared" si="63"/>
        <v>0</v>
      </c>
      <c r="CE55" s="200">
        <f t="shared" si="63"/>
        <v>0</v>
      </c>
      <c r="CF55" s="200">
        <f t="shared" si="63"/>
        <v>0</v>
      </c>
      <c r="CG55" s="200">
        <f t="shared" si="64"/>
        <v>0</v>
      </c>
      <c r="CH55" s="200">
        <f t="shared" si="64"/>
        <v>0</v>
      </c>
      <c r="CI55" s="200">
        <f t="shared" si="64"/>
        <v>0</v>
      </c>
      <c r="CJ55" s="200">
        <f t="shared" si="64"/>
        <v>0</v>
      </c>
      <c r="CK55" s="200">
        <f t="shared" si="64"/>
        <v>0</v>
      </c>
      <c r="CL55" s="200">
        <f t="shared" si="64"/>
        <v>0</v>
      </c>
      <c r="CM55" s="200">
        <f t="shared" si="64"/>
        <v>0</v>
      </c>
      <c r="CN55" s="200">
        <f t="shared" si="64"/>
        <v>0</v>
      </c>
      <c r="CO55" s="200">
        <f t="shared" si="64"/>
        <v>0</v>
      </c>
      <c r="CP55" s="200">
        <f t="shared" si="64"/>
        <v>0</v>
      </c>
      <c r="CQ55" s="200">
        <f t="shared" si="65"/>
        <v>0</v>
      </c>
      <c r="CR55" s="200">
        <f t="shared" si="65"/>
        <v>0</v>
      </c>
      <c r="CS55" s="200">
        <f t="shared" si="65"/>
        <v>0</v>
      </c>
      <c r="CT55" s="200">
        <f t="shared" si="65"/>
        <v>0</v>
      </c>
      <c r="CU55" s="200">
        <f t="shared" si="65"/>
        <v>0</v>
      </c>
      <c r="CV55" s="200">
        <f t="shared" si="65"/>
        <v>0</v>
      </c>
      <c r="CW55" s="200">
        <f t="shared" si="65"/>
        <v>0</v>
      </c>
      <c r="CX55" s="200">
        <f t="shared" si="65"/>
        <v>0</v>
      </c>
      <c r="CY55" s="200">
        <f t="shared" si="65"/>
        <v>0</v>
      </c>
      <c r="CZ55" s="200">
        <f t="shared" si="65"/>
        <v>0</v>
      </c>
      <c r="DA55" s="200">
        <f t="shared" si="66"/>
        <v>0</v>
      </c>
      <c r="DB55" s="200">
        <f t="shared" si="66"/>
        <v>0</v>
      </c>
      <c r="DC55" s="200">
        <f t="shared" si="66"/>
        <v>0</v>
      </c>
      <c r="DD55" s="200">
        <f t="shared" si="66"/>
        <v>0</v>
      </c>
      <c r="DE55" s="200">
        <f t="shared" si="66"/>
        <v>0</v>
      </c>
      <c r="DF55" s="200">
        <f t="shared" si="66"/>
        <v>0</v>
      </c>
      <c r="DG55" s="200">
        <f t="shared" si="66"/>
        <v>0</v>
      </c>
      <c r="DH55" s="200">
        <f t="shared" si="66"/>
        <v>0</v>
      </c>
      <c r="DI55" s="200">
        <f t="shared" si="66"/>
        <v>0</v>
      </c>
      <c r="DJ55" s="200">
        <f t="shared" si="66"/>
        <v>0</v>
      </c>
      <c r="DK55" s="200">
        <f t="shared" si="67"/>
        <v>0</v>
      </c>
      <c r="DL55" s="200">
        <f t="shared" si="67"/>
        <v>0</v>
      </c>
      <c r="DM55" s="200">
        <f t="shared" si="67"/>
        <v>0</v>
      </c>
      <c r="DN55" s="200">
        <f t="shared" si="67"/>
        <v>0</v>
      </c>
      <c r="DO55" s="200">
        <f t="shared" si="67"/>
        <v>0</v>
      </c>
      <c r="DP55" s="200">
        <f t="shared" si="67"/>
        <v>0</v>
      </c>
      <c r="DQ55" s="200">
        <f t="shared" si="67"/>
        <v>0</v>
      </c>
      <c r="DR55" s="200">
        <f t="shared" si="67"/>
        <v>0</v>
      </c>
      <c r="DS55" s="200">
        <f t="shared" si="67"/>
        <v>0</v>
      </c>
      <c r="DT55" s="200">
        <f t="shared" si="67"/>
        <v>0</v>
      </c>
      <c r="DU55" s="200">
        <f t="shared" si="67"/>
        <v>0</v>
      </c>
      <c r="DV55" s="200">
        <f t="shared" si="67"/>
        <v>0</v>
      </c>
      <c r="DW55" s="200">
        <f t="shared" si="67"/>
        <v>0</v>
      </c>
      <c r="DX55" s="200">
        <f t="shared" si="67"/>
        <v>0</v>
      </c>
      <c r="DZ55" s="216" t="str">
        <f t="shared" si="22"/>
        <v>XX in €/Jahr</v>
      </c>
      <c r="EA55" s="200">
        <f t="shared" si="68"/>
        <v>0</v>
      </c>
      <c r="EB55" s="200">
        <f t="shared" si="68"/>
        <v>0</v>
      </c>
      <c r="EC55" s="200">
        <f t="shared" si="68"/>
        <v>0</v>
      </c>
      <c r="ED55" s="200">
        <f t="shared" si="68"/>
        <v>0</v>
      </c>
      <c r="EE55" s="200">
        <f t="shared" si="68"/>
        <v>0</v>
      </c>
      <c r="EF55" s="200">
        <f t="shared" si="68"/>
        <v>0</v>
      </c>
      <c r="EG55" s="200">
        <f t="shared" si="68"/>
        <v>0</v>
      </c>
      <c r="EH55" s="200">
        <f t="shared" si="68"/>
        <v>0</v>
      </c>
      <c r="EI55" s="200">
        <f t="shared" si="68"/>
        <v>0</v>
      </c>
      <c r="EJ55" s="200">
        <f t="shared" si="68"/>
        <v>0</v>
      </c>
      <c r="EK55" s="200">
        <f t="shared" si="69"/>
        <v>0</v>
      </c>
      <c r="EL55" s="200">
        <f t="shared" si="69"/>
        <v>0</v>
      </c>
      <c r="EM55" s="200">
        <f t="shared" si="69"/>
        <v>0</v>
      </c>
      <c r="EN55" s="200">
        <f t="shared" si="69"/>
        <v>0</v>
      </c>
      <c r="EO55" s="200">
        <f t="shared" si="69"/>
        <v>0</v>
      </c>
      <c r="EP55" s="200">
        <f t="shared" si="69"/>
        <v>0</v>
      </c>
      <c r="EQ55" s="200">
        <f t="shared" si="69"/>
        <v>0</v>
      </c>
      <c r="ER55" s="200">
        <f t="shared" si="69"/>
        <v>0</v>
      </c>
      <c r="ES55" s="200">
        <f t="shared" si="69"/>
        <v>0</v>
      </c>
      <c r="ET55" s="200">
        <f t="shared" si="69"/>
        <v>0</v>
      </c>
      <c r="EU55" s="200">
        <f t="shared" si="70"/>
        <v>0</v>
      </c>
      <c r="EV55" s="200">
        <f t="shared" si="70"/>
        <v>0</v>
      </c>
      <c r="EW55" s="200">
        <f t="shared" si="70"/>
        <v>0</v>
      </c>
      <c r="EX55" s="200">
        <f t="shared" si="70"/>
        <v>0</v>
      </c>
      <c r="EY55" s="200">
        <f t="shared" si="70"/>
        <v>0</v>
      </c>
      <c r="EZ55" s="200">
        <f t="shared" si="70"/>
        <v>0</v>
      </c>
      <c r="FA55" s="200">
        <f t="shared" si="70"/>
        <v>0</v>
      </c>
      <c r="FB55" s="200">
        <f t="shared" si="70"/>
        <v>0</v>
      </c>
      <c r="FC55" s="200">
        <f t="shared" si="70"/>
        <v>0</v>
      </c>
      <c r="FD55" s="200">
        <f t="shared" si="70"/>
        <v>0</v>
      </c>
      <c r="FE55" s="200">
        <f t="shared" si="71"/>
        <v>0</v>
      </c>
      <c r="FF55" s="200">
        <f t="shared" si="71"/>
        <v>0</v>
      </c>
      <c r="FG55" s="200">
        <f t="shared" si="71"/>
        <v>0</v>
      </c>
      <c r="FH55" s="200">
        <f t="shared" si="71"/>
        <v>0</v>
      </c>
      <c r="FI55" s="200">
        <f t="shared" si="71"/>
        <v>0</v>
      </c>
      <c r="FJ55" s="200">
        <f t="shared" si="71"/>
        <v>0</v>
      </c>
      <c r="FK55" s="200">
        <f t="shared" si="71"/>
        <v>0</v>
      </c>
      <c r="FL55" s="200">
        <f t="shared" si="71"/>
        <v>0</v>
      </c>
      <c r="FM55" s="200">
        <f t="shared" si="71"/>
        <v>0</v>
      </c>
      <c r="FN55" s="200">
        <f t="shared" si="71"/>
        <v>0</v>
      </c>
      <c r="FO55" s="200">
        <f t="shared" si="72"/>
        <v>0</v>
      </c>
      <c r="FP55" s="200">
        <f t="shared" si="72"/>
        <v>0</v>
      </c>
      <c r="FQ55" s="200">
        <f t="shared" si="72"/>
        <v>0</v>
      </c>
      <c r="FR55" s="200">
        <f t="shared" si="72"/>
        <v>0</v>
      </c>
      <c r="FS55" s="200">
        <f t="shared" si="72"/>
        <v>0</v>
      </c>
      <c r="FT55" s="200">
        <f t="shared" si="72"/>
        <v>0</v>
      </c>
      <c r="FU55" s="200">
        <f t="shared" si="72"/>
        <v>0</v>
      </c>
      <c r="FV55" s="200">
        <f t="shared" si="72"/>
        <v>0</v>
      </c>
      <c r="FW55" s="200">
        <f t="shared" si="72"/>
        <v>0</v>
      </c>
      <c r="FX55" s="200">
        <f t="shared" si="72"/>
        <v>0</v>
      </c>
      <c r="FY55" s="200">
        <f t="shared" si="72"/>
        <v>0</v>
      </c>
      <c r="FZ55" s="200">
        <f t="shared" si="72"/>
        <v>0</v>
      </c>
      <c r="GA55" s="200">
        <f t="shared" si="72"/>
        <v>0</v>
      </c>
      <c r="GB55" s="200">
        <f t="shared" si="72"/>
        <v>0</v>
      </c>
    </row>
    <row r="56" spans="1:184" ht="18" customHeight="1" x14ac:dyDescent="0.5">
      <c r="R56" s="217" t="s">
        <v>145</v>
      </c>
      <c r="S56" s="218">
        <f t="shared" ref="S56:AX56" si="76">SUM(S23:S38)</f>
        <v>7848</v>
      </c>
      <c r="T56" s="218">
        <f t="shared" si="76"/>
        <v>8083.4400000000005</v>
      </c>
      <c r="U56" s="218">
        <f t="shared" si="76"/>
        <v>8325.9431999999997</v>
      </c>
      <c r="V56" s="218">
        <f t="shared" si="76"/>
        <v>8575.7214960000001</v>
      </c>
      <c r="W56" s="218">
        <f t="shared" si="76"/>
        <v>8832.9931408799985</v>
      </c>
      <c r="X56" s="218">
        <f t="shared" si="76"/>
        <v>9097.9829351063981</v>
      </c>
      <c r="Y56" s="218">
        <f t="shared" si="76"/>
        <v>9370.9224231595908</v>
      </c>
      <c r="Z56" s="218">
        <f t="shared" si="76"/>
        <v>9652.0500958543798</v>
      </c>
      <c r="AA56" s="218">
        <f t="shared" si="76"/>
        <v>9941.6115987300091</v>
      </c>
      <c r="AB56" s="218">
        <f t="shared" si="76"/>
        <v>10239.859946691911</v>
      </c>
      <c r="AC56" s="218">
        <f t="shared" si="76"/>
        <v>0</v>
      </c>
      <c r="AD56" s="218">
        <f t="shared" si="76"/>
        <v>0</v>
      </c>
      <c r="AE56" s="218">
        <f t="shared" si="76"/>
        <v>0</v>
      </c>
      <c r="AF56" s="218">
        <f t="shared" si="76"/>
        <v>0</v>
      </c>
      <c r="AG56" s="218">
        <f t="shared" si="76"/>
        <v>0</v>
      </c>
      <c r="AH56" s="218">
        <f t="shared" si="76"/>
        <v>0</v>
      </c>
      <c r="AI56" s="218">
        <f t="shared" si="76"/>
        <v>0</v>
      </c>
      <c r="AJ56" s="218">
        <f t="shared" si="76"/>
        <v>0</v>
      </c>
      <c r="AK56" s="218">
        <f t="shared" si="76"/>
        <v>0</v>
      </c>
      <c r="AL56" s="218">
        <f t="shared" si="76"/>
        <v>0</v>
      </c>
      <c r="AM56" s="218">
        <f t="shared" si="76"/>
        <v>0</v>
      </c>
      <c r="AN56" s="218">
        <f t="shared" si="76"/>
        <v>0</v>
      </c>
      <c r="AO56" s="218">
        <f t="shared" si="76"/>
        <v>0</v>
      </c>
      <c r="AP56" s="218">
        <f t="shared" si="76"/>
        <v>0</v>
      </c>
      <c r="AQ56" s="218">
        <f t="shared" si="76"/>
        <v>0</v>
      </c>
      <c r="AR56" s="218">
        <f t="shared" si="76"/>
        <v>0</v>
      </c>
      <c r="AS56" s="218">
        <f t="shared" si="76"/>
        <v>0</v>
      </c>
      <c r="AT56" s="218">
        <f t="shared" si="76"/>
        <v>0</v>
      </c>
      <c r="AU56" s="218">
        <f t="shared" si="76"/>
        <v>0</v>
      </c>
      <c r="AV56" s="218">
        <f t="shared" si="76"/>
        <v>0</v>
      </c>
      <c r="AW56" s="218">
        <f t="shared" si="76"/>
        <v>0</v>
      </c>
      <c r="AX56" s="218">
        <f t="shared" si="76"/>
        <v>0</v>
      </c>
      <c r="AY56" s="218">
        <f t="shared" ref="AY56:BT56" si="77">SUM(AY23:AY38)</f>
        <v>0</v>
      </c>
      <c r="AZ56" s="218">
        <f t="shared" si="77"/>
        <v>0</v>
      </c>
      <c r="BA56" s="218">
        <f t="shared" si="77"/>
        <v>0</v>
      </c>
      <c r="BB56" s="218">
        <f t="shared" si="77"/>
        <v>0</v>
      </c>
      <c r="BC56" s="218">
        <f t="shared" si="77"/>
        <v>0</v>
      </c>
      <c r="BD56" s="218">
        <f t="shared" si="77"/>
        <v>0</v>
      </c>
      <c r="BE56" s="218">
        <f t="shared" si="77"/>
        <v>0</v>
      </c>
      <c r="BF56" s="218">
        <f t="shared" si="77"/>
        <v>0</v>
      </c>
      <c r="BG56" s="218">
        <f t="shared" si="77"/>
        <v>0</v>
      </c>
      <c r="BH56" s="218">
        <f t="shared" si="77"/>
        <v>0</v>
      </c>
      <c r="BI56" s="218">
        <f t="shared" si="77"/>
        <v>0</v>
      </c>
      <c r="BJ56" s="218">
        <f t="shared" si="77"/>
        <v>0</v>
      </c>
      <c r="BK56" s="218">
        <f t="shared" si="77"/>
        <v>0</v>
      </c>
      <c r="BL56" s="218">
        <f t="shared" si="77"/>
        <v>0</v>
      </c>
      <c r="BM56" s="218">
        <f t="shared" si="77"/>
        <v>0</v>
      </c>
      <c r="BN56" s="218">
        <f t="shared" si="77"/>
        <v>0</v>
      </c>
      <c r="BO56" s="218">
        <f t="shared" si="77"/>
        <v>0</v>
      </c>
      <c r="BP56" s="218">
        <f t="shared" si="77"/>
        <v>0</v>
      </c>
      <c r="BQ56" s="218">
        <f t="shared" si="77"/>
        <v>0</v>
      </c>
      <c r="BR56" s="218">
        <f t="shared" si="77"/>
        <v>0</v>
      </c>
      <c r="BS56" s="218">
        <f t="shared" si="77"/>
        <v>0</v>
      </c>
      <c r="BT56" s="219">
        <f t="shared" si="77"/>
        <v>0</v>
      </c>
      <c r="BV56" s="217" t="s">
        <v>145</v>
      </c>
      <c r="BW56" s="220">
        <f t="shared" ref="BW56:DB56" si="78">SUM(BW23:BW38)</f>
        <v>4334.3999999999996</v>
      </c>
      <c r="BX56" s="220">
        <f t="shared" si="78"/>
        <v>4507.7759999999998</v>
      </c>
      <c r="BY56" s="220">
        <f t="shared" si="78"/>
        <v>4688.0870400000003</v>
      </c>
      <c r="BZ56" s="220">
        <f t="shared" si="78"/>
        <v>4875.6105215999996</v>
      </c>
      <c r="CA56" s="220">
        <f t="shared" si="78"/>
        <v>5070.6349424640002</v>
      </c>
      <c r="CB56" s="220">
        <f t="shared" si="78"/>
        <v>5273.4603401625609</v>
      </c>
      <c r="CC56" s="220">
        <f t="shared" si="78"/>
        <v>5484.3987537690637</v>
      </c>
      <c r="CD56" s="220">
        <f t="shared" si="78"/>
        <v>5703.7747039198257</v>
      </c>
      <c r="CE56" s="220">
        <f t="shared" si="78"/>
        <v>0</v>
      </c>
      <c r="CF56" s="220">
        <f t="shared" si="78"/>
        <v>0</v>
      </c>
      <c r="CG56" s="220">
        <f t="shared" si="78"/>
        <v>0</v>
      </c>
      <c r="CH56" s="220">
        <f t="shared" si="78"/>
        <v>0</v>
      </c>
      <c r="CI56" s="220">
        <f t="shared" si="78"/>
        <v>0</v>
      </c>
      <c r="CJ56" s="220">
        <f t="shared" si="78"/>
        <v>0</v>
      </c>
      <c r="CK56" s="220">
        <f t="shared" si="78"/>
        <v>0</v>
      </c>
      <c r="CL56" s="220">
        <f t="shared" si="78"/>
        <v>0</v>
      </c>
      <c r="CM56" s="220">
        <f t="shared" si="78"/>
        <v>0</v>
      </c>
      <c r="CN56" s="220">
        <f t="shared" si="78"/>
        <v>0</v>
      </c>
      <c r="CO56" s="220">
        <f t="shared" si="78"/>
        <v>0</v>
      </c>
      <c r="CP56" s="220">
        <f t="shared" si="78"/>
        <v>0</v>
      </c>
      <c r="CQ56" s="220">
        <f t="shared" si="78"/>
        <v>0</v>
      </c>
      <c r="CR56" s="220">
        <f t="shared" si="78"/>
        <v>0</v>
      </c>
      <c r="CS56" s="220">
        <f t="shared" si="78"/>
        <v>0</v>
      </c>
      <c r="CT56" s="220">
        <f t="shared" si="78"/>
        <v>0</v>
      </c>
      <c r="CU56" s="220">
        <f t="shared" si="78"/>
        <v>0</v>
      </c>
      <c r="CV56" s="220">
        <f t="shared" si="78"/>
        <v>0</v>
      </c>
      <c r="CW56" s="220">
        <f t="shared" si="78"/>
        <v>0</v>
      </c>
      <c r="CX56" s="220">
        <f t="shared" si="78"/>
        <v>0</v>
      </c>
      <c r="CY56" s="220">
        <f t="shared" si="78"/>
        <v>0</v>
      </c>
      <c r="CZ56" s="220">
        <f t="shared" si="78"/>
        <v>0</v>
      </c>
      <c r="DA56" s="220">
        <f t="shared" si="78"/>
        <v>0</v>
      </c>
      <c r="DB56" s="220">
        <f t="shared" si="78"/>
        <v>0</v>
      </c>
      <c r="DC56" s="220">
        <f t="shared" ref="DC56:DX56" si="79">SUM(DC23:DC38)</f>
        <v>0</v>
      </c>
      <c r="DD56" s="220">
        <f t="shared" si="79"/>
        <v>0</v>
      </c>
      <c r="DE56" s="220">
        <f t="shared" si="79"/>
        <v>0</v>
      </c>
      <c r="DF56" s="220">
        <f t="shared" si="79"/>
        <v>0</v>
      </c>
      <c r="DG56" s="220">
        <f t="shared" si="79"/>
        <v>0</v>
      </c>
      <c r="DH56" s="220">
        <f t="shared" si="79"/>
        <v>0</v>
      </c>
      <c r="DI56" s="220">
        <f t="shared" si="79"/>
        <v>0</v>
      </c>
      <c r="DJ56" s="220">
        <f t="shared" si="79"/>
        <v>0</v>
      </c>
      <c r="DK56" s="220">
        <f t="shared" si="79"/>
        <v>0</v>
      </c>
      <c r="DL56" s="220">
        <f t="shared" si="79"/>
        <v>0</v>
      </c>
      <c r="DM56" s="220">
        <f t="shared" si="79"/>
        <v>0</v>
      </c>
      <c r="DN56" s="220">
        <f t="shared" si="79"/>
        <v>0</v>
      </c>
      <c r="DO56" s="220">
        <f t="shared" si="79"/>
        <v>0</v>
      </c>
      <c r="DP56" s="220">
        <f t="shared" si="79"/>
        <v>0</v>
      </c>
      <c r="DQ56" s="220">
        <f t="shared" si="79"/>
        <v>0</v>
      </c>
      <c r="DR56" s="220">
        <f t="shared" si="79"/>
        <v>0</v>
      </c>
      <c r="DS56" s="220">
        <f t="shared" si="79"/>
        <v>0</v>
      </c>
      <c r="DT56" s="220">
        <f t="shared" si="79"/>
        <v>0</v>
      </c>
      <c r="DU56" s="220">
        <f t="shared" si="79"/>
        <v>0</v>
      </c>
      <c r="DV56" s="220">
        <f t="shared" si="79"/>
        <v>0</v>
      </c>
      <c r="DW56" s="220">
        <f t="shared" si="79"/>
        <v>0</v>
      </c>
      <c r="DX56" s="221">
        <f t="shared" si="79"/>
        <v>0</v>
      </c>
      <c r="DZ56" s="217" t="s">
        <v>145</v>
      </c>
      <c r="EA56" s="220">
        <f t="shared" ref="EA56:FF56" si="80">SUM(EA23:EA38)</f>
        <v>11700</v>
      </c>
      <c r="EB56" s="220">
        <f t="shared" si="80"/>
        <v>11934</v>
      </c>
      <c r="EC56" s="220">
        <f t="shared" si="80"/>
        <v>12172.68</v>
      </c>
      <c r="ED56" s="220">
        <f t="shared" si="80"/>
        <v>12416.133599999999</v>
      </c>
      <c r="EE56" s="220">
        <f t="shared" si="80"/>
        <v>12664.456271999999</v>
      </c>
      <c r="EF56" s="220">
        <f t="shared" si="80"/>
        <v>12917.74539744</v>
      </c>
      <c r="EG56" s="220">
        <f t="shared" si="80"/>
        <v>13176.100305388802</v>
      </c>
      <c r="EH56" s="220">
        <f t="shared" si="80"/>
        <v>13439.622311496574</v>
      </c>
      <c r="EI56" s="220">
        <f t="shared" si="80"/>
        <v>13708.414757726507</v>
      </c>
      <c r="EJ56" s="220">
        <f t="shared" si="80"/>
        <v>13982.583052881037</v>
      </c>
      <c r="EK56" s="220">
        <f t="shared" si="80"/>
        <v>14262.234713938658</v>
      </c>
      <c r="EL56" s="220">
        <f t="shared" si="80"/>
        <v>14547.479408217428</v>
      </c>
      <c r="EM56" s="220">
        <f t="shared" si="80"/>
        <v>0</v>
      </c>
      <c r="EN56" s="220">
        <f t="shared" si="80"/>
        <v>0</v>
      </c>
      <c r="EO56" s="220">
        <f t="shared" si="80"/>
        <v>0</v>
      </c>
      <c r="EP56" s="220">
        <f t="shared" si="80"/>
        <v>0</v>
      </c>
      <c r="EQ56" s="220">
        <f t="shared" si="80"/>
        <v>0</v>
      </c>
      <c r="ER56" s="220">
        <f t="shared" si="80"/>
        <v>0</v>
      </c>
      <c r="ES56" s="220">
        <f t="shared" si="80"/>
        <v>0</v>
      </c>
      <c r="ET56" s="220">
        <f t="shared" si="80"/>
        <v>0</v>
      </c>
      <c r="EU56" s="220">
        <f t="shared" si="80"/>
        <v>0</v>
      </c>
      <c r="EV56" s="220">
        <f t="shared" si="80"/>
        <v>0</v>
      </c>
      <c r="EW56" s="220">
        <f t="shared" si="80"/>
        <v>0</v>
      </c>
      <c r="EX56" s="220">
        <f t="shared" si="80"/>
        <v>0</v>
      </c>
      <c r="EY56" s="220">
        <f t="shared" si="80"/>
        <v>0</v>
      </c>
      <c r="EZ56" s="220">
        <f t="shared" si="80"/>
        <v>0</v>
      </c>
      <c r="FA56" s="220">
        <f t="shared" si="80"/>
        <v>0</v>
      </c>
      <c r="FB56" s="220">
        <f t="shared" si="80"/>
        <v>0</v>
      </c>
      <c r="FC56" s="220">
        <f t="shared" si="80"/>
        <v>0</v>
      </c>
      <c r="FD56" s="220">
        <f t="shared" si="80"/>
        <v>0</v>
      </c>
      <c r="FE56" s="220">
        <f t="shared" si="80"/>
        <v>0</v>
      </c>
      <c r="FF56" s="220">
        <f t="shared" si="80"/>
        <v>0</v>
      </c>
      <c r="FG56" s="220">
        <f t="shared" ref="FG56:GB56" si="81">SUM(FG23:FG38)</f>
        <v>0</v>
      </c>
      <c r="FH56" s="220">
        <f t="shared" si="81"/>
        <v>0</v>
      </c>
      <c r="FI56" s="220">
        <f t="shared" si="81"/>
        <v>0</v>
      </c>
      <c r="FJ56" s="220">
        <f t="shared" si="81"/>
        <v>0</v>
      </c>
      <c r="FK56" s="220">
        <f t="shared" si="81"/>
        <v>0</v>
      </c>
      <c r="FL56" s="220">
        <f t="shared" si="81"/>
        <v>0</v>
      </c>
      <c r="FM56" s="220">
        <f t="shared" si="81"/>
        <v>0</v>
      </c>
      <c r="FN56" s="220">
        <f t="shared" si="81"/>
        <v>0</v>
      </c>
      <c r="FO56" s="220">
        <f t="shared" si="81"/>
        <v>0</v>
      </c>
      <c r="FP56" s="220">
        <f t="shared" si="81"/>
        <v>0</v>
      </c>
      <c r="FQ56" s="220">
        <f t="shared" si="81"/>
        <v>0</v>
      </c>
      <c r="FR56" s="220">
        <f t="shared" si="81"/>
        <v>0</v>
      </c>
      <c r="FS56" s="220">
        <f t="shared" si="81"/>
        <v>0</v>
      </c>
      <c r="FT56" s="220">
        <f t="shared" si="81"/>
        <v>0</v>
      </c>
      <c r="FU56" s="220">
        <f t="shared" si="81"/>
        <v>0</v>
      </c>
      <c r="FV56" s="220">
        <f t="shared" si="81"/>
        <v>0</v>
      </c>
      <c r="FW56" s="220">
        <f t="shared" si="81"/>
        <v>0</v>
      </c>
      <c r="FX56" s="220">
        <f t="shared" si="81"/>
        <v>0</v>
      </c>
      <c r="FY56" s="220">
        <f t="shared" si="81"/>
        <v>0</v>
      </c>
      <c r="FZ56" s="220">
        <f t="shared" si="81"/>
        <v>0</v>
      </c>
      <c r="GA56" s="220">
        <f t="shared" si="81"/>
        <v>0</v>
      </c>
      <c r="GB56" s="221">
        <f t="shared" si="81"/>
        <v>0</v>
      </c>
    </row>
    <row r="57" spans="1:184" ht="17.25" customHeight="1" x14ac:dyDescent="0.5">
      <c r="B57" s="222"/>
      <c r="C57" s="223"/>
      <c r="D57" s="223"/>
      <c r="E57" s="223"/>
      <c r="F57" s="223"/>
      <c r="G57" s="223"/>
      <c r="H57" s="223"/>
      <c r="I57" s="223"/>
      <c r="J57" s="223"/>
      <c r="K57" s="223"/>
      <c r="L57" s="223"/>
      <c r="M57" s="223"/>
      <c r="N57" s="224"/>
      <c r="R57" s="150" t="s">
        <v>146</v>
      </c>
      <c r="S57" s="225">
        <f>S56/(1+'Allgemeine Unternehmensdaten'!$F$25)^S20</f>
        <v>7848</v>
      </c>
      <c r="T57" s="225">
        <f>T56/(1+'Allgemeine Unternehmensdaten'!$F$25)^T20</f>
        <v>7772.5384615384619</v>
      </c>
      <c r="U57" s="225">
        <f>U56/(1+'Allgemeine Unternehmensdaten'!$F$25)^U20</f>
        <v>7697.8025147928984</v>
      </c>
      <c r="V57" s="225">
        <f>V56/(1+'Allgemeine Unternehmensdaten'!$F$25)^V20</f>
        <v>7623.7851829198898</v>
      </c>
      <c r="W57" s="225">
        <f>W56/(1+'Allgemeine Unternehmensdaten'!$F$25)^W20</f>
        <v>7550.4795561610426</v>
      </c>
      <c r="X57" s="225">
        <f>X56/(1+'Allgemeine Unternehmensdaten'!$F$25)^X20</f>
        <v>7477.8787911979553</v>
      </c>
      <c r="Y57" s="225">
        <f>Y56/(1+'Allgemeine Unternehmensdaten'!$F$25)^Y20</f>
        <v>7405.9761105133603</v>
      </c>
      <c r="Z57" s="225">
        <f>Z56/(1+'Allgemeine Unternehmensdaten'!$F$25)^Z20</f>
        <v>7334.7648017584252</v>
      </c>
      <c r="AA57" s="225">
        <f>AA56/(1+'Allgemeine Unternehmensdaten'!$F$25)^AA20</f>
        <v>7264.2382171261297</v>
      </c>
      <c r="AB57" s="225">
        <f>AB56/(1+'Allgemeine Unternehmensdaten'!$F$25)^AB20</f>
        <v>7194.3897727306876</v>
      </c>
      <c r="AC57" s="225">
        <f>AC56/(1+'Allgemeine Unternehmensdaten'!$F$25)^AC20</f>
        <v>0</v>
      </c>
      <c r="AD57" s="225">
        <f>AD56/(1+'Allgemeine Unternehmensdaten'!$F$25)^AD20</f>
        <v>0</v>
      </c>
      <c r="AE57" s="225">
        <f>AE56/(1+'Allgemeine Unternehmensdaten'!$F$25)^AE20</f>
        <v>0</v>
      </c>
      <c r="AF57" s="225">
        <f>AF56/(1+'Allgemeine Unternehmensdaten'!$F$25)^AF20</f>
        <v>0</v>
      </c>
      <c r="AG57" s="225">
        <f>AG56/(1+'Allgemeine Unternehmensdaten'!$F$25)^AG20</f>
        <v>0</v>
      </c>
      <c r="AH57" s="225">
        <f>AH56/(1+'Allgemeine Unternehmensdaten'!$F$25)^AH20</f>
        <v>0</v>
      </c>
      <c r="AI57" s="225">
        <f>AI56/(1+'Allgemeine Unternehmensdaten'!$F$25)^AI20</f>
        <v>0</v>
      </c>
      <c r="AJ57" s="225">
        <f>AJ56/(1+'Allgemeine Unternehmensdaten'!$F$25)^AJ20</f>
        <v>0</v>
      </c>
      <c r="AK57" s="225">
        <f>AK56/(1+'Allgemeine Unternehmensdaten'!$F$25)^AK20</f>
        <v>0</v>
      </c>
      <c r="AL57" s="225">
        <f>AL56/(1+'Allgemeine Unternehmensdaten'!$F$25)^AL20</f>
        <v>0</v>
      </c>
      <c r="AM57" s="225">
        <f>AM56/(1+'Allgemeine Unternehmensdaten'!$F$25)^AM20</f>
        <v>0</v>
      </c>
      <c r="AN57" s="225">
        <f>AN56/(1+'Allgemeine Unternehmensdaten'!$F$25)^AN20</f>
        <v>0</v>
      </c>
      <c r="AO57" s="225">
        <f>AO56/(1+'Allgemeine Unternehmensdaten'!$F$25)^AO20</f>
        <v>0</v>
      </c>
      <c r="AP57" s="225">
        <f>AP56/(1+'Allgemeine Unternehmensdaten'!$F$25)^AP20</f>
        <v>0</v>
      </c>
      <c r="AQ57" s="225">
        <f>AQ56/(1+'Allgemeine Unternehmensdaten'!$F$25)^AQ20</f>
        <v>0</v>
      </c>
      <c r="AR57" s="225">
        <f>AR56/(1+'Allgemeine Unternehmensdaten'!$F$25)^AR20</f>
        <v>0</v>
      </c>
      <c r="AS57" s="225">
        <f>AS56/(1+'Allgemeine Unternehmensdaten'!$F$25)^AS20</f>
        <v>0</v>
      </c>
      <c r="AT57" s="225">
        <f>AT56/(1+'Allgemeine Unternehmensdaten'!$F$25)^AT20</f>
        <v>0</v>
      </c>
      <c r="AU57" s="225">
        <f>AU56/(1+'Allgemeine Unternehmensdaten'!$F$25)^AU20</f>
        <v>0</v>
      </c>
      <c r="AV57" s="225">
        <f>AV56/(1+'Allgemeine Unternehmensdaten'!$F$25)^AV20</f>
        <v>0</v>
      </c>
      <c r="AW57" s="225">
        <f>AW56/(1+'Allgemeine Unternehmensdaten'!$F$25)^AW20</f>
        <v>0</v>
      </c>
      <c r="AX57" s="225">
        <f>AX56/(1+'Allgemeine Unternehmensdaten'!$F$25)^AX20</f>
        <v>0</v>
      </c>
      <c r="AY57" s="225">
        <f>AY56/(1+'Allgemeine Unternehmensdaten'!$F$25)^AY20</f>
        <v>0</v>
      </c>
      <c r="AZ57" s="225">
        <f>AZ56/(1+'Allgemeine Unternehmensdaten'!$F$25)^AZ20</f>
        <v>0</v>
      </c>
      <c r="BA57" s="225">
        <f>BA56/(1+'Allgemeine Unternehmensdaten'!$F$25)^BA20</f>
        <v>0</v>
      </c>
      <c r="BB57" s="225">
        <f>BB56/(1+'Allgemeine Unternehmensdaten'!$F$25)^BB20</f>
        <v>0</v>
      </c>
      <c r="BC57" s="225">
        <f>BC56/(1+'Allgemeine Unternehmensdaten'!$F$25)^BC20</f>
        <v>0</v>
      </c>
      <c r="BD57" s="225">
        <f>BD56/(1+'Allgemeine Unternehmensdaten'!$F$25)^BD20</f>
        <v>0</v>
      </c>
      <c r="BE57" s="225">
        <f>BE56/(1+'Allgemeine Unternehmensdaten'!$F$25)^BE20</f>
        <v>0</v>
      </c>
      <c r="BF57" s="225">
        <f>BF56/(1+'Allgemeine Unternehmensdaten'!$F$25)^BF20</f>
        <v>0</v>
      </c>
      <c r="BG57" s="225">
        <f>BG56/(1+'Allgemeine Unternehmensdaten'!$F$25)^BG20</f>
        <v>0</v>
      </c>
      <c r="BH57" s="225">
        <f>BH56/(1+'Allgemeine Unternehmensdaten'!$F$25)^BH20</f>
        <v>0</v>
      </c>
      <c r="BI57" s="225">
        <f>BI56/(1+'Allgemeine Unternehmensdaten'!$F$25)^BI20</f>
        <v>0</v>
      </c>
      <c r="BJ57" s="225">
        <f>BJ56/(1+'Allgemeine Unternehmensdaten'!$F$25)^BJ20</f>
        <v>0</v>
      </c>
      <c r="BK57" s="225">
        <f>BK56/(1+'Allgemeine Unternehmensdaten'!$F$25)^BK20</f>
        <v>0</v>
      </c>
      <c r="BL57" s="225">
        <f>BL56/(1+'Allgemeine Unternehmensdaten'!$F$25)^BL20</f>
        <v>0</v>
      </c>
      <c r="BM57" s="225">
        <f>BM56/(1+'Allgemeine Unternehmensdaten'!$F$25)^BM20</f>
        <v>0</v>
      </c>
      <c r="BN57" s="225">
        <f>BN56/(1+'Allgemeine Unternehmensdaten'!$F$25)^BN20</f>
        <v>0</v>
      </c>
      <c r="BO57" s="225">
        <f>BO56/(1+'Allgemeine Unternehmensdaten'!$F$25)^BO20</f>
        <v>0</v>
      </c>
      <c r="BP57" s="225">
        <f>BP56/(1+'Allgemeine Unternehmensdaten'!$F$25)^BP20</f>
        <v>0</v>
      </c>
      <c r="BQ57" s="225">
        <f>BQ56/(1+'Allgemeine Unternehmensdaten'!$F$25)^BQ20</f>
        <v>0</v>
      </c>
      <c r="BR57" s="225">
        <f>BR56/(1+'Allgemeine Unternehmensdaten'!$F$25)^BR20</f>
        <v>0</v>
      </c>
      <c r="BS57" s="225">
        <f>BS56/(1+'Allgemeine Unternehmensdaten'!$F$25)^BS20</f>
        <v>0</v>
      </c>
      <c r="BT57" s="226">
        <f>BT56/(1+'Allgemeine Unternehmensdaten'!$F$25)^BT20</f>
        <v>0</v>
      </c>
      <c r="BV57" s="150" t="s">
        <v>146</v>
      </c>
      <c r="BW57" s="151">
        <f>BW56/(1+'Allgemeine Unternehmensdaten'!$G$25)^BW20</f>
        <v>4334.3999999999996</v>
      </c>
      <c r="BX57" s="151">
        <f>BX56/(1+'Allgemeine Unternehmensdaten'!$G$25)^BX20</f>
        <v>4252.6188679245279</v>
      </c>
      <c r="BY57" s="151">
        <f>BY56/(1+'Allgemeine Unternehmensdaten'!$G$25)^BY20</f>
        <v>4172.380776076895</v>
      </c>
      <c r="BZ57" s="151">
        <f>BZ56/(1+'Allgemeine Unternehmensdaten'!$G$25)^BZ20</f>
        <v>4093.6566104905378</v>
      </c>
      <c r="CA57" s="151">
        <f>CA56/(1+'Allgemeine Unternehmensdaten'!$G$25)^CA20</f>
        <v>4016.4178065190185</v>
      </c>
      <c r="CB57" s="151">
        <f>CB56/(1+'Allgemeine Unternehmensdaten'!$G$25)^CB20</f>
        <v>3940.63633847149</v>
      </c>
      <c r="CC57" s="151">
        <f>CC56/(1+'Allgemeine Unternehmensdaten'!$G$25)^CC20</f>
        <v>3866.2847094437261</v>
      </c>
      <c r="CD57" s="151">
        <f>CD56/(1+'Allgemeine Unternehmensdaten'!$G$25)^CD20</f>
        <v>3793.3359413410135</v>
      </c>
      <c r="CE57" s="151">
        <f>CE56/(1+'Allgemeine Unternehmensdaten'!$G$25)^CE20</f>
        <v>0</v>
      </c>
      <c r="CF57" s="151">
        <f>CF56/(1+'Allgemeine Unternehmensdaten'!$G$25)^CF20</f>
        <v>0</v>
      </c>
      <c r="CG57" s="151">
        <f>CG56/(1+'Allgemeine Unternehmensdaten'!$G$25)^CG20</f>
        <v>0</v>
      </c>
      <c r="CH57" s="151">
        <f>CH56/(1+'Allgemeine Unternehmensdaten'!$G$25)^CH20</f>
        <v>0</v>
      </c>
      <c r="CI57" s="151">
        <f>CI56/(1+'Allgemeine Unternehmensdaten'!$G$25)^CI20</f>
        <v>0</v>
      </c>
      <c r="CJ57" s="151">
        <f>CJ56/(1+'Allgemeine Unternehmensdaten'!$G$25)^CJ20</f>
        <v>0</v>
      </c>
      <c r="CK57" s="151">
        <f>CK56/(1+'Allgemeine Unternehmensdaten'!$G$25)^CK20</f>
        <v>0</v>
      </c>
      <c r="CL57" s="151">
        <f>CL56/(1+'Allgemeine Unternehmensdaten'!$G$25)^CL20</f>
        <v>0</v>
      </c>
      <c r="CM57" s="151">
        <f>CM56/(1+'Allgemeine Unternehmensdaten'!$G$25)^CM20</f>
        <v>0</v>
      </c>
      <c r="CN57" s="151">
        <f>CN56/(1+'Allgemeine Unternehmensdaten'!$G$25)^CN20</f>
        <v>0</v>
      </c>
      <c r="CO57" s="151">
        <f>CO56/(1+'Allgemeine Unternehmensdaten'!$G$25)^CO20</f>
        <v>0</v>
      </c>
      <c r="CP57" s="151">
        <f>CP56/(1+'Allgemeine Unternehmensdaten'!$G$25)^CP20</f>
        <v>0</v>
      </c>
      <c r="CQ57" s="151">
        <f>CQ56/(1+'Allgemeine Unternehmensdaten'!$G$25)^CQ20</f>
        <v>0</v>
      </c>
      <c r="CR57" s="151">
        <f>CR56/(1+'Allgemeine Unternehmensdaten'!$G$25)^CR20</f>
        <v>0</v>
      </c>
      <c r="CS57" s="151">
        <f>CS56/(1+'Allgemeine Unternehmensdaten'!$G$25)^CS20</f>
        <v>0</v>
      </c>
      <c r="CT57" s="151">
        <f>CT56/(1+'Allgemeine Unternehmensdaten'!$G$25)^CT20</f>
        <v>0</v>
      </c>
      <c r="CU57" s="151">
        <f>CU56/(1+'Allgemeine Unternehmensdaten'!$G$25)^CU20</f>
        <v>0</v>
      </c>
      <c r="CV57" s="151">
        <f>CV56/(1+'Allgemeine Unternehmensdaten'!$G$25)^CV20</f>
        <v>0</v>
      </c>
      <c r="CW57" s="151">
        <f>CW56/(1+'Allgemeine Unternehmensdaten'!$G$25)^CW20</f>
        <v>0</v>
      </c>
      <c r="CX57" s="151">
        <f>CX56/(1+'Allgemeine Unternehmensdaten'!$G$25)^CX20</f>
        <v>0</v>
      </c>
      <c r="CY57" s="151">
        <f>CY56/(1+'Allgemeine Unternehmensdaten'!$G$25)^CY20</f>
        <v>0</v>
      </c>
      <c r="CZ57" s="151">
        <f>CZ56/(1+'Allgemeine Unternehmensdaten'!$G$25)^CZ20</f>
        <v>0</v>
      </c>
      <c r="DA57" s="151">
        <f>DA56/(1+'Allgemeine Unternehmensdaten'!$G$25)^DA20</f>
        <v>0</v>
      </c>
      <c r="DB57" s="151">
        <f>DB56/(1+'Allgemeine Unternehmensdaten'!$G$25)^DB20</f>
        <v>0</v>
      </c>
      <c r="DC57" s="151">
        <f>DC56/(1+'Allgemeine Unternehmensdaten'!$G$25)^DC20</f>
        <v>0</v>
      </c>
      <c r="DD57" s="151">
        <f>DD56/(1+'Allgemeine Unternehmensdaten'!$G$25)^DD20</f>
        <v>0</v>
      </c>
      <c r="DE57" s="151">
        <f>DE56/(1+'Allgemeine Unternehmensdaten'!$G$25)^DE20</f>
        <v>0</v>
      </c>
      <c r="DF57" s="151">
        <f>DF56/(1+'Allgemeine Unternehmensdaten'!$G$25)^DF20</f>
        <v>0</v>
      </c>
      <c r="DG57" s="151">
        <f>DG56/(1+'Allgemeine Unternehmensdaten'!$G$25)^DG20</f>
        <v>0</v>
      </c>
      <c r="DH57" s="151">
        <f>DH56/(1+'Allgemeine Unternehmensdaten'!$G$25)^DH20</f>
        <v>0</v>
      </c>
      <c r="DI57" s="151">
        <f>DI56/(1+'Allgemeine Unternehmensdaten'!$G$25)^DI20</f>
        <v>0</v>
      </c>
      <c r="DJ57" s="151">
        <f>DJ56/(1+'Allgemeine Unternehmensdaten'!$G$25)^DJ20</f>
        <v>0</v>
      </c>
      <c r="DK57" s="151">
        <f>DK56/(1+'Allgemeine Unternehmensdaten'!$G$25)^DK20</f>
        <v>0</v>
      </c>
      <c r="DL57" s="151">
        <f>DL56/(1+'Allgemeine Unternehmensdaten'!$G$25)^DL20</f>
        <v>0</v>
      </c>
      <c r="DM57" s="151">
        <f>DM56/(1+'Allgemeine Unternehmensdaten'!$G$25)^DM20</f>
        <v>0</v>
      </c>
      <c r="DN57" s="151">
        <f>DN56/(1+'Allgemeine Unternehmensdaten'!$G$25)^DN20</f>
        <v>0</v>
      </c>
      <c r="DO57" s="151">
        <f>DO56/(1+'Allgemeine Unternehmensdaten'!$G$25)^DO20</f>
        <v>0</v>
      </c>
      <c r="DP57" s="151">
        <f>DP56/(1+'Allgemeine Unternehmensdaten'!$G$25)^DP20</f>
        <v>0</v>
      </c>
      <c r="DQ57" s="151">
        <f>DQ56/(1+'Allgemeine Unternehmensdaten'!$G$25)^DQ20</f>
        <v>0</v>
      </c>
      <c r="DR57" s="151">
        <f>DR56/(1+'Allgemeine Unternehmensdaten'!$G$25)^DR20</f>
        <v>0</v>
      </c>
      <c r="DS57" s="151">
        <f>DS56/(1+'Allgemeine Unternehmensdaten'!$G$25)^DS20</f>
        <v>0</v>
      </c>
      <c r="DT57" s="151">
        <f>DT56/(1+'Allgemeine Unternehmensdaten'!$G$25)^DT20</f>
        <v>0</v>
      </c>
      <c r="DU57" s="151">
        <f>DU56/(1+'Allgemeine Unternehmensdaten'!$G$25)^DU20</f>
        <v>0</v>
      </c>
      <c r="DV57" s="151">
        <f>DV56/(1+'Allgemeine Unternehmensdaten'!$G$25)^DV20</f>
        <v>0</v>
      </c>
      <c r="DW57" s="151">
        <f>DW56/(1+'Allgemeine Unternehmensdaten'!$G$25)^DW20</f>
        <v>0</v>
      </c>
      <c r="DX57" s="227">
        <f>DX56/(1+'Allgemeine Unternehmensdaten'!$G$25)^DX20</f>
        <v>0</v>
      </c>
      <c r="DZ57" s="150" t="s">
        <v>146</v>
      </c>
      <c r="EA57" s="151">
        <f>EA56/(1+'Allgemeine Unternehmensdaten'!$E$25)^EA20</f>
        <v>11700</v>
      </c>
      <c r="EB57" s="151">
        <f>EB56/(1+'Allgemeine Unternehmensdaten'!$E$25)^EB20</f>
        <v>11586.407766990291</v>
      </c>
      <c r="EC57" s="151">
        <f>EC56/(1+'Allgemeine Unternehmensdaten'!$E$25)^EC20</f>
        <v>11473.91837119427</v>
      </c>
      <c r="ED57" s="151">
        <f>ED56/(1+'Allgemeine Unternehmensdaten'!$E$25)^ED20</f>
        <v>11362.521105454518</v>
      </c>
      <c r="EE57" s="151">
        <f>EE56/(1+'Allgemeine Unternehmensdaten'!$E$25)^EE20</f>
        <v>11252.205366566612</v>
      </c>
      <c r="EF57" s="151">
        <f>EF56/(1+'Allgemeine Unternehmensdaten'!$E$25)^EF20</f>
        <v>11142.960654269849</v>
      </c>
      <c r="EG57" s="151">
        <f>EG56/(1+'Allgemeine Unternehmensdaten'!$E$25)^EG20</f>
        <v>11034.776570247812</v>
      </c>
      <c r="EH57" s="151">
        <f>EH56/(1+'Allgemeine Unternehmensdaten'!$E$25)^EH20</f>
        <v>10927.642817138607</v>
      </c>
      <c r="EI57" s="151">
        <f>EI56/(1+'Allgemeine Unternehmensdaten'!$E$25)^EI20</f>
        <v>10821.549197554739</v>
      </c>
      <c r="EJ57" s="151">
        <f>EJ56/(1+'Allgemeine Unternehmensdaten'!$E$25)^EJ20</f>
        <v>10716.48561311246</v>
      </c>
      <c r="EK57" s="151">
        <f>EK56/(1+'Allgemeine Unternehmensdaten'!$E$25)^EK20</f>
        <v>10612.442063470591</v>
      </c>
      <c r="EL57" s="151">
        <f>EL56/(1+'Allgemeine Unternehmensdaten'!$E$25)^EL20</f>
        <v>10509.408645378642</v>
      </c>
      <c r="EM57" s="151">
        <f>EM56/(1+'Allgemeine Unternehmensdaten'!$E$25)^EM20</f>
        <v>0</v>
      </c>
      <c r="EN57" s="151">
        <f>EN56/(1+'Allgemeine Unternehmensdaten'!$E$25)^EN20</f>
        <v>0</v>
      </c>
      <c r="EO57" s="151">
        <f>EO56/(1+'Allgemeine Unternehmensdaten'!$E$25)^EO20</f>
        <v>0</v>
      </c>
      <c r="EP57" s="151">
        <f>EP56/(1+'Allgemeine Unternehmensdaten'!$E$25)^EP20</f>
        <v>0</v>
      </c>
      <c r="EQ57" s="151">
        <f>EQ56/(1+'Allgemeine Unternehmensdaten'!$E$25)^EQ20</f>
        <v>0</v>
      </c>
      <c r="ER57" s="151">
        <f>ER56/(1+'Allgemeine Unternehmensdaten'!$E$25)^ER20</f>
        <v>0</v>
      </c>
      <c r="ES57" s="151">
        <f>ES56/(1+'Allgemeine Unternehmensdaten'!$E$25)^ES20</f>
        <v>0</v>
      </c>
      <c r="ET57" s="151">
        <f>ET56/(1+'Allgemeine Unternehmensdaten'!$E$25)^ET20</f>
        <v>0</v>
      </c>
      <c r="EU57" s="151">
        <f>EU56/(1+'Allgemeine Unternehmensdaten'!$E$25)^EU20</f>
        <v>0</v>
      </c>
      <c r="EV57" s="151">
        <f>EV56/(1+'Allgemeine Unternehmensdaten'!$E$25)^EV20</f>
        <v>0</v>
      </c>
      <c r="EW57" s="151">
        <f>EW56/(1+'Allgemeine Unternehmensdaten'!$E$25)^EW20</f>
        <v>0</v>
      </c>
      <c r="EX57" s="151">
        <f>EX56/(1+'Allgemeine Unternehmensdaten'!$E$25)^EX20</f>
        <v>0</v>
      </c>
      <c r="EY57" s="151">
        <f>EY56/(1+'Allgemeine Unternehmensdaten'!$E$25)^EY20</f>
        <v>0</v>
      </c>
      <c r="EZ57" s="151">
        <f>EZ56/(1+'Allgemeine Unternehmensdaten'!$E$25)^EZ20</f>
        <v>0</v>
      </c>
      <c r="FA57" s="151">
        <f>FA56/(1+'Allgemeine Unternehmensdaten'!$E$25)^FA20</f>
        <v>0</v>
      </c>
      <c r="FB57" s="151">
        <f>FB56/(1+'Allgemeine Unternehmensdaten'!$E$25)^FB20</f>
        <v>0</v>
      </c>
      <c r="FC57" s="151">
        <f>FC56/(1+'Allgemeine Unternehmensdaten'!$E$25)^FC20</f>
        <v>0</v>
      </c>
      <c r="FD57" s="151">
        <f>FD56/(1+'Allgemeine Unternehmensdaten'!$E$25)^FD20</f>
        <v>0</v>
      </c>
      <c r="FE57" s="151">
        <f>FE56/(1+'Allgemeine Unternehmensdaten'!$E$25)^FE20</f>
        <v>0</v>
      </c>
      <c r="FF57" s="151">
        <f>FF56/(1+'Allgemeine Unternehmensdaten'!$E$25)^FF20</f>
        <v>0</v>
      </c>
      <c r="FG57" s="151">
        <f>FG56/(1+'Allgemeine Unternehmensdaten'!$E$25)^FG20</f>
        <v>0</v>
      </c>
      <c r="FH57" s="151">
        <f>FH56/(1+'Allgemeine Unternehmensdaten'!$E$25)^FH20</f>
        <v>0</v>
      </c>
      <c r="FI57" s="151">
        <f>FI56/(1+'Allgemeine Unternehmensdaten'!$E$25)^FI20</f>
        <v>0</v>
      </c>
      <c r="FJ57" s="151">
        <f>FJ56/(1+'Allgemeine Unternehmensdaten'!$E$25)^FJ20</f>
        <v>0</v>
      </c>
      <c r="FK57" s="151">
        <f>FK56/(1+'Allgemeine Unternehmensdaten'!$E$25)^FK20</f>
        <v>0</v>
      </c>
      <c r="FL57" s="151">
        <f>FL56/(1+'Allgemeine Unternehmensdaten'!$E$25)^FL20</f>
        <v>0</v>
      </c>
      <c r="FM57" s="151">
        <f>FM56/(1+'Allgemeine Unternehmensdaten'!$E$25)^FM20</f>
        <v>0</v>
      </c>
      <c r="FN57" s="151">
        <f>FN56/(1+'Allgemeine Unternehmensdaten'!$E$25)^FN20</f>
        <v>0</v>
      </c>
      <c r="FO57" s="151">
        <f>FO56/(1+'Allgemeine Unternehmensdaten'!$E$25)^FO20</f>
        <v>0</v>
      </c>
      <c r="FP57" s="151">
        <f>FP56/(1+'Allgemeine Unternehmensdaten'!$E$25)^FP20</f>
        <v>0</v>
      </c>
      <c r="FQ57" s="151">
        <f>FQ56/(1+'Allgemeine Unternehmensdaten'!$E$25)^FQ20</f>
        <v>0</v>
      </c>
      <c r="FR57" s="151">
        <f>FR56/(1+'Allgemeine Unternehmensdaten'!$E$25)^FR20</f>
        <v>0</v>
      </c>
      <c r="FS57" s="151">
        <f>FS56/(1+'Allgemeine Unternehmensdaten'!$E$25)^FS20</f>
        <v>0</v>
      </c>
      <c r="FT57" s="151">
        <f>FT56/(1+'Allgemeine Unternehmensdaten'!$E$25)^FT20</f>
        <v>0</v>
      </c>
      <c r="FU57" s="151">
        <f>FU56/(1+'Allgemeine Unternehmensdaten'!$E$25)^FU20</f>
        <v>0</v>
      </c>
      <c r="FV57" s="151">
        <f>FV56/(1+'Allgemeine Unternehmensdaten'!$E$25)^FV20</f>
        <v>0</v>
      </c>
      <c r="FW57" s="151">
        <f>FW56/(1+'Allgemeine Unternehmensdaten'!$E$25)^FW20</f>
        <v>0</v>
      </c>
      <c r="FX57" s="151">
        <f>FX56/(1+'Allgemeine Unternehmensdaten'!$E$25)^FX20</f>
        <v>0</v>
      </c>
      <c r="FY57" s="151">
        <f>FY56/(1+'Allgemeine Unternehmensdaten'!$E$25)^FY20</f>
        <v>0</v>
      </c>
      <c r="FZ57" s="151">
        <f>FZ56/(1+'Allgemeine Unternehmensdaten'!$E$25)^FZ20</f>
        <v>0</v>
      </c>
      <c r="GA57" s="151">
        <f>GA56/(1+'Allgemeine Unternehmensdaten'!$E$25)^GA20</f>
        <v>0</v>
      </c>
      <c r="GB57" s="227">
        <f>GB56/(1+'Allgemeine Unternehmensdaten'!$E$25)^GB20</f>
        <v>0</v>
      </c>
    </row>
    <row r="58" spans="1:184" ht="22.5" customHeight="1" x14ac:dyDescent="0.5">
      <c r="B58" s="18"/>
      <c r="C58" s="19"/>
      <c r="D58" s="19"/>
      <c r="E58" s="19"/>
      <c r="F58" s="19"/>
      <c r="G58" s="19"/>
      <c r="H58" s="19"/>
      <c r="I58" s="19"/>
      <c r="J58" s="19"/>
      <c r="K58" s="19"/>
      <c r="L58" s="19"/>
      <c r="M58" s="19"/>
      <c r="N58" s="20"/>
      <c r="R58" s="228" t="s">
        <v>147</v>
      </c>
      <c r="S58" s="229">
        <f t="shared" ref="S58:AX58" si="82">SUM(S39:S55)</f>
        <v>34000</v>
      </c>
      <c r="T58" s="229">
        <f t="shared" si="82"/>
        <v>0</v>
      </c>
      <c r="U58" s="229">
        <f t="shared" si="82"/>
        <v>0</v>
      </c>
      <c r="V58" s="229">
        <f t="shared" si="82"/>
        <v>0</v>
      </c>
      <c r="W58" s="229">
        <f t="shared" si="82"/>
        <v>0</v>
      </c>
      <c r="X58" s="229">
        <f t="shared" si="82"/>
        <v>0</v>
      </c>
      <c r="Y58" s="229">
        <f t="shared" si="82"/>
        <v>0</v>
      </c>
      <c r="Z58" s="229">
        <f t="shared" si="82"/>
        <v>0</v>
      </c>
      <c r="AA58" s="229">
        <f t="shared" si="82"/>
        <v>0</v>
      </c>
      <c r="AB58" s="229">
        <f t="shared" si="82"/>
        <v>0</v>
      </c>
      <c r="AC58" s="229">
        <f t="shared" si="82"/>
        <v>0</v>
      </c>
      <c r="AD58" s="229">
        <f t="shared" si="82"/>
        <v>0</v>
      </c>
      <c r="AE58" s="229">
        <f t="shared" si="82"/>
        <v>0</v>
      </c>
      <c r="AF58" s="229">
        <f t="shared" si="82"/>
        <v>0</v>
      </c>
      <c r="AG58" s="229">
        <f t="shared" si="82"/>
        <v>0</v>
      </c>
      <c r="AH58" s="229">
        <f t="shared" si="82"/>
        <v>0</v>
      </c>
      <c r="AI58" s="229">
        <f t="shared" si="82"/>
        <v>0</v>
      </c>
      <c r="AJ58" s="229">
        <f t="shared" si="82"/>
        <v>0</v>
      </c>
      <c r="AK58" s="229">
        <f t="shared" si="82"/>
        <v>0</v>
      </c>
      <c r="AL58" s="229">
        <f t="shared" si="82"/>
        <v>0</v>
      </c>
      <c r="AM58" s="229">
        <f t="shared" si="82"/>
        <v>0</v>
      </c>
      <c r="AN58" s="229">
        <f t="shared" si="82"/>
        <v>0</v>
      </c>
      <c r="AO58" s="229">
        <f t="shared" si="82"/>
        <v>0</v>
      </c>
      <c r="AP58" s="229">
        <f t="shared" si="82"/>
        <v>0</v>
      </c>
      <c r="AQ58" s="229">
        <f t="shared" si="82"/>
        <v>0</v>
      </c>
      <c r="AR58" s="229">
        <f t="shared" si="82"/>
        <v>0</v>
      </c>
      <c r="AS58" s="229">
        <f t="shared" si="82"/>
        <v>0</v>
      </c>
      <c r="AT58" s="229">
        <f t="shared" si="82"/>
        <v>0</v>
      </c>
      <c r="AU58" s="229">
        <f t="shared" si="82"/>
        <v>0</v>
      </c>
      <c r="AV58" s="229">
        <f t="shared" si="82"/>
        <v>0</v>
      </c>
      <c r="AW58" s="229">
        <f t="shared" si="82"/>
        <v>0</v>
      </c>
      <c r="AX58" s="229">
        <f t="shared" si="82"/>
        <v>0</v>
      </c>
      <c r="AY58" s="229">
        <f t="shared" ref="AY58:BT58" si="83">SUM(AY39:AY55)</f>
        <v>0</v>
      </c>
      <c r="AZ58" s="229">
        <f t="shared" si="83"/>
        <v>0</v>
      </c>
      <c r="BA58" s="229">
        <f t="shared" si="83"/>
        <v>0</v>
      </c>
      <c r="BB58" s="229">
        <f t="shared" si="83"/>
        <v>0</v>
      </c>
      <c r="BC58" s="229">
        <f t="shared" si="83"/>
        <v>0</v>
      </c>
      <c r="BD58" s="229">
        <f t="shared" si="83"/>
        <v>0</v>
      </c>
      <c r="BE58" s="229">
        <f t="shared" si="83"/>
        <v>0</v>
      </c>
      <c r="BF58" s="229">
        <f t="shared" si="83"/>
        <v>0</v>
      </c>
      <c r="BG58" s="229">
        <f t="shared" si="83"/>
        <v>0</v>
      </c>
      <c r="BH58" s="229">
        <f t="shared" si="83"/>
        <v>0</v>
      </c>
      <c r="BI58" s="229">
        <f t="shared" si="83"/>
        <v>0</v>
      </c>
      <c r="BJ58" s="229">
        <f t="shared" si="83"/>
        <v>0</v>
      </c>
      <c r="BK58" s="229">
        <f t="shared" si="83"/>
        <v>0</v>
      </c>
      <c r="BL58" s="229">
        <f t="shared" si="83"/>
        <v>0</v>
      </c>
      <c r="BM58" s="229">
        <f t="shared" si="83"/>
        <v>0</v>
      </c>
      <c r="BN58" s="229">
        <f t="shared" si="83"/>
        <v>0</v>
      </c>
      <c r="BO58" s="229">
        <f t="shared" si="83"/>
        <v>0</v>
      </c>
      <c r="BP58" s="229">
        <f t="shared" si="83"/>
        <v>0</v>
      </c>
      <c r="BQ58" s="229">
        <f t="shared" si="83"/>
        <v>0</v>
      </c>
      <c r="BR58" s="229">
        <f t="shared" si="83"/>
        <v>0</v>
      </c>
      <c r="BS58" s="229">
        <f t="shared" si="83"/>
        <v>0</v>
      </c>
      <c r="BT58" s="230">
        <f t="shared" si="83"/>
        <v>0</v>
      </c>
      <c r="BV58" s="228" t="s">
        <v>147</v>
      </c>
      <c r="BW58" s="200">
        <f t="shared" ref="BW58:DB58" si="84">SUM(BW39:BW55)</f>
        <v>34000</v>
      </c>
      <c r="BX58" s="200">
        <f t="shared" si="84"/>
        <v>0</v>
      </c>
      <c r="BY58" s="200">
        <f t="shared" si="84"/>
        <v>0</v>
      </c>
      <c r="BZ58" s="200">
        <f t="shared" si="84"/>
        <v>0</v>
      </c>
      <c r="CA58" s="200">
        <f t="shared" si="84"/>
        <v>0</v>
      </c>
      <c r="CB58" s="200">
        <f t="shared" si="84"/>
        <v>0</v>
      </c>
      <c r="CC58" s="200">
        <f t="shared" si="84"/>
        <v>0</v>
      </c>
      <c r="CD58" s="200">
        <f t="shared" si="84"/>
        <v>0</v>
      </c>
      <c r="CE58" s="200">
        <f t="shared" si="84"/>
        <v>0</v>
      </c>
      <c r="CF58" s="200">
        <f t="shared" si="84"/>
        <v>0</v>
      </c>
      <c r="CG58" s="200">
        <f t="shared" si="84"/>
        <v>0</v>
      </c>
      <c r="CH58" s="200">
        <f t="shared" si="84"/>
        <v>0</v>
      </c>
      <c r="CI58" s="200">
        <f t="shared" si="84"/>
        <v>0</v>
      </c>
      <c r="CJ58" s="200">
        <f t="shared" si="84"/>
        <v>0</v>
      </c>
      <c r="CK58" s="200">
        <f t="shared" si="84"/>
        <v>0</v>
      </c>
      <c r="CL58" s="200">
        <f t="shared" si="84"/>
        <v>0</v>
      </c>
      <c r="CM58" s="200">
        <f t="shared" si="84"/>
        <v>0</v>
      </c>
      <c r="CN58" s="200">
        <f t="shared" si="84"/>
        <v>0</v>
      </c>
      <c r="CO58" s="200">
        <f t="shared" si="84"/>
        <v>0</v>
      </c>
      <c r="CP58" s="200">
        <f t="shared" si="84"/>
        <v>0</v>
      </c>
      <c r="CQ58" s="200">
        <f t="shared" si="84"/>
        <v>0</v>
      </c>
      <c r="CR58" s="200">
        <f t="shared" si="84"/>
        <v>0</v>
      </c>
      <c r="CS58" s="200">
        <f t="shared" si="84"/>
        <v>0</v>
      </c>
      <c r="CT58" s="200">
        <f t="shared" si="84"/>
        <v>0</v>
      </c>
      <c r="CU58" s="200">
        <f t="shared" si="84"/>
        <v>0</v>
      </c>
      <c r="CV58" s="200">
        <f t="shared" si="84"/>
        <v>0</v>
      </c>
      <c r="CW58" s="200">
        <f t="shared" si="84"/>
        <v>0</v>
      </c>
      <c r="CX58" s="200">
        <f t="shared" si="84"/>
        <v>0</v>
      </c>
      <c r="CY58" s="200">
        <f t="shared" si="84"/>
        <v>0</v>
      </c>
      <c r="CZ58" s="200">
        <f t="shared" si="84"/>
        <v>0</v>
      </c>
      <c r="DA58" s="200">
        <f t="shared" si="84"/>
        <v>0</v>
      </c>
      <c r="DB58" s="200">
        <f t="shared" si="84"/>
        <v>0</v>
      </c>
      <c r="DC58" s="200">
        <f t="shared" ref="DC58:DX58" si="85">SUM(DC39:DC55)</f>
        <v>0</v>
      </c>
      <c r="DD58" s="200">
        <f t="shared" si="85"/>
        <v>0</v>
      </c>
      <c r="DE58" s="200">
        <f t="shared" si="85"/>
        <v>0</v>
      </c>
      <c r="DF58" s="200">
        <f t="shared" si="85"/>
        <v>0</v>
      </c>
      <c r="DG58" s="200">
        <f t="shared" si="85"/>
        <v>0</v>
      </c>
      <c r="DH58" s="200">
        <f t="shared" si="85"/>
        <v>0</v>
      </c>
      <c r="DI58" s="200">
        <f t="shared" si="85"/>
        <v>0</v>
      </c>
      <c r="DJ58" s="200">
        <f t="shared" si="85"/>
        <v>0</v>
      </c>
      <c r="DK58" s="200">
        <f t="shared" si="85"/>
        <v>0</v>
      </c>
      <c r="DL58" s="200">
        <f t="shared" si="85"/>
        <v>0</v>
      </c>
      <c r="DM58" s="200">
        <f t="shared" si="85"/>
        <v>0</v>
      </c>
      <c r="DN58" s="200">
        <f t="shared" si="85"/>
        <v>0</v>
      </c>
      <c r="DO58" s="200">
        <f t="shared" si="85"/>
        <v>0</v>
      </c>
      <c r="DP58" s="200">
        <f t="shared" si="85"/>
        <v>0</v>
      </c>
      <c r="DQ58" s="200">
        <f t="shared" si="85"/>
        <v>0</v>
      </c>
      <c r="DR58" s="200">
        <f t="shared" si="85"/>
        <v>0</v>
      </c>
      <c r="DS58" s="200">
        <f t="shared" si="85"/>
        <v>0</v>
      </c>
      <c r="DT58" s="200">
        <f t="shared" si="85"/>
        <v>0</v>
      </c>
      <c r="DU58" s="200">
        <f t="shared" si="85"/>
        <v>0</v>
      </c>
      <c r="DV58" s="200">
        <f t="shared" si="85"/>
        <v>0</v>
      </c>
      <c r="DW58" s="200">
        <f t="shared" si="85"/>
        <v>0</v>
      </c>
      <c r="DX58" s="231">
        <f t="shared" si="85"/>
        <v>0</v>
      </c>
      <c r="DZ58" s="228" t="s">
        <v>147</v>
      </c>
      <c r="EA58" s="200">
        <f t="shared" ref="EA58:FF58" si="86">SUM(EA39:EA55)</f>
        <v>34000</v>
      </c>
      <c r="EB58" s="200">
        <f t="shared" si="86"/>
        <v>0</v>
      </c>
      <c r="EC58" s="200">
        <f t="shared" si="86"/>
        <v>0</v>
      </c>
      <c r="ED58" s="200">
        <f t="shared" si="86"/>
        <v>0</v>
      </c>
      <c r="EE58" s="200">
        <f t="shared" si="86"/>
        <v>0</v>
      </c>
      <c r="EF58" s="200">
        <f t="shared" si="86"/>
        <v>0</v>
      </c>
      <c r="EG58" s="200">
        <f t="shared" si="86"/>
        <v>0</v>
      </c>
      <c r="EH58" s="200">
        <f t="shared" si="86"/>
        <v>0</v>
      </c>
      <c r="EI58" s="200">
        <f t="shared" si="86"/>
        <v>0</v>
      </c>
      <c r="EJ58" s="200">
        <f t="shared" si="86"/>
        <v>0</v>
      </c>
      <c r="EK58" s="200">
        <f t="shared" si="86"/>
        <v>0</v>
      </c>
      <c r="EL58" s="200">
        <f t="shared" si="86"/>
        <v>0</v>
      </c>
      <c r="EM58" s="200">
        <f t="shared" si="86"/>
        <v>0</v>
      </c>
      <c r="EN58" s="200">
        <f t="shared" si="86"/>
        <v>0</v>
      </c>
      <c r="EO58" s="200">
        <f t="shared" si="86"/>
        <v>0</v>
      </c>
      <c r="EP58" s="200">
        <f t="shared" si="86"/>
        <v>0</v>
      </c>
      <c r="EQ58" s="200">
        <f t="shared" si="86"/>
        <v>0</v>
      </c>
      <c r="ER58" s="200">
        <f t="shared" si="86"/>
        <v>0</v>
      </c>
      <c r="ES58" s="200">
        <f t="shared" si="86"/>
        <v>0</v>
      </c>
      <c r="ET58" s="200">
        <f t="shared" si="86"/>
        <v>0</v>
      </c>
      <c r="EU58" s="200">
        <f t="shared" si="86"/>
        <v>0</v>
      </c>
      <c r="EV58" s="200">
        <f t="shared" si="86"/>
        <v>0</v>
      </c>
      <c r="EW58" s="200">
        <f t="shared" si="86"/>
        <v>0</v>
      </c>
      <c r="EX58" s="200">
        <f t="shared" si="86"/>
        <v>0</v>
      </c>
      <c r="EY58" s="200">
        <f t="shared" si="86"/>
        <v>0</v>
      </c>
      <c r="EZ58" s="200">
        <f t="shared" si="86"/>
        <v>0</v>
      </c>
      <c r="FA58" s="200">
        <f t="shared" si="86"/>
        <v>0</v>
      </c>
      <c r="FB58" s="200">
        <f t="shared" si="86"/>
        <v>0</v>
      </c>
      <c r="FC58" s="200">
        <f t="shared" si="86"/>
        <v>0</v>
      </c>
      <c r="FD58" s="200">
        <f t="shared" si="86"/>
        <v>0</v>
      </c>
      <c r="FE58" s="200">
        <f t="shared" si="86"/>
        <v>0</v>
      </c>
      <c r="FF58" s="200">
        <f t="shared" si="86"/>
        <v>0</v>
      </c>
      <c r="FG58" s="200">
        <f t="shared" ref="FG58:GB58" si="87">SUM(FG39:FG55)</f>
        <v>0</v>
      </c>
      <c r="FH58" s="200">
        <f t="shared" si="87"/>
        <v>0</v>
      </c>
      <c r="FI58" s="200">
        <f t="shared" si="87"/>
        <v>0</v>
      </c>
      <c r="FJ58" s="200">
        <f t="shared" si="87"/>
        <v>0</v>
      </c>
      <c r="FK58" s="200">
        <f t="shared" si="87"/>
        <v>0</v>
      </c>
      <c r="FL58" s="200">
        <f t="shared" si="87"/>
        <v>0</v>
      </c>
      <c r="FM58" s="200">
        <f t="shared" si="87"/>
        <v>0</v>
      </c>
      <c r="FN58" s="200">
        <f t="shared" si="87"/>
        <v>0</v>
      </c>
      <c r="FO58" s="200">
        <f t="shared" si="87"/>
        <v>0</v>
      </c>
      <c r="FP58" s="200">
        <f t="shared" si="87"/>
        <v>0</v>
      </c>
      <c r="FQ58" s="200">
        <f t="shared" si="87"/>
        <v>0</v>
      </c>
      <c r="FR58" s="200">
        <f t="shared" si="87"/>
        <v>0</v>
      </c>
      <c r="FS58" s="200">
        <f t="shared" si="87"/>
        <v>0</v>
      </c>
      <c r="FT58" s="200">
        <f t="shared" si="87"/>
        <v>0</v>
      </c>
      <c r="FU58" s="200">
        <f t="shared" si="87"/>
        <v>0</v>
      </c>
      <c r="FV58" s="200">
        <f t="shared" si="87"/>
        <v>0</v>
      </c>
      <c r="FW58" s="200">
        <f t="shared" si="87"/>
        <v>0</v>
      </c>
      <c r="FX58" s="200">
        <f t="shared" si="87"/>
        <v>0</v>
      </c>
      <c r="FY58" s="200">
        <f t="shared" si="87"/>
        <v>0</v>
      </c>
      <c r="FZ58" s="200">
        <f t="shared" si="87"/>
        <v>0</v>
      </c>
      <c r="GA58" s="200">
        <f t="shared" si="87"/>
        <v>0</v>
      </c>
      <c r="GB58" s="231">
        <f t="shared" si="87"/>
        <v>0</v>
      </c>
    </row>
    <row r="59" spans="1:184" ht="17.25" customHeight="1" x14ac:dyDescent="0.5">
      <c r="B59" s="18"/>
      <c r="C59" s="19"/>
      <c r="D59" s="19"/>
      <c r="E59" s="19"/>
      <c r="F59" s="19"/>
      <c r="G59" s="19"/>
      <c r="H59" s="19"/>
      <c r="I59" s="19"/>
      <c r="J59" s="19"/>
      <c r="K59" s="19"/>
      <c r="L59" s="19"/>
      <c r="M59" s="19"/>
      <c r="N59" s="20"/>
      <c r="R59" s="232" t="s">
        <v>148</v>
      </c>
      <c r="S59" s="229">
        <f>S58/(1+'Allgemeine Unternehmensdaten'!$F$25)^S20</f>
        <v>34000</v>
      </c>
      <c r="T59" s="229">
        <f>T58/(1+'Allgemeine Unternehmensdaten'!$F$25)^T20</f>
        <v>0</v>
      </c>
      <c r="U59" s="229">
        <f>U58/(1+'Allgemeine Unternehmensdaten'!$F$25)^U20</f>
        <v>0</v>
      </c>
      <c r="V59" s="229">
        <f>V58/(1+'Allgemeine Unternehmensdaten'!$F$25)^V20</f>
        <v>0</v>
      </c>
      <c r="W59" s="229">
        <f>W58/(1+'Allgemeine Unternehmensdaten'!$F$25)^W20</f>
        <v>0</v>
      </c>
      <c r="X59" s="229">
        <f>X58/(1+'Allgemeine Unternehmensdaten'!$F$25)^X20</f>
        <v>0</v>
      </c>
      <c r="Y59" s="229">
        <f>Y58/(1+'Allgemeine Unternehmensdaten'!$F$25)^Y20</f>
        <v>0</v>
      </c>
      <c r="Z59" s="229">
        <f>Z58/(1+'Allgemeine Unternehmensdaten'!$F$25)^Z20</f>
        <v>0</v>
      </c>
      <c r="AA59" s="229">
        <f>AA58/(1+'Allgemeine Unternehmensdaten'!$F$25)^AA20</f>
        <v>0</v>
      </c>
      <c r="AB59" s="229">
        <f>AB58/(1+'Allgemeine Unternehmensdaten'!$F$25)^AB20</f>
        <v>0</v>
      </c>
      <c r="AC59" s="229">
        <f>AC58/(1+'Allgemeine Unternehmensdaten'!$F$25)^AC20</f>
        <v>0</v>
      </c>
      <c r="AD59" s="229">
        <f>AD58/(1+'Allgemeine Unternehmensdaten'!$F$25)^AD20</f>
        <v>0</v>
      </c>
      <c r="AE59" s="229">
        <f>AE58/(1+'Allgemeine Unternehmensdaten'!$F$25)^AE20</f>
        <v>0</v>
      </c>
      <c r="AF59" s="229">
        <f>AF58/(1+'Allgemeine Unternehmensdaten'!$F$25)^AF20</f>
        <v>0</v>
      </c>
      <c r="AG59" s="229">
        <f>AG58/(1+'Allgemeine Unternehmensdaten'!$F$25)^AG20</f>
        <v>0</v>
      </c>
      <c r="AH59" s="229">
        <f>AH58/(1+'Allgemeine Unternehmensdaten'!$F$25)^AH20</f>
        <v>0</v>
      </c>
      <c r="AI59" s="229">
        <f>AI58/(1+'Allgemeine Unternehmensdaten'!$F$25)^AI20</f>
        <v>0</v>
      </c>
      <c r="AJ59" s="229">
        <f>AJ58/(1+'Allgemeine Unternehmensdaten'!$F$25)^AJ20</f>
        <v>0</v>
      </c>
      <c r="AK59" s="229">
        <f>AK58/(1+'Allgemeine Unternehmensdaten'!$F$25)^AK20</f>
        <v>0</v>
      </c>
      <c r="AL59" s="229">
        <f>AL58/(1+'Allgemeine Unternehmensdaten'!$F$25)^AL20</f>
        <v>0</v>
      </c>
      <c r="AM59" s="229">
        <f>AM58/(1+'Allgemeine Unternehmensdaten'!$F$25)^AM20</f>
        <v>0</v>
      </c>
      <c r="AN59" s="229">
        <f>AN58/(1+'Allgemeine Unternehmensdaten'!$F$25)^AN20</f>
        <v>0</v>
      </c>
      <c r="AO59" s="229">
        <f>AO58/(1+'Allgemeine Unternehmensdaten'!$F$25)^AO20</f>
        <v>0</v>
      </c>
      <c r="AP59" s="229">
        <f>AP58/(1+'Allgemeine Unternehmensdaten'!$F$25)^AP20</f>
        <v>0</v>
      </c>
      <c r="AQ59" s="229">
        <f>AQ58/(1+'Allgemeine Unternehmensdaten'!$F$25)^AQ20</f>
        <v>0</v>
      </c>
      <c r="AR59" s="229">
        <f>AR58/(1+'Allgemeine Unternehmensdaten'!$F$25)^AR20</f>
        <v>0</v>
      </c>
      <c r="AS59" s="229">
        <f>AS58/(1+'Allgemeine Unternehmensdaten'!$F$25)^AS20</f>
        <v>0</v>
      </c>
      <c r="AT59" s="229">
        <f>AT58/(1+'Allgemeine Unternehmensdaten'!$F$25)^AT20</f>
        <v>0</v>
      </c>
      <c r="AU59" s="229">
        <f>AU58/(1+'Allgemeine Unternehmensdaten'!$F$25)^AU20</f>
        <v>0</v>
      </c>
      <c r="AV59" s="229">
        <f>AV58/(1+'Allgemeine Unternehmensdaten'!$F$25)^AV20</f>
        <v>0</v>
      </c>
      <c r="AW59" s="229">
        <f>AW58/(1+'Allgemeine Unternehmensdaten'!$F$25)^AW20</f>
        <v>0</v>
      </c>
      <c r="AX59" s="229">
        <f>AX58/(1+'Allgemeine Unternehmensdaten'!$F$25)^AX20</f>
        <v>0</v>
      </c>
      <c r="AY59" s="229">
        <f>AY58/(1+'Allgemeine Unternehmensdaten'!$F$25)^AY20</f>
        <v>0</v>
      </c>
      <c r="AZ59" s="229">
        <f>AZ58/(1+'Allgemeine Unternehmensdaten'!$F$25)^AZ20</f>
        <v>0</v>
      </c>
      <c r="BA59" s="229">
        <f>BA58/(1+'Allgemeine Unternehmensdaten'!$F$25)^BA20</f>
        <v>0</v>
      </c>
      <c r="BB59" s="229">
        <f>BB58/(1+'Allgemeine Unternehmensdaten'!$F$25)^BB20</f>
        <v>0</v>
      </c>
      <c r="BC59" s="229">
        <f>BC58/(1+'Allgemeine Unternehmensdaten'!$F$25)^BC20</f>
        <v>0</v>
      </c>
      <c r="BD59" s="229">
        <f>BD58/(1+'Allgemeine Unternehmensdaten'!$F$25)^BD20</f>
        <v>0</v>
      </c>
      <c r="BE59" s="229">
        <f>BE58/(1+'Allgemeine Unternehmensdaten'!$F$25)^BE20</f>
        <v>0</v>
      </c>
      <c r="BF59" s="229">
        <f>BF58/(1+'Allgemeine Unternehmensdaten'!$F$25)^BF20</f>
        <v>0</v>
      </c>
      <c r="BG59" s="229">
        <f>BG58/(1+'Allgemeine Unternehmensdaten'!$F$25)^BG20</f>
        <v>0</v>
      </c>
      <c r="BH59" s="229">
        <f>BH58/(1+'Allgemeine Unternehmensdaten'!$F$25)^BH20</f>
        <v>0</v>
      </c>
      <c r="BI59" s="229">
        <f>BI58/(1+'Allgemeine Unternehmensdaten'!$F$25)^BI20</f>
        <v>0</v>
      </c>
      <c r="BJ59" s="229">
        <f>BJ58/(1+'Allgemeine Unternehmensdaten'!$F$25)^BJ20</f>
        <v>0</v>
      </c>
      <c r="BK59" s="229">
        <f>BK58/(1+'Allgemeine Unternehmensdaten'!$F$25)^BK20</f>
        <v>0</v>
      </c>
      <c r="BL59" s="229">
        <f>BL58/(1+'Allgemeine Unternehmensdaten'!$F$25)^BL20</f>
        <v>0</v>
      </c>
      <c r="BM59" s="229">
        <f>BM58/(1+'Allgemeine Unternehmensdaten'!$F$25)^BM20</f>
        <v>0</v>
      </c>
      <c r="BN59" s="229">
        <f>BN58/(1+'Allgemeine Unternehmensdaten'!$F$25)^BN20</f>
        <v>0</v>
      </c>
      <c r="BO59" s="229">
        <f>BO58/(1+'Allgemeine Unternehmensdaten'!$F$25)^BO20</f>
        <v>0</v>
      </c>
      <c r="BP59" s="229">
        <f>BP58/(1+'Allgemeine Unternehmensdaten'!$F$25)^BP20</f>
        <v>0</v>
      </c>
      <c r="BQ59" s="229">
        <f>BQ58/(1+'Allgemeine Unternehmensdaten'!$F$25)^BQ20</f>
        <v>0</v>
      </c>
      <c r="BR59" s="229">
        <f>BR58/(1+'Allgemeine Unternehmensdaten'!$F$25)^BR20</f>
        <v>0</v>
      </c>
      <c r="BS59" s="229">
        <f>BS58/(1+'Allgemeine Unternehmensdaten'!$F$25)^BS20</f>
        <v>0</v>
      </c>
      <c r="BT59" s="230">
        <f>BT58/(1+'Allgemeine Unternehmensdaten'!$F$25)^BT20</f>
        <v>0</v>
      </c>
      <c r="BV59" s="232" t="s">
        <v>148</v>
      </c>
      <c r="BW59" s="200">
        <f>BW58/(1+'Allgemeine Unternehmensdaten'!$G$25)^BW20</f>
        <v>34000</v>
      </c>
      <c r="BX59" s="200">
        <f>BX58/(1+'Allgemeine Unternehmensdaten'!$G$25)^BX20</f>
        <v>0</v>
      </c>
      <c r="BY59" s="200">
        <f>BY58/(1+'Allgemeine Unternehmensdaten'!$G$25)^BY20</f>
        <v>0</v>
      </c>
      <c r="BZ59" s="200">
        <f>BZ58/(1+'Allgemeine Unternehmensdaten'!$G$25)^BZ20</f>
        <v>0</v>
      </c>
      <c r="CA59" s="200">
        <f>CA58/(1+'Allgemeine Unternehmensdaten'!$G$25)^CA20</f>
        <v>0</v>
      </c>
      <c r="CB59" s="200">
        <f>CB58/(1+'Allgemeine Unternehmensdaten'!$G$25)^CB20</f>
        <v>0</v>
      </c>
      <c r="CC59" s="200">
        <f>CC58/(1+'Allgemeine Unternehmensdaten'!$G$25)^CC20</f>
        <v>0</v>
      </c>
      <c r="CD59" s="200">
        <f>CD58/(1+'Allgemeine Unternehmensdaten'!$G$25)^CD20</f>
        <v>0</v>
      </c>
      <c r="CE59" s="200">
        <f>CE58/(1+'Allgemeine Unternehmensdaten'!$G$25)^CE20</f>
        <v>0</v>
      </c>
      <c r="CF59" s="200">
        <f>CF58/(1+'Allgemeine Unternehmensdaten'!$G$25)^CF20</f>
        <v>0</v>
      </c>
      <c r="CG59" s="200">
        <f>CG58/(1+'Allgemeine Unternehmensdaten'!$G$25)^CG20</f>
        <v>0</v>
      </c>
      <c r="CH59" s="200">
        <f>CH58/(1+'Allgemeine Unternehmensdaten'!$G$25)^CH20</f>
        <v>0</v>
      </c>
      <c r="CI59" s="200">
        <f>CI58/(1+'Allgemeine Unternehmensdaten'!$G$25)^CI20</f>
        <v>0</v>
      </c>
      <c r="CJ59" s="200">
        <f>CJ58/(1+'Allgemeine Unternehmensdaten'!$G$25)^CJ20</f>
        <v>0</v>
      </c>
      <c r="CK59" s="200">
        <f>CK58/(1+'Allgemeine Unternehmensdaten'!$G$25)^CK20</f>
        <v>0</v>
      </c>
      <c r="CL59" s="200">
        <f>CL58/(1+'Allgemeine Unternehmensdaten'!$G$25)^CL20</f>
        <v>0</v>
      </c>
      <c r="CM59" s="200">
        <f>CM58/(1+'Allgemeine Unternehmensdaten'!$G$25)^CM20</f>
        <v>0</v>
      </c>
      <c r="CN59" s="200">
        <f>CN58/(1+'Allgemeine Unternehmensdaten'!$G$25)^CN20</f>
        <v>0</v>
      </c>
      <c r="CO59" s="200">
        <f>CO58/(1+'Allgemeine Unternehmensdaten'!$G$25)^CO20</f>
        <v>0</v>
      </c>
      <c r="CP59" s="200">
        <f>CP58/(1+'Allgemeine Unternehmensdaten'!$G$25)^CP20</f>
        <v>0</v>
      </c>
      <c r="CQ59" s="200">
        <f>CQ58/(1+'Allgemeine Unternehmensdaten'!$G$25)^CQ20</f>
        <v>0</v>
      </c>
      <c r="CR59" s="200">
        <f>CR58/(1+'Allgemeine Unternehmensdaten'!$G$25)^CR20</f>
        <v>0</v>
      </c>
      <c r="CS59" s="200">
        <f>CS58/(1+'Allgemeine Unternehmensdaten'!$G$25)^CS20</f>
        <v>0</v>
      </c>
      <c r="CT59" s="200">
        <f>CT58/(1+'Allgemeine Unternehmensdaten'!$G$25)^CT20</f>
        <v>0</v>
      </c>
      <c r="CU59" s="200">
        <f>CU58/(1+'Allgemeine Unternehmensdaten'!$G$25)^CU20</f>
        <v>0</v>
      </c>
      <c r="CV59" s="200">
        <f>CV58/(1+'Allgemeine Unternehmensdaten'!$G$25)^CV20</f>
        <v>0</v>
      </c>
      <c r="CW59" s="200">
        <f>CW58/(1+'Allgemeine Unternehmensdaten'!$G$25)^CW20</f>
        <v>0</v>
      </c>
      <c r="CX59" s="200">
        <f>CX58/(1+'Allgemeine Unternehmensdaten'!$G$25)^CX20</f>
        <v>0</v>
      </c>
      <c r="CY59" s="200">
        <f>CY58/(1+'Allgemeine Unternehmensdaten'!$G$25)^CY20</f>
        <v>0</v>
      </c>
      <c r="CZ59" s="200">
        <f>CZ58/(1+'Allgemeine Unternehmensdaten'!$G$25)^CZ20</f>
        <v>0</v>
      </c>
      <c r="DA59" s="200">
        <f>DA58/(1+'Allgemeine Unternehmensdaten'!$G$25)^DA20</f>
        <v>0</v>
      </c>
      <c r="DB59" s="200">
        <f>DB58/(1+'Allgemeine Unternehmensdaten'!$G$25)^DB20</f>
        <v>0</v>
      </c>
      <c r="DC59" s="200">
        <f>DC58/(1+'Allgemeine Unternehmensdaten'!$G$25)^DC20</f>
        <v>0</v>
      </c>
      <c r="DD59" s="200">
        <f>DD58/(1+'Allgemeine Unternehmensdaten'!$G$25)^DD20</f>
        <v>0</v>
      </c>
      <c r="DE59" s="200">
        <f>DE58/(1+'Allgemeine Unternehmensdaten'!$G$25)^DE20</f>
        <v>0</v>
      </c>
      <c r="DF59" s="200">
        <f>DF58/(1+'Allgemeine Unternehmensdaten'!$G$25)^DF20</f>
        <v>0</v>
      </c>
      <c r="DG59" s="200">
        <f>DG58/(1+'Allgemeine Unternehmensdaten'!$G$25)^DG20</f>
        <v>0</v>
      </c>
      <c r="DH59" s="200">
        <f>DH58/(1+'Allgemeine Unternehmensdaten'!$G$25)^DH20</f>
        <v>0</v>
      </c>
      <c r="DI59" s="200">
        <f>DI58/(1+'Allgemeine Unternehmensdaten'!$G$25)^DI20</f>
        <v>0</v>
      </c>
      <c r="DJ59" s="200">
        <f>DJ58/(1+'Allgemeine Unternehmensdaten'!$G$25)^DJ20</f>
        <v>0</v>
      </c>
      <c r="DK59" s="200">
        <f>DK58/(1+'Allgemeine Unternehmensdaten'!$G$25)^DK20</f>
        <v>0</v>
      </c>
      <c r="DL59" s="200">
        <f>DL58/(1+'Allgemeine Unternehmensdaten'!$G$25)^DL20</f>
        <v>0</v>
      </c>
      <c r="DM59" s="200">
        <f>DM58/(1+'Allgemeine Unternehmensdaten'!$G$25)^DM20</f>
        <v>0</v>
      </c>
      <c r="DN59" s="200">
        <f>DN58/(1+'Allgemeine Unternehmensdaten'!$G$25)^DN20</f>
        <v>0</v>
      </c>
      <c r="DO59" s="200">
        <f>DO58/(1+'Allgemeine Unternehmensdaten'!$G$25)^DO20</f>
        <v>0</v>
      </c>
      <c r="DP59" s="200">
        <f>DP58/(1+'Allgemeine Unternehmensdaten'!$G$25)^DP20</f>
        <v>0</v>
      </c>
      <c r="DQ59" s="200">
        <f>DQ58/(1+'Allgemeine Unternehmensdaten'!$G$25)^DQ20</f>
        <v>0</v>
      </c>
      <c r="DR59" s="200">
        <f>DR58/(1+'Allgemeine Unternehmensdaten'!$G$25)^DR20</f>
        <v>0</v>
      </c>
      <c r="DS59" s="200">
        <f>DS58/(1+'Allgemeine Unternehmensdaten'!$G$25)^DS20</f>
        <v>0</v>
      </c>
      <c r="DT59" s="200">
        <f>DT58/(1+'Allgemeine Unternehmensdaten'!$G$25)^DT20</f>
        <v>0</v>
      </c>
      <c r="DU59" s="200">
        <f>DU58/(1+'Allgemeine Unternehmensdaten'!$G$25)^DU20</f>
        <v>0</v>
      </c>
      <c r="DV59" s="200">
        <f>DV58/(1+'Allgemeine Unternehmensdaten'!$G$25)^DV20</f>
        <v>0</v>
      </c>
      <c r="DW59" s="200">
        <f>DW58/(1+'Allgemeine Unternehmensdaten'!$G$25)^DW20</f>
        <v>0</v>
      </c>
      <c r="DX59" s="231">
        <f>DX58/(1+'Allgemeine Unternehmensdaten'!$G$25)^DX20</f>
        <v>0</v>
      </c>
      <c r="DZ59" s="232" t="s">
        <v>148</v>
      </c>
      <c r="EA59" s="200">
        <f>EA58/(1+'Allgemeine Unternehmensdaten'!$E$25)^EA20</f>
        <v>34000</v>
      </c>
      <c r="EB59" s="200">
        <f>EB58/(1+'Allgemeine Unternehmensdaten'!$E$25)^EB20</f>
        <v>0</v>
      </c>
      <c r="EC59" s="200">
        <f>EC58/(1+'Allgemeine Unternehmensdaten'!$E$25)^EC20</f>
        <v>0</v>
      </c>
      <c r="ED59" s="200">
        <f>ED58/(1+'Allgemeine Unternehmensdaten'!$E$25)^ED20</f>
        <v>0</v>
      </c>
      <c r="EE59" s="200">
        <f>EE58/(1+'Allgemeine Unternehmensdaten'!$E$25)^EE20</f>
        <v>0</v>
      </c>
      <c r="EF59" s="200">
        <f>EF58/(1+'Allgemeine Unternehmensdaten'!$E$25)^EF20</f>
        <v>0</v>
      </c>
      <c r="EG59" s="200">
        <f>EG58/(1+'Allgemeine Unternehmensdaten'!$E$25)^EG20</f>
        <v>0</v>
      </c>
      <c r="EH59" s="200">
        <f>EH58/(1+'Allgemeine Unternehmensdaten'!$E$25)^EH20</f>
        <v>0</v>
      </c>
      <c r="EI59" s="200">
        <f>EI58/(1+'Allgemeine Unternehmensdaten'!$E$25)^EI20</f>
        <v>0</v>
      </c>
      <c r="EJ59" s="200">
        <f>EJ58/(1+'Allgemeine Unternehmensdaten'!$E$25)^EJ20</f>
        <v>0</v>
      </c>
      <c r="EK59" s="200">
        <f>EK58/(1+'Allgemeine Unternehmensdaten'!$E$25)^EK20</f>
        <v>0</v>
      </c>
      <c r="EL59" s="200">
        <f>EL58/(1+'Allgemeine Unternehmensdaten'!$E$25)^EL20</f>
        <v>0</v>
      </c>
      <c r="EM59" s="200">
        <f>EM58/(1+'Allgemeine Unternehmensdaten'!$E$25)^EM20</f>
        <v>0</v>
      </c>
      <c r="EN59" s="200">
        <f>EN58/(1+'Allgemeine Unternehmensdaten'!$E$25)^EN20</f>
        <v>0</v>
      </c>
      <c r="EO59" s="200">
        <f>EO58/(1+'Allgemeine Unternehmensdaten'!$E$25)^EO20</f>
        <v>0</v>
      </c>
      <c r="EP59" s="200">
        <f>EP58/(1+'Allgemeine Unternehmensdaten'!$E$25)^EP20</f>
        <v>0</v>
      </c>
      <c r="EQ59" s="200">
        <f>EQ58/(1+'Allgemeine Unternehmensdaten'!$E$25)^EQ20</f>
        <v>0</v>
      </c>
      <c r="ER59" s="200">
        <f>ER58/(1+'Allgemeine Unternehmensdaten'!$E$25)^ER20</f>
        <v>0</v>
      </c>
      <c r="ES59" s="200">
        <f>ES58/(1+'Allgemeine Unternehmensdaten'!$E$25)^ES20</f>
        <v>0</v>
      </c>
      <c r="ET59" s="200">
        <f>ET58/(1+'Allgemeine Unternehmensdaten'!$E$25)^ET20</f>
        <v>0</v>
      </c>
      <c r="EU59" s="200">
        <f>EU58/(1+'Allgemeine Unternehmensdaten'!$E$25)^EU20</f>
        <v>0</v>
      </c>
      <c r="EV59" s="200">
        <f>EV58/(1+'Allgemeine Unternehmensdaten'!$E$25)^EV20</f>
        <v>0</v>
      </c>
      <c r="EW59" s="200">
        <f>EW58/(1+'Allgemeine Unternehmensdaten'!$E$25)^EW20</f>
        <v>0</v>
      </c>
      <c r="EX59" s="200">
        <f>EX58/(1+'Allgemeine Unternehmensdaten'!$E$25)^EX20</f>
        <v>0</v>
      </c>
      <c r="EY59" s="200">
        <f>EY58/(1+'Allgemeine Unternehmensdaten'!$E$25)^EY20</f>
        <v>0</v>
      </c>
      <c r="EZ59" s="200">
        <f>EZ58/(1+'Allgemeine Unternehmensdaten'!$E$25)^EZ20</f>
        <v>0</v>
      </c>
      <c r="FA59" s="200">
        <f>FA58/(1+'Allgemeine Unternehmensdaten'!$E$25)^FA20</f>
        <v>0</v>
      </c>
      <c r="FB59" s="200">
        <f>FB58/(1+'Allgemeine Unternehmensdaten'!$E$25)^FB20</f>
        <v>0</v>
      </c>
      <c r="FC59" s="200">
        <f>FC58/(1+'Allgemeine Unternehmensdaten'!$E$25)^FC20</f>
        <v>0</v>
      </c>
      <c r="FD59" s="200">
        <f>FD58/(1+'Allgemeine Unternehmensdaten'!$E$25)^FD20</f>
        <v>0</v>
      </c>
      <c r="FE59" s="200">
        <f>FE58/(1+'Allgemeine Unternehmensdaten'!$E$25)^FE20</f>
        <v>0</v>
      </c>
      <c r="FF59" s="200">
        <f>FF58/(1+'Allgemeine Unternehmensdaten'!$E$25)^FF20</f>
        <v>0</v>
      </c>
      <c r="FG59" s="200">
        <f>FG58/(1+'Allgemeine Unternehmensdaten'!$E$25)^FG20</f>
        <v>0</v>
      </c>
      <c r="FH59" s="200">
        <f>FH58/(1+'Allgemeine Unternehmensdaten'!$E$25)^FH20</f>
        <v>0</v>
      </c>
      <c r="FI59" s="200">
        <f>FI58/(1+'Allgemeine Unternehmensdaten'!$E$25)^FI20</f>
        <v>0</v>
      </c>
      <c r="FJ59" s="200">
        <f>FJ58/(1+'Allgemeine Unternehmensdaten'!$E$25)^FJ20</f>
        <v>0</v>
      </c>
      <c r="FK59" s="200">
        <f>FK58/(1+'Allgemeine Unternehmensdaten'!$E$25)^FK20</f>
        <v>0</v>
      </c>
      <c r="FL59" s="200">
        <f>FL58/(1+'Allgemeine Unternehmensdaten'!$E$25)^FL20</f>
        <v>0</v>
      </c>
      <c r="FM59" s="200">
        <f>FM58/(1+'Allgemeine Unternehmensdaten'!$E$25)^FM20</f>
        <v>0</v>
      </c>
      <c r="FN59" s="200">
        <f>FN58/(1+'Allgemeine Unternehmensdaten'!$E$25)^FN20</f>
        <v>0</v>
      </c>
      <c r="FO59" s="200">
        <f>FO58/(1+'Allgemeine Unternehmensdaten'!$E$25)^FO20</f>
        <v>0</v>
      </c>
      <c r="FP59" s="200">
        <f>FP58/(1+'Allgemeine Unternehmensdaten'!$E$25)^FP20</f>
        <v>0</v>
      </c>
      <c r="FQ59" s="200">
        <f>FQ58/(1+'Allgemeine Unternehmensdaten'!$E$25)^FQ20</f>
        <v>0</v>
      </c>
      <c r="FR59" s="200">
        <f>FR58/(1+'Allgemeine Unternehmensdaten'!$E$25)^FR20</f>
        <v>0</v>
      </c>
      <c r="FS59" s="200">
        <f>FS58/(1+'Allgemeine Unternehmensdaten'!$E$25)^FS20</f>
        <v>0</v>
      </c>
      <c r="FT59" s="200">
        <f>FT58/(1+'Allgemeine Unternehmensdaten'!$E$25)^FT20</f>
        <v>0</v>
      </c>
      <c r="FU59" s="200">
        <f>FU58/(1+'Allgemeine Unternehmensdaten'!$E$25)^FU20</f>
        <v>0</v>
      </c>
      <c r="FV59" s="200">
        <f>FV58/(1+'Allgemeine Unternehmensdaten'!$E$25)^FV20</f>
        <v>0</v>
      </c>
      <c r="FW59" s="200">
        <f>FW58/(1+'Allgemeine Unternehmensdaten'!$E$25)^FW20</f>
        <v>0</v>
      </c>
      <c r="FX59" s="200">
        <f>FX58/(1+'Allgemeine Unternehmensdaten'!$E$25)^FX20</f>
        <v>0</v>
      </c>
      <c r="FY59" s="200">
        <f>FY58/(1+'Allgemeine Unternehmensdaten'!$E$25)^FY20</f>
        <v>0</v>
      </c>
      <c r="FZ59" s="200">
        <f>FZ58/(1+'Allgemeine Unternehmensdaten'!$E$25)^FZ20</f>
        <v>0</v>
      </c>
      <c r="GA59" s="200">
        <f>GA58/(1+'Allgemeine Unternehmensdaten'!$E$25)^GA20</f>
        <v>0</v>
      </c>
      <c r="GB59" s="231">
        <f>GB58/(1+'Allgemeine Unternehmensdaten'!$E$25)^GB20</f>
        <v>0</v>
      </c>
    </row>
    <row r="60" spans="1:184" ht="17.25" customHeight="1" x14ac:dyDescent="0.5">
      <c r="B60" s="18"/>
      <c r="C60" s="19"/>
      <c r="D60" s="19"/>
      <c r="E60" s="19"/>
      <c r="F60" s="19"/>
      <c r="G60" s="19"/>
      <c r="H60" s="19"/>
      <c r="I60" s="19"/>
      <c r="J60" s="19"/>
      <c r="K60" s="19"/>
      <c r="L60" s="19"/>
      <c r="M60" s="19"/>
      <c r="N60" s="20"/>
      <c r="R60" s="101" t="s">
        <v>149</v>
      </c>
      <c r="S60" s="233">
        <f t="shared" ref="S60:AX60" si="88">S56-S58</f>
        <v>-26152</v>
      </c>
      <c r="T60" s="233">
        <f t="shared" si="88"/>
        <v>8083.4400000000005</v>
      </c>
      <c r="U60" s="233">
        <f t="shared" si="88"/>
        <v>8325.9431999999997</v>
      </c>
      <c r="V60" s="233">
        <f t="shared" si="88"/>
        <v>8575.7214960000001</v>
      </c>
      <c r="W60" s="233">
        <f t="shared" si="88"/>
        <v>8832.9931408799985</v>
      </c>
      <c r="X60" s="233">
        <f t="shared" si="88"/>
        <v>9097.9829351063981</v>
      </c>
      <c r="Y60" s="233">
        <f t="shared" si="88"/>
        <v>9370.9224231595908</v>
      </c>
      <c r="Z60" s="233">
        <f t="shared" si="88"/>
        <v>9652.0500958543798</v>
      </c>
      <c r="AA60" s="233">
        <f t="shared" si="88"/>
        <v>9941.6115987300091</v>
      </c>
      <c r="AB60" s="233">
        <f t="shared" si="88"/>
        <v>10239.859946691911</v>
      </c>
      <c r="AC60" s="233">
        <f t="shared" si="88"/>
        <v>0</v>
      </c>
      <c r="AD60" s="233">
        <f t="shared" si="88"/>
        <v>0</v>
      </c>
      <c r="AE60" s="233">
        <f t="shared" si="88"/>
        <v>0</v>
      </c>
      <c r="AF60" s="233">
        <f t="shared" si="88"/>
        <v>0</v>
      </c>
      <c r="AG60" s="233">
        <f t="shared" si="88"/>
        <v>0</v>
      </c>
      <c r="AH60" s="233">
        <f t="shared" si="88"/>
        <v>0</v>
      </c>
      <c r="AI60" s="233">
        <f t="shared" si="88"/>
        <v>0</v>
      </c>
      <c r="AJ60" s="233">
        <f t="shared" si="88"/>
        <v>0</v>
      </c>
      <c r="AK60" s="233">
        <f t="shared" si="88"/>
        <v>0</v>
      </c>
      <c r="AL60" s="233">
        <f t="shared" si="88"/>
        <v>0</v>
      </c>
      <c r="AM60" s="233">
        <f t="shared" si="88"/>
        <v>0</v>
      </c>
      <c r="AN60" s="233">
        <f t="shared" si="88"/>
        <v>0</v>
      </c>
      <c r="AO60" s="233">
        <f t="shared" si="88"/>
        <v>0</v>
      </c>
      <c r="AP60" s="233">
        <f t="shared" si="88"/>
        <v>0</v>
      </c>
      <c r="AQ60" s="233">
        <f t="shared" si="88"/>
        <v>0</v>
      </c>
      <c r="AR60" s="233">
        <f t="shared" si="88"/>
        <v>0</v>
      </c>
      <c r="AS60" s="233">
        <f t="shared" si="88"/>
        <v>0</v>
      </c>
      <c r="AT60" s="233">
        <f t="shared" si="88"/>
        <v>0</v>
      </c>
      <c r="AU60" s="233">
        <f t="shared" si="88"/>
        <v>0</v>
      </c>
      <c r="AV60" s="233">
        <f t="shared" si="88"/>
        <v>0</v>
      </c>
      <c r="AW60" s="233">
        <f t="shared" si="88"/>
        <v>0</v>
      </c>
      <c r="AX60" s="233">
        <f t="shared" si="88"/>
        <v>0</v>
      </c>
      <c r="AY60" s="233">
        <f t="shared" ref="AY60:BT60" si="89">AY56-AY58</f>
        <v>0</v>
      </c>
      <c r="AZ60" s="233">
        <f t="shared" si="89"/>
        <v>0</v>
      </c>
      <c r="BA60" s="233">
        <f t="shared" si="89"/>
        <v>0</v>
      </c>
      <c r="BB60" s="233">
        <f t="shared" si="89"/>
        <v>0</v>
      </c>
      <c r="BC60" s="233">
        <f t="shared" si="89"/>
        <v>0</v>
      </c>
      <c r="BD60" s="233">
        <f t="shared" si="89"/>
        <v>0</v>
      </c>
      <c r="BE60" s="233">
        <f t="shared" si="89"/>
        <v>0</v>
      </c>
      <c r="BF60" s="233">
        <f t="shared" si="89"/>
        <v>0</v>
      </c>
      <c r="BG60" s="233">
        <f t="shared" si="89"/>
        <v>0</v>
      </c>
      <c r="BH60" s="233">
        <f t="shared" si="89"/>
        <v>0</v>
      </c>
      <c r="BI60" s="233">
        <f t="shared" si="89"/>
        <v>0</v>
      </c>
      <c r="BJ60" s="233">
        <f t="shared" si="89"/>
        <v>0</v>
      </c>
      <c r="BK60" s="233">
        <f t="shared" si="89"/>
        <v>0</v>
      </c>
      <c r="BL60" s="233">
        <f t="shared" si="89"/>
        <v>0</v>
      </c>
      <c r="BM60" s="233">
        <f t="shared" si="89"/>
        <v>0</v>
      </c>
      <c r="BN60" s="233">
        <f t="shared" si="89"/>
        <v>0</v>
      </c>
      <c r="BO60" s="233">
        <f t="shared" si="89"/>
        <v>0</v>
      </c>
      <c r="BP60" s="233">
        <f t="shared" si="89"/>
        <v>0</v>
      </c>
      <c r="BQ60" s="233">
        <f t="shared" si="89"/>
        <v>0</v>
      </c>
      <c r="BR60" s="233">
        <f t="shared" si="89"/>
        <v>0</v>
      </c>
      <c r="BS60" s="233">
        <f t="shared" si="89"/>
        <v>0</v>
      </c>
      <c r="BT60" s="234">
        <f t="shared" si="89"/>
        <v>0</v>
      </c>
      <c r="BV60" s="101" t="s">
        <v>149</v>
      </c>
      <c r="BW60" s="235">
        <f t="shared" ref="BW60:DB60" si="90">BW56-BW58</f>
        <v>-29665.599999999999</v>
      </c>
      <c r="BX60" s="235">
        <f t="shared" si="90"/>
        <v>4507.7759999999998</v>
      </c>
      <c r="BY60" s="235">
        <f t="shared" si="90"/>
        <v>4688.0870400000003</v>
      </c>
      <c r="BZ60" s="235">
        <f t="shared" si="90"/>
        <v>4875.6105215999996</v>
      </c>
      <c r="CA60" s="235">
        <f t="shared" si="90"/>
        <v>5070.6349424640002</v>
      </c>
      <c r="CB60" s="235">
        <f t="shared" si="90"/>
        <v>5273.4603401625609</v>
      </c>
      <c r="CC60" s="235">
        <f t="shared" si="90"/>
        <v>5484.3987537690637</v>
      </c>
      <c r="CD60" s="235">
        <f t="shared" si="90"/>
        <v>5703.7747039198257</v>
      </c>
      <c r="CE60" s="235">
        <f t="shared" si="90"/>
        <v>0</v>
      </c>
      <c r="CF60" s="235">
        <f t="shared" si="90"/>
        <v>0</v>
      </c>
      <c r="CG60" s="235">
        <f t="shared" si="90"/>
        <v>0</v>
      </c>
      <c r="CH60" s="235">
        <f t="shared" si="90"/>
        <v>0</v>
      </c>
      <c r="CI60" s="235">
        <f t="shared" si="90"/>
        <v>0</v>
      </c>
      <c r="CJ60" s="235">
        <f t="shared" si="90"/>
        <v>0</v>
      </c>
      <c r="CK60" s="235">
        <f t="shared" si="90"/>
        <v>0</v>
      </c>
      <c r="CL60" s="235">
        <f t="shared" si="90"/>
        <v>0</v>
      </c>
      <c r="CM60" s="235">
        <f t="shared" si="90"/>
        <v>0</v>
      </c>
      <c r="CN60" s="235">
        <f t="shared" si="90"/>
        <v>0</v>
      </c>
      <c r="CO60" s="235">
        <f t="shared" si="90"/>
        <v>0</v>
      </c>
      <c r="CP60" s="235">
        <f t="shared" si="90"/>
        <v>0</v>
      </c>
      <c r="CQ60" s="235">
        <f t="shared" si="90"/>
        <v>0</v>
      </c>
      <c r="CR60" s="235">
        <f t="shared" si="90"/>
        <v>0</v>
      </c>
      <c r="CS60" s="235">
        <f t="shared" si="90"/>
        <v>0</v>
      </c>
      <c r="CT60" s="235">
        <f t="shared" si="90"/>
        <v>0</v>
      </c>
      <c r="CU60" s="235">
        <f t="shared" si="90"/>
        <v>0</v>
      </c>
      <c r="CV60" s="235">
        <f t="shared" si="90"/>
        <v>0</v>
      </c>
      <c r="CW60" s="235">
        <f t="shared" si="90"/>
        <v>0</v>
      </c>
      <c r="CX60" s="235">
        <f t="shared" si="90"/>
        <v>0</v>
      </c>
      <c r="CY60" s="235">
        <f t="shared" si="90"/>
        <v>0</v>
      </c>
      <c r="CZ60" s="235">
        <f t="shared" si="90"/>
        <v>0</v>
      </c>
      <c r="DA60" s="235">
        <f t="shared" si="90"/>
        <v>0</v>
      </c>
      <c r="DB60" s="235">
        <f t="shared" si="90"/>
        <v>0</v>
      </c>
      <c r="DC60" s="235">
        <f t="shared" ref="DC60:DX60" si="91">DC56-DC58</f>
        <v>0</v>
      </c>
      <c r="DD60" s="235">
        <f t="shared" si="91"/>
        <v>0</v>
      </c>
      <c r="DE60" s="235">
        <f t="shared" si="91"/>
        <v>0</v>
      </c>
      <c r="DF60" s="235">
        <f t="shared" si="91"/>
        <v>0</v>
      </c>
      <c r="DG60" s="235">
        <f t="shared" si="91"/>
        <v>0</v>
      </c>
      <c r="DH60" s="235">
        <f t="shared" si="91"/>
        <v>0</v>
      </c>
      <c r="DI60" s="235">
        <f t="shared" si="91"/>
        <v>0</v>
      </c>
      <c r="DJ60" s="235">
        <f t="shared" si="91"/>
        <v>0</v>
      </c>
      <c r="DK60" s="235">
        <f t="shared" si="91"/>
        <v>0</v>
      </c>
      <c r="DL60" s="235">
        <f t="shared" si="91"/>
        <v>0</v>
      </c>
      <c r="DM60" s="235">
        <f t="shared" si="91"/>
        <v>0</v>
      </c>
      <c r="DN60" s="235">
        <f t="shared" si="91"/>
        <v>0</v>
      </c>
      <c r="DO60" s="235">
        <f t="shared" si="91"/>
        <v>0</v>
      </c>
      <c r="DP60" s="235">
        <f t="shared" si="91"/>
        <v>0</v>
      </c>
      <c r="DQ60" s="235">
        <f t="shared" si="91"/>
        <v>0</v>
      </c>
      <c r="DR60" s="235">
        <f t="shared" si="91"/>
        <v>0</v>
      </c>
      <c r="DS60" s="235">
        <f t="shared" si="91"/>
        <v>0</v>
      </c>
      <c r="DT60" s="235">
        <f t="shared" si="91"/>
        <v>0</v>
      </c>
      <c r="DU60" s="235">
        <f t="shared" si="91"/>
        <v>0</v>
      </c>
      <c r="DV60" s="235">
        <f t="shared" si="91"/>
        <v>0</v>
      </c>
      <c r="DW60" s="235">
        <f t="shared" si="91"/>
        <v>0</v>
      </c>
      <c r="DX60" s="236">
        <f t="shared" si="91"/>
        <v>0</v>
      </c>
      <c r="DZ60" s="101" t="s">
        <v>149</v>
      </c>
      <c r="EA60" s="235">
        <f t="shared" ref="EA60:FF60" si="92">EA56-EA58</f>
        <v>-22300</v>
      </c>
      <c r="EB60" s="235">
        <f t="shared" si="92"/>
        <v>11934</v>
      </c>
      <c r="EC60" s="235">
        <f t="shared" si="92"/>
        <v>12172.68</v>
      </c>
      <c r="ED60" s="235">
        <f t="shared" si="92"/>
        <v>12416.133599999999</v>
      </c>
      <c r="EE60" s="235">
        <f t="shared" si="92"/>
        <v>12664.456271999999</v>
      </c>
      <c r="EF60" s="235">
        <f t="shared" si="92"/>
        <v>12917.74539744</v>
      </c>
      <c r="EG60" s="235">
        <f t="shared" si="92"/>
        <v>13176.100305388802</v>
      </c>
      <c r="EH60" s="235">
        <f t="shared" si="92"/>
        <v>13439.622311496574</v>
      </c>
      <c r="EI60" s="235">
        <f t="shared" si="92"/>
        <v>13708.414757726507</v>
      </c>
      <c r="EJ60" s="235">
        <f t="shared" si="92"/>
        <v>13982.583052881037</v>
      </c>
      <c r="EK60" s="235">
        <f t="shared" si="92"/>
        <v>14262.234713938658</v>
      </c>
      <c r="EL60" s="235">
        <f t="shared" si="92"/>
        <v>14547.479408217428</v>
      </c>
      <c r="EM60" s="235">
        <f t="shared" si="92"/>
        <v>0</v>
      </c>
      <c r="EN60" s="235">
        <f t="shared" si="92"/>
        <v>0</v>
      </c>
      <c r="EO60" s="235">
        <f t="shared" si="92"/>
        <v>0</v>
      </c>
      <c r="EP60" s="235">
        <f t="shared" si="92"/>
        <v>0</v>
      </c>
      <c r="EQ60" s="235">
        <f t="shared" si="92"/>
        <v>0</v>
      </c>
      <c r="ER60" s="235">
        <f t="shared" si="92"/>
        <v>0</v>
      </c>
      <c r="ES60" s="235">
        <f t="shared" si="92"/>
        <v>0</v>
      </c>
      <c r="ET60" s="235">
        <f t="shared" si="92"/>
        <v>0</v>
      </c>
      <c r="EU60" s="235">
        <f t="shared" si="92"/>
        <v>0</v>
      </c>
      <c r="EV60" s="235">
        <f t="shared" si="92"/>
        <v>0</v>
      </c>
      <c r="EW60" s="235">
        <f t="shared" si="92"/>
        <v>0</v>
      </c>
      <c r="EX60" s="235">
        <f t="shared" si="92"/>
        <v>0</v>
      </c>
      <c r="EY60" s="235">
        <f t="shared" si="92"/>
        <v>0</v>
      </c>
      <c r="EZ60" s="235">
        <f t="shared" si="92"/>
        <v>0</v>
      </c>
      <c r="FA60" s="235">
        <f t="shared" si="92"/>
        <v>0</v>
      </c>
      <c r="FB60" s="235">
        <f t="shared" si="92"/>
        <v>0</v>
      </c>
      <c r="FC60" s="235">
        <f t="shared" si="92"/>
        <v>0</v>
      </c>
      <c r="FD60" s="235">
        <f t="shared" si="92"/>
        <v>0</v>
      </c>
      <c r="FE60" s="235">
        <f t="shared" si="92"/>
        <v>0</v>
      </c>
      <c r="FF60" s="235">
        <f t="shared" si="92"/>
        <v>0</v>
      </c>
      <c r="FG60" s="235">
        <f t="shared" ref="FG60:GB60" si="93">FG56-FG58</f>
        <v>0</v>
      </c>
      <c r="FH60" s="235">
        <f t="shared" si="93"/>
        <v>0</v>
      </c>
      <c r="FI60" s="235">
        <f t="shared" si="93"/>
        <v>0</v>
      </c>
      <c r="FJ60" s="235">
        <f t="shared" si="93"/>
        <v>0</v>
      </c>
      <c r="FK60" s="235">
        <f t="shared" si="93"/>
        <v>0</v>
      </c>
      <c r="FL60" s="235">
        <f t="shared" si="93"/>
        <v>0</v>
      </c>
      <c r="FM60" s="235">
        <f t="shared" si="93"/>
        <v>0</v>
      </c>
      <c r="FN60" s="235">
        <f t="shared" si="93"/>
        <v>0</v>
      </c>
      <c r="FO60" s="235">
        <f t="shared" si="93"/>
        <v>0</v>
      </c>
      <c r="FP60" s="235">
        <f t="shared" si="93"/>
        <v>0</v>
      </c>
      <c r="FQ60" s="235">
        <f t="shared" si="93"/>
        <v>0</v>
      </c>
      <c r="FR60" s="235">
        <f t="shared" si="93"/>
        <v>0</v>
      </c>
      <c r="FS60" s="235">
        <f t="shared" si="93"/>
        <v>0</v>
      </c>
      <c r="FT60" s="235">
        <f t="shared" si="93"/>
        <v>0</v>
      </c>
      <c r="FU60" s="235">
        <f t="shared" si="93"/>
        <v>0</v>
      </c>
      <c r="FV60" s="235">
        <f t="shared" si="93"/>
        <v>0</v>
      </c>
      <c r="FW60" s="235">
        <f t="shared" si="93"/>
        <v>0</v>
      </c>
      <c r="FX60" s="235">
        <f t="shared" si="93"/>
        <v>0</v>
      </c>
      <c r="FY60" s="235">
        <f t="shared" si="93"/>
        <v>0</v>
      </c>
      <c r="FZ60" s="235">
        <f t="shared" si="93"/>
        <v>0</v>
      </c>
      <c r="GA60" s="235">
        <f t="shared" si="93"/>
        <v>0</v>
      </c>
      <c r="GB60" s="236">
        <f t="shared" si="93"/>
        <v>0</v>
      </c>
    </row>
    <row r="61" spans="1:184" ht="17.25" customHeight="1" x14ac:dyDescent="0.5">
      <c r="B61" s="18"/>
      <c r="C61" s="19"/>
      <c r="D61" s="19"/>
      <c r="E61" s="19"/>
      <c r="F61" s="19"/>
      <c r="G61" s="19"/>
      <c r="H61" s="19"/>
      <c r="I61" s="19"/>
      <c r="J61" s="19"/>
      <c r="K61" s="19"/>
      <c r="L61" s="19"/>
      <c r="M61" s="19"/>
      <c r="N61" s="20"/>
      <c r="R61" s="101" t="s">
        <v>150</v>
      </c>
      <c r="S61" s="233">
        <f t="shared" ref="S61:AX61" si="94">S57-S59</f>
        <v>-26152</v>
      </c>
      <c r="T61" s="233">
        <f t="shared" si="94"/>
        <v>7772.5384615384619</v>
      </c>
      <c r="U61" s="233">
        <f t="shared" si="94"/>
        <v>7697.8025147928984</v>
      </c>
      <c r="V61" s="233">
        <f t="shared" si="94"/>
        <v>7623.7851829198898</v>
      </c>
      <c r="W61" s="233">
        <f t="shared" si="94"/>
        <v>7550.4795561610426</v>
      </c>
      <c r="X61" s="233">
        <f t="shared" si="94"/>
        <v>7477.8787911979553</v>
      </c>
      <c r="Y61" s="233">
        <f t="shared" si="94"/>
        <v>7405.9761105133603</v>
      </c>
      <c r="Z61" s="233">
        <f t="shared" si="94"/>
        <v>7334.7648017584252</v>
      </c>
      <c r="AA61" s="233">
        <f t="shared" si="94"/>
        <v>7264.2382171261297</v>
      </c>
      <c r="AB61" s="233">
        <f t="shared" si="94"/>
        <v>7194.3897727306876</v>
      </c>
      <c r="AC61" s="233">
        <f t="shared" si="94"/>
        <v>0</v>
      </c>
      <c r="AD61" s="233">
        <f t="shared" si="94"/>
        <v>0</v>
      </c>
      <c r="AE61" s="233">
        <f t="shared" si="94"/>
        <v>0</v>
      </c>
      <c r="AF61" s="233">
        <f t="shared" si="94"/>
        <v>0</v>
      </c>
      <c r="AG61" s="233">
        <f t="shared" si="94"/>
        <v>0</v>
      </c>
      <c r="AH61" s="233">
        <f t="shared" si="94"/>
        <v>0</v>
      </c>
      <c r="AI61" s="233">
        <f t="shared" si="94"/>
        <v>0</v>
      </c>
      <c r="AJ61" s="233">
        <f t="shared" si="94"/>
        <v>0</v>
      </c>
      <c r="AK61" s="233">
        <f t="shared" si="94"/>
        <v>0</v>
      </c>
      <c r="AL61" s="233">
        <f t="shared" si="94"/>
        <v>0</v>
      </c>
      <c r="AM61" s="233">
        <f t="shared" si="94"/>
        <v>0</v>
      </c>
      <c r="AN61" s="233">
        <f t="shared" si="94"/>
        <v>0</v>
      </c>
      <c r="AO61" s="233">
        <f t="shared" si="94"/>
        <v>0</v>
      </c>
      <c r="AP61" s="233">
        <f t="shared" si="94"/>
        <v>0</v>
      </c>
      <c r="AQ61" s="233">
        <f t="shared" si="94"/>
        <v>0</v>
      </c>
      <c r="AR61" s="233">
        <f t="shared" si="94"/>
        <v>0</v>
      </c>
      <c r="AS61" s="233">
        <f t="shared" si="94"/>
        <v>0</v>
      </c>
      <c r="AT61" s="233">
        <f t="shared" si="94"/>
        <v>0</v>
      </c>
      <c r="AU61" s="233">
        <f t="shared" si="94"/>
        <v>0</v>
      </c>
      <c r="AV61" s="233">
        <f t="shared" si="94"/>
        <v>0</v>
      </c>
      <c r="AW61" s="233">
        <f t="shared" si="94"/>
        <v>0</v>
      </c>
      <c r="AX61" s="233">
        <f t="shared" si="94"/>
        <v>0</v>
      </c>
      <c r="AY61" s="233">
        <f t="shared" ref="AY61:BT61" si="95">AY57-AY59</f>
        <v>0</v>
      </c>
      <c r="AZ61" s="233">
        <f t="shared" si="95"/>
        <v>0</v>
      </c>
      <c r="BA61" s="233">
        <f t="shared" si="95"/>
        <v>0</v>
      </c>
      <c r="BB61" s="233">
        <f t="shared" si="95"/>
        <v>0</v>
      </c>
      <c r="BC61" s="233">
        <f t="shared" si="95"/>
        <v>0</v>
      </c>
      <c r="BD61" s="233">
        <f t="shared" si="95"/>
        <v>0</v>
      </c>
      <c r="BE61" s="233">
        <f t="shared" si="95"/>
        <v>0</v>
      </c>
      <c r="BF61" s="233">
        <f t="shared" si="95"/>
        <v>0</v>
      </c>
      <c r="BG61" s="233">
        <f t="shared" si="95"/>
        <v>0</v>
      </c>
      <c r="BH61" s="233">
        <f t="shared" si="95"/>
        <v>0</v>
      </c>
      <c r="BI61" s="233">
        <f t="shared" si="95"/>
        <v>0</v>
      </c>
      <c r="BJ61" s="233">
        <f t="shared" si="95"/>
        <v>0</v>
      </c>
      <c r="BK61" s="233">
        <f t="shared" si="95"/>
        <v>0</v>
      </c>
      <c r="BL61" s="233">
        <f t="shared" si="95"/>
        <v>0</v>
      </c>
      <c r="BM61" s="233">
        <f t="shared" si="95"/>
        <v>0</v>
      </c>
      <c r="BN61" s="233">
        <f t="shared" si="95"/>
        <v>0</v>
      </c>
      <c r="BO61" s="233">
        <f t="shared" si="95"/>
        <v>0</v>
      </c>
      <c r="BP61" s="233">
        <f t="shared" si="95"/>
        <v>0</v>
      </c>
      <c r="BQ61" s="233">
        <f t="shared" si="95"/>
        <v>0</v>
      </c>
      <c r="BR61" s="233">
        <f t="shared" si="95"/>
        <v>0</v>
      </c>
      <c r="BS61" s="233">
        <f t="shared" si="95"/>
        <v>0</v>
      </c>
      <c r="BT61" s="234">
        <f t="shared" si="95"/>
        <v>0</v>
      </c>
      <c r="BV61" s="101" t="s">
        <v>150</v>
      </c>
      <c r="BW61" s="235">
        <f t="shared" ref="BW61:DB61" si="96">BW57-BW59</f>
        <v>-29665.599999999999</v>
      </c>
      <c r="BX61" s="235">
        <f t="shared" si="96"/>
        <v>4252.6188679245279</v>
      </c>
      <c r="BY61" s="235">
        <f t="shared" si="96"/>
        <v>4172.380776076895</v>
      </c>
      <c r="BZ61" s="235">
        <f t="shared" si="96"/>
        <v>4093.6566104905378</v>
      </c>
      <c r="CA61" s="235">
        <f t="shared" si="96"/>
        <v>4016.4178065190185</v>
      </c>
      <c r="CB61" s="235">
        <f t="shared" si="96"/>
        <v>3940.63633847149</v>
      </c>
      <c r="CC61" s="235">
        <f t="shared" si="96"/>
        <v>3866.2847094437261</v>
      </c>
      <c r="CD61" s="235">
        <f t="shared" si="96"/>
        <v>3793.3359413410135</v>
      </c>
      <c r="CE61" s="235">
        <f t="shared" si="96"/>
        <v>0</v>
      </c>
      <c r="CF61" s="235">
        <f t="shared" si="96"/>
        <v>0</v>
      </c>
      <c r="CG61" s="235">
        <f t="shared" si="96"/>
        <v>0</v>
      </c>
      <c r="CH61" s="235">
        <f t="shared" si="96"/>
        <v>0</v>
      </c>
      <c r="CI61" s="235">
        <f t="shared" si="96"/>
        <v>0</v>
      </c>
      <c r="CJ61" s="235">
        <f t="shared" si="96"/>
        <v>0</v>
      </c>
      <c r="CK61" s="235">
        <f t="shared" si="96"/>
        <v>0</v>
      </c>
      <c r="CL61" s="235">
        <f t="shared" si="96"/>
        <v>0</v>
      </c>
      <c r="CM61" s="235">
        <f t="shared" si="96"/>
        <v>0</v>
      </c>
      <c r="CN61" s="235">
        <f t="shared" si="96"/>
        <v>0</v>
      </c>
      <c r="CO61" s="235">
        <f t="shared" si="96"/>
        <v>0</v>
      </c>
      <c r="CP61" s="235">
        <f t="shared" si="96"/>
        <v>0</v>
      </c>
      <c r="CQ61" s="235">
        <f t="shared" si="96"/>
        <v>0</v>
      </c>
      <c r="CR61" s="235">
        <f t="shared" si="96"/>
        <v>0</v>
      </c>
      <c r="CS61" s="235">
        <f t="shared" si="96"/>
        <v>0</v>
      </c>
      <c r="CT61" s="235">
        <f t="shared" si="96"/>
        <v>0</v>
      </c>
      <c r="CU61" s="235">
        <f t="shared" si="96"/>
        <v>0</v>
      </c>
      <c r="CV61" s="235">
        <f t="shared" si="96"/>
        <v>0</v>
      </c>
      <c r="CW61" s="235">
        <f t="shared" si="96"/>
        <v>0</v>
      </c>
      <c r="CX61" s="235">
        <f t="shared" si="96"/>
        <v>0</v>
      </c>
      <c r="CY61" s="235">
        <f t="shared" si="96"/>
        <v>0</v>
      </c>
      <c r="CZ61" s="235">
        <f t="shared" si="96"/>
        <v>0</v>
      </c>
      <c r="DA61" s="235">
        <f t="shared" si="96"/>
        <v>0</v>
      </c>
      <c r="DB61" s="235">
        <f t="shared" si="96"/>
        <v>0</v>
      </c>
      <c r="DC61" s="235">
        <f t="shared" ref="DC61:DX61" si="97">DC57-DC59</f>
        <v>0</v>
      </c>
      <c r="DD61" s="235">
        <f t="shared" si="97"/>
        <v>0</v>
      </c>
      <c r="DE61" s="235">
        <f t="shared" si="97"/>
        <v>0</v>
      </c>
      <c r="DF61" s="235">
        <f t="shared" si="97"/>
        <v>0</v>
      </c>
      <c r="DG61" s="235">
        <f t="shared" si="97"/>
        <v>0</v>
      </c>
      <c r="DH61" s="235">
        <f t="shared" si="97"/>
        <v>0</v>
      </c>
      <c r="DI61" s="235">
        <f t="shared" si="97"/>
        <v>0</v>
      </c>
      <c r="DJ61" s="235">
        <f t="shared" si="97"/>
        <v>0</v>
      </c>
      <c r="DK61" s="235">
        <f t="shared" si="97"/>
        <v>0</v>
      </c>
      <c r="DL61" s="235">
        <f t="shared" si="97"/>
        <v>0</v>
      </c>
      <c r="DM61" s="235">
        <f t="shared" si="97"/>
        <v>0</v>
      </c>
      <c r="DN61" s="235">
        <f t="shared" si="97"/>
        <v>0</v>
      </c>
      <c r="DO61" s="235">
        <f t="shared" si="97"/>
        <v>0</v>
      </c>
      <c r="DP61" s="235">
        <f t="shared" si="97"/>
        <v>0</v>
      </c>
      <c r="DQ61" s="235">
        <f t="shared" si="97"/>
        <v>0</v>
      </c>
      <c r="DR61" s="235">
        <f t="shared" si="97"/>
        <v>0</v>
      </c>
      <c r="DS61" s="235">
        <f t="shared" si="97"/>
        <v>0</v>
      </c>
      <c r="DT61" s="235">
        <f t="shared" si="97"/>
        <v>0</v>
      </c>
      <c r="DU61" s="235">
        <f t="shared" si="97"/>
        <v>0</v>
      </c>
      <c r="DV61" s="235">
        <f t="shared" si="97"/>
        <v>0</v>
      </c>
      <c r="DW61" s="235">
        <f t="shared" si="97"/>
        <v>0</v>
      </c>
      <c r="DX61" s="236">
        <f t="shared" si="97"/>
        <v>0</v>
      </c>
      <c r="DZ61" s="101" t="s">
        <v>150</v>
      </c>
      <c r="EA61" s="235">
        <f t="shared" ref="EA61:FF61" si="98">EA57-EA59</f>
        <v>-22300</v>
      </c>
      <c r="EB61" s="235">
        <f t="shared" si="98"/>
        <v>11586.407766990291</v>
      </c>
      <c r="EC61" s="235">
        <f t="shared" si="98"/>
        <v>11473.91837119427</v>
      </c>
      <c r="ED61" s="235">
        <f t="shared" si="98"/>
        <v>11362.521105454518</v>
      </c>
      <c r="EE61" s="235">
        <f t="shared" si="98"/>
        <v>11252.205366566612</v>
      </c>
      <c r="EF61" s="235">
        <f t="shared" si="98"/>
        <v>11142.960654269849</v>
      </c>
      <c r="EG61" s="235">
        <f t="shared" si="98"/>
        <v>11034.776570247812</v>
      </c>
      <c r="EH61" s="235">
        <f t="shared" si="98"/>
        <v>10927.642817138607</v>
      </c>
      <c r="EI61" s="235">
        <f t="shared" si="98"/>
        <v>10821.549197554739</v>
      </c>
      <c r="EJ61" s="235">
        <f t="shared" si="98"/>
        <v>10716.48561311246</v>
      </c>
      <c r="EK61" s="235">
        <f t="shared" si="98"/>
        <v>10612.442063470591</v>
      </c>
      <c r="EL61" s="235">
        <f t="shared" si="98"/>
        <v>10509.408645378642</v>
      </c>
      <c r="EM61" s="235">
        <f t="shared" si="98"/>
        <v>0</v>
      </c>
      <c r="EN61" s="235">
        <f t="shared" si="98"/>
        <v>0</v>
      </c>
      <c r="EO61" s="235">
        <f t="shared" si="98"/>
        <v>0</v>
      </c>
      <c r="EP61" s="235">
        <f t="shared" si="98"/>
        <v>0</v>
      </c>
      <c r="EQ61" s="235">
        <f t="shared" si="98"/>
        <v>0</v>
      </c>
      <c r="ER61" s="235">
        <f t="shared" si="98"/>
        <v>0</v>
      </c>
      <c r="ES61" s="235">
        <f t="shared" si="98"/>
        <v>0</v>
      </c>
      <c r="ET61" s="235">
        <f t="shared" si="98"/>
        <v>0</v>
      </c>
      <c r="EU61" s="235">
        <f t="shared" si="98"/>
        <v>0</v>
      </c>
      <c r="EV61" s="235">
        <f t="shared" si="98"/>
        <v>0</v>
      </c>
      <c r="EW61" s="235">
        <f t="shared" si="98"/>
        <v>0</v>
      </c>
      <c r="EX61" s="235">
        <f t="shared" si="98"/>
        <v>0</v>
      </c>
      <c r="EY61" s="235">
        <f t="shared" si="98"/>
        <v>0</v>
      </c>
      <c r="EZ61" s="235">
        <f t="shared" si="98"/>
        <v>0</v>
      </c>
      <c r="FA61" s="235">
        <f t="shared" si="98"/>
        <v>0</v>
      </c>
      <c r="FB61" s="235">
        <f t="shared" si="98"/>
        <v>0</v>
      </c>
      <c r="FC61" s="235">
        <f t="shared" si="98"/>
        <v>0</v>
      </c>
      <c r="FD61" s="235">
        <f t="shared" si="98"/>
        <v>0</v>
      </c>
      <c r="FE61" s="235">
        <f t="shared" si="98"/>
        <v>0</v>
      </c>
      <c r="FF61" s="235">
        <f t="shared" si="98"/>
        <v>0</v>
      </c>
      <c r="FG61" s="235">
        <f t="shared" ref="FG61:GB61" si="99">FG57-FG59</f>
        <v>0</v>
      </c>
      <c r="FH61" s="235">
        <f t="shared" si="99"/>
        <v>0</v>
      </c>
      <c r="FI61" s="235">
        <f t="shared" si="99"/>
        <v>0</v>
      </c>
      <c r="FJ61" s="235">
        <f t="shared" si="99"/>
        <v>0</v>
      </c>
      <c r="FK61" s="235">
        <f t="shared" si="99"/>
        <v>0</v>
      </c>
      <c r="FL61" s="235">
        <f t="shared" si="99"/>
        <v>0</v>
      </c>
      <c r="FM61" s="235">
        <f t="shared" si="99"/>
        <v>0</v>
      </c>
      <c r="FN61" s="235">
        <f t="shared" si="99"/>
        <v>0</v>
      </c>
      <c r="FO61" s="235">
        <f t="shared" si="99"/>
        <v>0</v>
      </c>
      <c r="FP61" s="235">
        <f t="shared" si="99"/>
        <v>0</v>
      </c>
      <c r="FQ61" s="235">
        <f t="shared" si="99"/>
        <v>0</v>
      </c>
      <c r="FR61" s="235">
        <f t="shared" si="99"/>
        <v>0</v>
      </c>
      <c r="FS61" s="235">
        <f t="shared" si="99"/>
        <v>0</v>
      </c>
      <c r="FT61" s="235">
        <f t="shared" si="99"/>
        <v>0</v>
      </c>
      <c r="FU61" s="235">
        <f t="shared" si="99"/>
        <v>0</v>
      </c>
      <c r="FV61" s="235">
        <f t="shared" si="99"/>
        <v>0</v>
      </c>
      <c r="FW61" s="235">
        <f t="shared" si="99"/>
        <v>0</v>
      </c>
      <c r="FX61" s="235">
        <f t="shared" si="99"/>
        <v>0</v>
      </c>
      <c r="FY61" s="235">
        <f t="shared" si="99"/>
        <v>0</v>
      </c>
      <c r="FZ61" s="235">
        <f t="shared" si="99"/>
        <v>0</v>
      </c>
      <c r="GA61" s="235">
        <f t="shared" si="99"/>
        <v>0</v>
      </c>
      <c r="GB61" s="236">
        <f t="shared" si="99"/>
        <v>0</v>
      </c>
    </row>
    <row r="62" spans="1:184" ht="18" customHeight="1" x14ac:dyDescent="0.5">
      <c r="B62" s="18"/>
      <c r="C62" s="19"/>
      <c r="D62" s="19"/>
      <c r="E62" s="19"/>
      <c r="F62" s="19"/>
      <c r="G62" s="19"/>
      <c r="H62" s="19"/>
      <c r="I62" s="19"/>
      <c r="J62" s="19"/>
      <c r="K62" s="19"/>
      <c r="L62" s="19"/>
      <c r="M62" s="19"/>
      <c r="N62" s="20"/>
      <c r="R62" s="114" t="s">
        <v>151</v>
      </c>
      <c r="S62" s="237">
        <f t="shared" ref="S62:AX62" si="100">SUMIFS($S$61:$BT$61,$S$20:$BT$20,"&lt;="&amp;S20)</f>
        <v>-26152</v>
      </c>
      <c r="T62" s="237">
        <f t="shared" si="100"/>
        <v>-18379.461538461539</v>
      </c>
      <c r="U62" s="237">
        <f t="shared" si="100"/>
        <v>-10681.659023668641</v>
      </c>
      <c r="V62" s="237">
        <f t="shared" si="100"/>
        <v>-3057.8738407487508</v>
      </c>
      <c r="W62" s="237">
        <f t="shared" si="100"/>
        <v>4492.6057154122918</v>
      </c>
      <c r="X62" s="237">
        <f t="shared" si="100"/>
        <v>11970.484506610246</v>
      </c>
      <c r="Y62" s="237">
        <f t="shared" si="100"/>
        <v>19376.460617123608</v>
      </c>
      <c r="Z62" s="237">
        <f t="shared" si="100"/>
        <v>26711.225418882033</v>
      </c>
      <c r="AA62" s="237">
        <f t="shared" si="100"/>
        <v>33975.463636008164</v>
      </c>
      <c r="AB62" s="237">
        <f t="shared" si="100"/>
        <v>41169.853408738854</v>
      </c>
      <c r="AC62" s="237">
        <f t="shared" si="100"/>
        <v>41169.853408738854</v>
      </c>
      <c r="AD62" s="237">
        <f t="shared" si="100"/>
        <v>41169.853408738854</v>
      </c>
      <c r="AE62" s="237">
        <f t="shared" si="100"/>
        <v>41169.853408738854</v>
      </c>
      <c r="AF62" s="237">
        <f t="shared" si="100"/>
        <v>41169.853408738854</v>
      </c>
      <c r="AG62" s="237">
        <f t="shared" si="100"/>
        <v>41169.853408738854</v>
      </c>
      <c r="AH62" s="237">
        <f t="shared" si="100"/>
        <v>41169.853408738854</v>
      </c>
      <c r="AI62" s="237">
        <f t="shared" si="100"/>
        <v>41169.853408738854</v>
      </c>
      <c r="AJ62" s="237">
        <f t="shared" si="100"/>
        <v>41169.853408738854</v>
      </c>
      <c r="AK62" s="237">
        <f t="shared" si="100"/>
        <v>41169.853408738854</v>
      </c>
      <c r="AL62" s="237">
        <f t="shared" si="100"/>
        <v>41169.853408738854</v>
      </c>
      <c r="AM62" s="237">
        <f t="shared" si="100"/>
        <v>41169.853408738854</v>
      </c>
      <c r="AN62" s="237">
        <f t="shared" si="100"/>
        <v>41169.853408738854</v>
      </c>
      <c r="AO62" s="237">
        <f t="shared" si="100"/>
        <v>41169.853408738854</v>
      </c>
      <c r="AP62" s="237">
        <f t="shared" si="100"/>
        <v>41169.853408738854</v>
      </c>
      <c r="AQ62" s="237">
        <f t="shared" si="100"/>
        <v>41169.853408738854</v>
      </c>
      <c r="AR62" s="237">
        <f t="shared" si="100"/>
        <v>41169.853408738854</v>
      </c>
      <c r="AS62" s="237">
        <f t="shared" si="100"/>
        <v>41169.853408738854</v>
      </c>
      <c r="AT62" s="237">
        <f t="shared" si="100"/>
        <v>41169.853408738854</v>
      </c>
      <c r="AU62" s="237">
        <f t="shared" si="100"/>
        <v>41169.853408738854</v>
      </c>
      <c r="AV62" s="237">
        <f t="shared" si="100"/>
        <v>41169.853408738854</v>
      </c>
      <c r="AW62" s="237">
        <f t="shared" si="100"/>
        <v>41169.853408738854</v>
      </c>
      <c r="AX62" s="237">
        <f t="shared" si="100"/>
        <v>41169.853408738854</v>
      </c>
      <c r="AY62" s="237">
        <f t="shared" ref="AY62:BT62" si="101">SUMIFS($S$61:$BT$61,$S$20:$BT$20,"&lt;="&amp;AY20)</f>
        <v>41169.853408738854</v>
      </c>
      <c r="AZ62" s="237">
        <f t="shared" si="101"/>
        <v>41169.853408738854</v>
      </c>
      <c r="BA62" s="237">
        <f t="shared" si="101"/>
        <v>41169.853408738854</v>
      </c>
      <c r="BB62" s="237">
        <f t="shared" si="101"/>
        <v>41169.853408738854</v>
      </c>
      <c r="BC62" s="237">
        <f t="shared" si="101"/>
        <v>41169.853408738854</v>
      </c>
      <c r="BD62" s="237">
        <f t="shared" si="101"/>
        <v>41169.853408738854</v>
      </c>
      <c r="BE62" s="237">
        <f t="shared" si="101"/>
        <v>41169.853408738854</v>
      </c>
      <c r="BF62" s="237">
        <f t="shared" si="101"/>
        <v>41169.853408738854</v>
      </c>
      <c r="BG62" s="237">
        <f t="shared" si="101"/>
        <v>41169.853408738854</v>
      </c>
      <c r="BH62" s="237">
        <f t="shared" si="101"/>
        <v>41169.853408738854</v>
      </c>
      <c r="BI62" s="237">
        <f t="shared" si="101"/>
        <v>41169.853408738854</v>
      </c>
      <c r="BJ62" s="237">
        <f t="shared" si="101"/>
        <v>41169.853408738854</v>
      </c>
      <c r="BK62" s="237">
        <f t="shared" si="101"/>
        <v>41169.853408738854</v>
      </c>
      <c r="BL62" s="237">
        <f t="shared" si="101"/>
        <v>41169.853408738854</v>
      </c>
      <c r="BM62" s="237">
        <f t="shared" si="101"/>
        <v>41169.853408738854</v>
      </c>
      <c r="BN62" s="237">
        <f t="shared" si="101"/>
        <v>41169.853408738854</v>
      </c>
      <c r="BO62" s="237">
        <f t="shared" si="101"/>
        <v>41169.853408738854</v>
      </c>
      <c r="BP62" s="237">
        <f t="shared" si="101"/>
        <v>41169.853408738854</v>
      </c>
      <c r="BQ62" s="237">
        <f t="shared" si="101"/>
        <v>41169.853408738854</v>
      </c>
      <c r="BR62" s="237">
        <f t="shared" si="101"/>
        <v>41169.853408738854</v>
      </c>
      <c r="BS62" s="237">
        <f t="shared" si="101"/>
        <v>41169.853408738854</v>
      </c>
      <c r="BT62" s="238">
        <f t="shared" si="101"/>
        <v>41169.853408738854</v>
      </c>
      <c r="BV62" s="114" t="s">
        <v>151</v>
      </c>
      <c r="BW62" s="239">
        <f t="shared" ref="BW62:DB62" si="102">SUMIFS($BW$61:$DX$61,$S$20:$BT$20,"&lt;="&amp;BW20)</f>
        <v>-29665.599999999999</v>
      </c>
      <c r="BX62" s="239">
        <f t="shared" si="102"/>
        <v>-25412.981132075471</v>
      </c>
      <c r="BY62" s="239">
        <f t="shared" si="102"/>
        <v>-21240.600355998577</v>
      </c>
      <c r="BZ62" s="239">
        <f t="shared" si="102"/>
        <v>-17146.943745508041</v>
      </c>
      <c r="CA62" s="239">
        <f t="shared" si="102"/>
        <v>-13130.525938989022</v>
      </c>
      <c r="CB62" s="239">
        <f t="shared" si="102"/>
        <v>-9189.889600517532</v>
      </c>
      <c r="CC62" s="239">
        <f t="shared" si="102"/>
        <v>-5323.6048910738064</v>
      </c>
      <c r="CD62" s="239">
        <f t="shared" si="102"/>
        <v>-1530.2689497327929</v>
      </c>
      <c r="CE62" s="239">
        <f t="shared" si="102"/>
        <v>-1530.2689497327929</v>
      </c>
      <c r="CF62" s="239">
        <f t="shared" si="102"/>
        <v>-1530.2689497327929</v>
      </c>
      <c r="CG62" s="239">
        <f t="shared" si="102"/>
        <v>-1530.2689497327929</v>
      </c>
      <c r="CH62" s="239">
        <f t="shared" si="102"/>
        <v>-1530.2689497327929</v>
      </c>
      <c r="CI62" s="239">
        <f t="shared" si="102"/>
        <v>-1530.2689497327929</v>
      </c>
      <c r="CJ62" s="239">
        <f t="shared" si="102"/>
        <v>-1530.2689497327929</v>
      </c>
      <c r="CK62" s="239">
        <f t="shared" si="102"/>
        <v>-1530.2689497327929</v>
      </c>
      <c r="CL62" s="239">
        <f t="shared" si="102"/>
        <v>-1530.2689497327929</v>
      </c>
      <c r="CM62" s="239">
        <f t="shared" si="102"/>
        <v>-1530.2689497327929</v>
      </c>
      <c r="CN62" s="239">
        <f t="shared" si="102"/>
        <v>-1530.2689497327929</v>
      </c>
      <c r="CO62" s="239">
        <f t="shared" si="102"/>
        <v>-1530.2689497327929</v>
      </c>
      <c r="CP62" s="239">
        <f t="shared" si="102"/>
        <v>-1530.2689497327929</v>
      </c>
      <c r="CQ62" s="239">
        <f t="shared" si="102"/>
        <v>-1530.2689497327929</v>
      </c>
      <c r="CR62" s="239">
        <f t="shared" si="102"/>
        <v>-1530.2689497327929</v>
      </c>
      <c r="CS62" s="239">
        <f t="shared" si="102"/>
        <v>-1530.2689497327929</v>
      </c>
      <c r="CT62" s="239">
        <f t="shared" si="102"/>
        <v>-1530.2689497327929</v>
      </c>
      <c r="CU62" s="239">
        <f t="shared" si="102"/>
        <v>-1530.2689497327929</v>
      </c>
      <c r="CV62" s="239">
        <f t="shared" si="102"/>
        <v>-1530.2689497327929</v>
      </c>
      <c r="CW62" s="239">
        <f t="shared" si="102"/>
        <v>-1530.2689497327929</v>
      </c>
      <c r="CX62" s="239">
        <f t="shared" si="102"/>
        <v>-1530.2689497327929</v>
      </c>
      <c r="CY62" s="239">
        <f t="shared" si="102"/>
        <v>-1530.2689497327929</v>
      </c>
      <c r="CZ62" s="239">
        <f t="shared" si="102"/>
        <v>-1530.2689497327929</v>
      </c>
      <c r="DA62" s="239">
        <f t="shared" si="102"/>
        <v>-1530.2689497327929</v>
      </c>
      <c r="DB62" s="239">
        <f t="shared" si="102"/>
        <v>-1530.2689497327929</v>
      </c>
      <c r="DC62" s="239">
        <f t="shared" ref="DC62:DX62" si="103">SUMIFS($BW$61:$DX$61,$S$20:$BT$20,"&lt;="&amp;DC20)</f>
        <v>-1530.2689497327929</v>
      </c>
      <c r="DD62" s="239">
        <f t="shared" si="103"/>
        <v>-1530.2689497327929</v>
      </c>
      <c r="DE62" s="239">
        <f t="shared" si="103"/>
        <v>-1530.2689497327929</v>
      </c>
      <c r="DF62" s="239">
        <f t="shared" si="103"/>
        <v>-1530.2689497327929</v>
      </c>
      <c r="DG62" s="239">
        <f t="shared" si="103"/>
        <v>-1530.2689497327929</v>
      </c>
      <c r="DH62" s="239">
        <f t="shared" si="103"/>
        <v>-1530.2689497327929</v>
      </c>
      <c r="DI62" s="239">
        <f t="shared" si="103"/>
        <v>-1530.2689497327929</v>
      </c>
      <c r="DJ62" s="239">
        <f t="shared" si="103"/>
        <v>-1530.2689497327929</v>
      </c>
      <c r="DK62" s="239">
        <f t="shared" si="103"/>
        <v>-1530.2689497327929</v>
      </c>
      <c r="DL62" s="239">
        <f t="shared" si="103"/>
        <v>-1530.2689497327929</v>
      </c>
      <c r="DM62" s="239">
        <f t="shared" si="103"/>
        <v>-1530.2689497327929</v>
      </c>
      <c r="DN62" s="239">
        <f t="shared" si="103"/>
        <v>-1530.2689497327929</v>
      </c>
      <c r="DO62" s="239">
        <f t="shared" si="103"/>
        <v>-1530.2689497327929</v>
      </c>
      <c r="DP62" s="239">
        <f t="shared" si="103"/>
        <v>-1530.2689497327929</v>
      </c>
      <c r="DQ62" s="239">
        <f t="shared" si="103"/>
        <v>-1530.2689497327929</v>
      </c>
      <c r="DR62" s="239">
        <f t="shared" si="103"/>
        <v>-1530.2689497327929</v>
      </c>
      <c r="DS62" s="239">
        <f t="shared" si="103"/>
        <v>-1530.2689497327929</v>
      </c>
      <c r="DT62" s="239">
        <f t="shared" si="103"/>
        <v>-1530.2689497327929</v>
      </c>
      <c r="DU62" s="239">
        <f t="shared" si="103"/>
        <v>-1530.2689497327929</v>
      </c>
      <c r="DV62" s="239">
        <f t="shared" si="103"/>
        <v>-1530.2689497327929</v>
      </c>
      <c r="DW62" s="239">
        <f t="shared" si="103"/>
        <v>-1530.2689497327929</v>
      </c>
      <c r="DX62" s="240">
        <f t="shared" si="103"/>
        <v>-1530.2689497327929</v>
      </c>
      <c r="DZ62" s="114" t="s">
        <v>151</v>
      </c>
      <c r="EA62" s="239">
        <f t="shared" ref="EA62:FF62" si="104">SUMIFS($EA$61:$GB$61,$EA$20:$GB$20,"&lt;="&amp;EA20)</f>
        <v>-22300</v>
      </c>
      <c r="EB62" s="239">
        <f t="shared" si="104"/>
        <v>-10713.592233009709</v>
      </c>
      <c r="EC62" s="239">
        <f t="shared" si="104"/>
        <v>760.32613818456048</v>
      </c>
      <c r="ED62" s="239">
        <f t="shared" si="104"/>
        <v>12122.847243639078</v>
      </c>
      <c r="EE62" s="239">
        <f t="shared" si="104"/>
        <v>23375.05261020569</v>
      </c>
      <c r="EF62" s="239">
        <f t="shared" si="104"/>
        <v>34518.013264475536</v>
      </c>
      <c r="EG62" s="239">
        <f t="shared" si="104"/>
        <v>45552.789834723349</v>
      </c>
      <c r="EH62" s="239">
        <f t="shared" si="104"/>
        <v>56480.432651861956</v>
      </c>
      <c r="EI62" s="239">
        <f t="shared" si="104"/>
        <v>67301.981849416698</v>
      </c>
      <c r="EJ62" s="239">
        <f t="shared" si="104"/>
        <v>78018.467462529152</v>
      </c>
      <c r="EK62" s="239">
        <f t="shared" si="104"/>
        <v>88630.909525999741</v>
      </c>
      <c r="EL62" s="239">
        <f t="shared" si="104"/>
        <v>99140.318171378385</v>
      </c>
      <c r="EM62" s="239">
        <f t="shared" si="104"/>
        <v>99140.318171378385</v>
      </c>
      <c r="EN62" s="239">
        <f t="shared" si="104"/>
        <v>99140.318171378385</v>
      </c>
      <c r="EO62" s="239">
        <f t="shared" si="104"/>
        <v>99140.318171378385</v>
      </c>
      <c r="EP62" s="239">
        <f t="shared" si="104"/>
        <v>99140.318171378385</v>
      </c>
      <c r="EQ62" s="239">
        <f t="shared" si="104"/>
        <v>99140.318171378385</v>
      </c>
      <c r="ER62" s="239">
        <f t="shared" si="104"/>
        <v>99140.318171378385</v>
      </c>
      <c r="ES62" s="239">
        <f t="shared" si="104"/>
        <v>99140.318171378385</v>
      </c>
      <c r="ET62" s="239">
        <f t="shared" si="104"/>
        <v>99140.318171378385</v>
      </c>
      <c r="EU62" s="239">
        <f t="shared" si="104"/>
        <v>99140.318171378385</v>
      </c>
      <c r="EV62" s="239">
        <f t="shared" si="104"/>
        <v>99140.318171378385</v>
      </c>
      <c r="EW62" s="239">
        <f t="shared" si="104"/>
        <v>99140.318171378385</v>
      </c>
      <c r="EX62" s="239">
        <f t="shared" si="104"/>
        <v>99140.318171378385</v>
      </c>
      <c r="EY62" s="239">
        <f t="shared" si="104"/>
        <v>99140.318171378385</v>
      </c>
      <c r="EZ62" s="239">
        <f t="shared" si="104"/>
        <v>99140.318171378385</v>
      </c>
      <c r="FA62" s="239">
        <f t="shared" si="104"/>
        <v>99140.318171378385</v>
      </c>
      <c r="FB62" s="239">
        <f t="shared" si="104"/>
        <v>99140.318171378385</v>
      </c>
      <c r="FC62" s="239">
        <f t="shared" si="104"/>
        <v>99140.318171378385</v>
      </c>
      <c r="FD62" s="239">
        <f t="shared" si="104"/>
        <v>99140.318171378385</v>
      </c>
      <c r="FE62" s="239">
        <f t="shared" si="104"/>
        <v>99140.318171378385</v>
      </c>
      <c r="FF62" s="239">
        <f t="shared" si="104"/>
        <v>99140.318171378385</v>
      </c>
      <c r="FG62" s="239">
        <f t="shared" ref="FG62:GB62" si="105">SUMIFS($EA$61:$GB$61,$EA$20:$GB$20,"&lt;="&amp;FG20)</f>
        <v>99140.318171378385</v>
      </c>
      <c r="FH62" s="239">
        <f t="shared" si="105"/>
        <v>99140.318171378385</v>
      </c>
      <c r="FI62" s="239">
        <f t="shared" si="105"/>
        <v>99140.318171378385</v>
      </c>
      <c r="FJ62" s="239">
        <f t="shared" si="105"/>
        <v>99140.318171378385</v>
      </c>
      <c r="FK62" s="239">
        <f t="shared" si="105"/>
        <v>99140.318171378385</v>
      </c>
      <c r="FL62" s="239">
        <f t="shared" si="105"/>
        <v>99140.318171378385</v>
      </c>
      <c r="FM62" s="239">
        <f t="shared" si="105"/>
        <v>99140.318171378385</v>
      </c>
      <c r="FN62" s="239">
        <f t="shared" si="105"/>
        <v>99140.318171378385</v>
      </c>
      <c r="FO62" s="239">
        <f t="shared" si="105"/>
        <v>99140.318171378385</v>
      </c>
      <c r="FP62" s="239">
        <f t="shared" si="105"/>
        <v>99140.318171378385</v>
      </c>
      <c r="FQ62" s="239">
        <f t="shared" si="105"/>
        <v>99140.318171378385</v>
      </c>
      <c r="FR62" s="239">
        <f t="shared" si="105"/>
        <v>99140.318171378385</v>
      </c>
      <c r="FS62" s="239">
        <f t="shared" si="105"/>
        <v>99140.318171378385</v>
      </c>
      <c r="FT62" s="239">
        <f t="shared" si="105"/>
        <v>99140.318171378385</v>
      </c>
      <c r="FU62" s="239">
        <f t="shared" si="105"/>
        <v>99140.318171378385</v>
      </c>
      <c r="FV62" s="239">
        <f t="shared" si="105"/>
        <v>99140.318171378385</v>
      </c>
      <c r="FW62" s="239">
        <f t="shared" si="105"/>
        <v>99140.318171378385</v>
      </c>
      <c r="FX62" s="239">
        <f t="shared" si="105"/>
        <v>99140.318171378385</v>
      </c>
      <c r="FY62" s="239">
        <f t="shared" si="105"/>
        <v>99140.318171378385</v>
      </c>
      <c r="FZ62" s="239">
        <f t="shared" si="105"/>
        <v>99140.318171378385</v>
      </c>
      <c r="GA62" s="239">
        <f t="shared" si="105"/>
        <v>99140.318171378385</v>
      </c>
      <c r="GB62" s="240">
        <f t="shared" si="105"/>
        <v>99140.318171378385</v>
      </c>
    </row>
    <row r="63" spans="1:184" ht="17.25" customHeight="1" x14ac:dyDescent="0.5">
      <c r="B63" s="18"/>
      <c r="C63" s="19"/>
      <c r="D63" s="19"/>
      <c r="E63" s="19"/>
      <c r="F63" s="19"/>
      <c r="G63" s="19"/>
      <c r="H63" s="19"/>
      <c r="I63" s="19"/>
      <c r="J63" s="19"/>
      <c r="K63" s="19"/>
      <c r="L63" s="19"/>
      <c r="M63" s="19"/>
      <c r="N63" s="20"/>
      <c r="R63" s="293" t="s">
        <v>236</v>
      </c>
      <c r="S63">
        <f>BW62</f>
        <v>-29665.599999999999</v>
      </c>
      <c r="T63">
        <f t="shared" ref="T63:BT63" si="106">BX62</f>
        <v>-25412.981132075471</v>
      </c>
      <c r="U63">
        <f t="shared" si="106"/>
        <v>-21240.600355998577</v>
      </c>
      <c r="V63">
        <f t="shared" si="106"/>
        <v>-17146.943745508041</v>
      </c>
      <c r="W63">
        <f t="shared" si="106"/>
        <v>-13130.525938989022</v>
      </c>
      <c r="X63">
        <f t="shared" si="106"/>
        <v>-9189.889600517532</v>
      </c>
      <c r="Y63">
        <f t="shared" si="106"/>
        <v>-5323.6048910738064</v>
      </c>
      <c r="Z63">
        <f t="shared" si="106"/>
        <v>-1530.2689497327929</v>
      </c>
      <c r="AA63">
        <f t="shared" si="106"/>
        <v>-1530.2689497327929</v>
      </c>
      <c r="AB63">
        <f t="shared" si="106"/>
        <v>-1530.2689497327929</v>
      </c>
      <c r="AC63">
        <f t="shared" si="106"/>
        <v>-1530.2689497327929</v>
      </c>
      <c r="AD63">
        <f t="shared" si="106"/>
        <v>-1530.2689497327929</v>
      </c>
      <c r="AE63">
        <f t="shared" si="106"/>
        <v>-1530.2689497327929</v>
      </c>
      <c r="AF63">
        <f t="shared" si="106"/>
        <v>-1530.2689497327929</v>
      </c>
      <c r="AG63">
        <f t="shared" si="106"/>
        <v>-1530.2689497327929</v>
      </c>
      <c r="AH63">
        <f t="shared" si="106"/>
        <v>-1530.2689497327929</v>
      </c>
      <c r="AI63">
        <f t="shared" si="106"/>
        <v>-1530.2689497327929</v>
      </c>
      <c r="AJ63">
        <f t="shared" si="106"/>
        <v>-1530.2689497327929</v>
      </c>
      <c r="AK63">
        <f t="shared" si="106"/>
        <v>-1530.2689497327929</v>
      </c>
      <c r="AL63">
        <f t="shared" si="106"/>
        <v>-1530.2689497327929</v>
      </c>
      <c r="AM63">
        <f t="shared" si="106"/>
        <v>-1530.2689497327929</v>
      </c>
      <c r="AN63">
        <f t="shared" si="106"/>
        <v>-1530.2689497327929</v>
      </c>
      <c r="AO63">
        <f t="shared" si="106"/>
        <v>-1530.2689497327929</v>
      </c>
      <c r="AP63">
        <f t="shared" si="106"/>
        <v>-1530.2689497327929</v>
      </c>
      <c r="AQ63">
        <f t="shared" si="106"/>
        <v>-1530.2689497327929</v>
      </c>
      <c r="AR63">
        <f t="shared" si="106"/>
        <v>-1530.2689497327929</v>
      </c>
      <c r="AS63">
        <f t="shared" si="106"/>
        <v>-1530.2689497327929</v>
      </c>
      <c r="AT63">
        <f t="shared" si="106"/>
        <v>-1530.2689497327929</v>
      </c>
      <c r="AU63">
        <f t="shared" si="106"/>
        <v>-1530.2689497327929</v>
      </c>
      <c r="AV63">
        <f t="shared" si="106"/>
        <v>-1530.2689497327929</v>
      </c>
      <c r="AW63">
        <f t="shared" si="106"/>
        <v>-1530.2689497327929</v>
      </c>
      <c r="AX63">
        <f t="shared" si="106"/>
        <v>-1530.2689497327929</v>
      </c>
      <c r="AY63">
        <f t="shared" si="106"/>
        <v>-1530.2689497327929</v>
      </c>
      <c r="AZ63">
        <f t="shared" si="106"/>
        <v>-1530.2689497327929</v>
      </c>
      <c r="BA63">
        <f t="shared" si="106"/>
        <v>-1530.2689497327929</v>
      </c>
      <c r="BB63">
        <f t="shared" si="106"/>
        <v>-1530.2689497327929</v>
      </c>
      <c r="BC63">
        <f t="shared" si="106"/>
        <v>-1530.2689497327929</v>
      </c>
      <c r="BD63">
        <f t="shared" si="106"/>
        <v>-1530.2689497327929</v>
      </c>
      <c r="BE63">
        <f t="shared" si="106"/>
        <v>-1530.2689497327929</v>
      </c>
      <c r="BF63">
        <f t="shared" si="106"/>
        <v>-1530.2689497327929</v>
      </c>
      <c r="BG63">
        <f t="shared" si="106"/>
        <v>-1530.2689497327929</v>
      </c>
      <c r="BH63">
        <f t="shared" si="106"/>
        <v>-1530.2689497327929</v>
      </c>
      <c r="BI63">
        <f t="shared" si="106"/>
        <v>-1530.2689497327929</v>
      </c>
      <c r="BJ63">
        <f t="shared" si="106"/>
        <v>-1530.2689497327929</v>
      </c>
      <c r="BK63">
        <f t="shared" si="106"/>
        <v>-1530.2689497327929</v>
      </c>
      <c r="BL63">
        <f t="shared" si="106"/>
        <v>-1530.2689497327929</v>
      </c>
      <c r="BM63">
        <f t="shared" si="106"/>
        <v>-1530.2689497327929</v>
      </c>
      <c r="BN63">
        <f t="shared" si="106"/>
        <v>-1530.2689497327929</v>
      </c>
      <c r="BO63">
        <f t="shared" si="106"/>
        <v>-1530.2689497327929</v>
      </c>
      <c r="BP63">
        <f t="shared" si="106"/>
        <v>-1530.2689497327929</v>
      </c>
      <c r="BQ63">
        <f t="shared" si="106"/>
        <v>-1530.2689497327929</v>
      </c>
      <c r="BR63">
        <f t="shared" si="106"/>
        <v>-1530.2689497327929</v>
      </c>
      <c r="BS63">
        <f t="shared" si="106"/>
        <v>-1530.2689497327929</v>
      </c>
      <c r="BT63">
        <f t="shared" si="106"/>
        <v>-1530.2689497327929</v>
      </c>
      <c r="EB63" s="241"/>
    </row>
    <row r="64" spans="1:184" ht="17.25" customHeight="1" x14ac:dyDescent="0.5">
      <c r="B64" s="242" t="s">
        <v>152</v>
      </c>
      <c r="C64" s="7"/>
      <c r="D64" s="7"/>
      <c r="E64" s="7"/>
      <c r="F64" s="7"/>
      <c r="G64" s="7"/>
      <c r="H64" s="7"/>
      <c r="R64" s="293" t="s">
        <v>237</v>
      </c>
      <c r="S64">
        <f>EA62</f>
        <v>-22300</v>
      </c>
      <c r="T64">
        <f t="shared" ref="T64:BT64" si="107">EB62</f>
        <v>-10713.592233009709</v>
      </c>
      <c r="U64">
        <f t="shared" si="107"/>
        <v>760.32613818456048</v>
      </c>
      <c r="V64">
        <f t="shared" si="107"/>
        <v>12122.847243639078</v>
      </c>
      <c r="W64">
        <f t="shared" si="107"/>
        <v>23375.05261020569</v>
      </c>
      <c r="X64">
        <f t="shared" si="107"/>
        <v>34518.013264475536</v>
      </c>
      <c r="Y64">
        <f t="shared" si="107"/>
        <v>45552.789834723349</v>
      </c>
      <c r="Z64">
        <f t="shared" si="107"/>
        <v>56480.432651861956</v>
      </c>
      <c r="AA64">
        <f t="shared" si="107"/>
        <v>67301.981849416698</v>
      </c>
      <c r="AB64">
        <f t="shared" si="107"/>
        <v>78018.467462529152</v>
      </c>
      <c r="AC64">
        <f t="shared" si="107"/>
        <v>88630.909525999741</v>
      </c>
      <c r="AD64">
        <f t="shared" si="107"/>
        <v>99140.318171378385</v>
      </c>
      <c r="AE64">
        <f t="shared" si="107"/>
        <v>99140.318171378385</v>
      </c>
      <c r="AF64">
        <f t="shared" si="107"/>
        <v>99140.318171378385</v>
      </c>
      <c r="AG64">
        <f t="shared" si="107"/>
        <v>99140.318171378385</v>
      </c>
      <c r="AH64">
        <f t="shared" si="107"/>
        <v>99140.318171378385</v>
      </c>
      <c r="AI64">
        <f t="shared" si="107"/>
        <v>99140.318171378385</v>
      </c>
      <c r="AJ64">
        <f t="shared" si="107"/>
        <v>99140.318171378385</v>
      </c>
      <c r="AK64">
        <f t="shared" si="107"/>
        <v>99140.318171378385</v>
      </c>
      <c r="AL64">
        <f t="shared" si="107"/>
        <v>99140.318171378385</v>
      </c>
      <c r="AM64">
        <f t="shared" si="107"/>
        <v>99140.318171378385</v>
      </c>
      <c r="AN64">
        <f t="shared" si="107"/>
        <v>99140.318171378385</v>
      </c>
      <c r="AO64">
        <f t="shared" si="107"/>
        <v>99140.318171378385</v>
      </c>
      <c r="AP64">
        <f t="shared" si="107"/>
        <v>99140.318171378385</v>
      </c>
      <c r="AQ64">
        <f t="shared" si="107"/>
        <v>99140.318171378385</v>
      </c>
      <c r="AR64">
        <f t="shared" si="107"/>
        <v>99140.318171378385</v>
      </c>
      <c r="AS64">
        <f t="shared" si="107"/>
        <v>99140.318171378385</v>
      </c>
      <c r="AT64">
        <f t="shared" si="107"/>
        <v>99140.318171378385</v>
      </c>
      <c r="AU64">
        <f t="shared" si="107"/>
        <v>99140.318171378385</v>
      </c>
      <c r="AV64">
        <f t="shared" si="107"/>
        <v>99140.318171378385</v>
      </c>
      <c r="AW64">
        <f t="shared" si="107"/>
        <v>99140.318171378385</v>
      </c>
      <c r="AX64">
        <f t="shared" si="107"/>
        <v>99140.318171378385</v>
      </c>
      <c r="AY64">
        <f t="shared" si="107"/>
        <v>99140.318171378385</v>
      </c>
      <c r="AZ64">
        <f t="shared" si="107"/>
        <v>99140.318171378385</v>
      </c>
      <c r="BA64">
        <f t="shared" si="107"/>
        <v>99140.318171378385</v>
      </c>
      <c r="BB64">
        <f t="shared" si="107"/>
        <v>99140.318171378385</v>
      </c>
      <c r="BC64">
        <f t="shared" si="107"/>
        <v>99140.318171378385</v>
      </c>
      <c r="BD64">
        <f t="shared" si="107"/>
        <v>99140.318171378385</v>
      </c>
      <c r="BE64">
        <f t="shared" si="107"/>
        <v>99140.318171378385</v>
      </c>
      <c r="BF64">
        <f t="shared" si="107"/>
        <v>99140.318171378385</v>
      </c>
      <c r="BG64">
        <f t="shared" si="107"/>
        <v>99140.318171378385</v>
      </c>
      <c r="BH64">
        <f t="shared" si="107"/>
        <v>99140.318171378385</v>
      </c>
      <c r="BI64">
        <f t="shared" si="107"/>
        <v>99140.318171378385</v>
      </c>
      <c r="BJ64">
        <f t="shared" si="107"/>
        <v>99140.318171378385</v>
      </c>
      <c r="BK64">
        <f t="shared" si="107"/>
        <v>99140.318171378385</v>
      </c>
      <c r="BL64">
        <f t="shared" si="107"/>
        <v>99140.318171378385</v>
      </c>
      <c r="BM64">
        <f t="shared" si="107"/>
        <v>99140.318171378385</v>
      </c>
      <c r="BN64">
        <f t="shared" si="107"/>
        <v>99140.318171378385</v>
      </c>
      <c r="BO64">
        <f t="shared" si="107"/>
        <v>99140.318171378385</v>
      </c>
      <c r="BP64">
        <f t="shared" si="107"/>
        <v>99140.318171378385</v>
      </c>
      <c r="BQ64">
        <f t="shared" si="107"/>
        <v>99140.318171378385</v>
      </c>
      <c r="BR64">
        <f t="shared" si="107"/>
        <v>99140.318171378385</v>
      </c>
      <c r="BS64">
        <f t="shared" si="107"/>
        <v>99140.318171378385</v>
      </c>
      <c r="BT64">
        <f t="shared" si="107"/>
        <v>99140.318171378385</v>
      </c>
    </row>
    <row r="65" spans="2:20" ht="17.25" customHeight="1" x14ac:dyDescent="0.5">
      <c r="B65" s="243" t="s">
        <v>153</v>
      </c>
      <c r="C65" s="19"/>
      <c r="D65" s="19"/>
      <c r="E65" s="19"/>
      <c r="F65" s="244" t="str">
        <f>IF(MAX(D18:F18)&gt;=100,"FEHLER: Jahreszahl statt Index – es entstehen keine Cashflows","in Ordnung")</f>
        <v>in Ordnung</v>
      </c>
      <c r="G65" s="19"/>
      <c r="H65" s="19"/>
    </row>
    <row r="66" spans="2:20" ht="17.25" customHeight="1" x14ac:dyDescent="0.5">
      <c r="B66" s="243" t="s">
        <v>154</v>
      </c>
      <c r="C66" s="19"/>
      <c r="D66" s="19"/>
      <c r="E66" s="19"/>
      <c r="F66" s="244" t="str">
        <f>IF(N(E44)&lt;=0,"HINWEIS: keine Investition in Zeile 44","in Ordnung")</f>
        <v>in Ordnung</v>
      </c>
      <c r="G66" s="19"/>
      <c r="H66" s="19"/>
    </row>
    <row r="67" spans="2:20" ht="17.25" customHeight="1" x14ac:dyDescent="0.5">
      <c r="B67" s="243" t="s">
        <v>155</v>
      </c>
      <c r="C67" s="19"/>
      <c r="D67" s="19"/>
      <c r="E67" s="19"/>
      <c r="F67" s="244" t="str">
        <f>IF(AND(N(E44)&gt;0,N(E45)&gt;0),"FEHLER: Zeile 44 UND 45 belegt – Investition wird doppelt gezählt","in Ordnung")</f>
        <v>in Ordnung</v>
      </c>
      <c r="G67" s="19"/>
      <c r="H67" s="19"/>
      <c r="T67" t="s">
        <v>156</v>
      </c>
    </row>
    <row r="68" spans="2:20" ht="17.25" customHeight="1" x14ac:dyDescent="0.5">
      <c r="B68" s="243" t="s">
        <v>157</v>
      </c>
      <c r="C68" s="19"/>
      <c r="D68" s="19"/>
      <c r="E68" s="19"/>
      <c r="F68" s="244" t="str">
        <f>IF(AND(N(E11)&gt;0,N(H11)&gt;0,ABS(N(E23)-IFERROR((E11-H11)/E11,0))&gt;0.001),"WARNUNG: %-Wert passt nicht zum Soll-Verbrauch - nur EINE Quelle verwenden","in Ordnung")</f>
        <v>in Ordnung</v>
      </c>
      <c r="G68" s="19"/>
      <c r="H68" s="19"/>
    </row>
    <row r="69" spans="2:20" ht="17.25" customHeight="1" x14ac:dyDescent="0.5">
      <c r="B69" s="243" t="s">
        <v>158</v>
      </c>
      <c r="C69" s="19"/>
      <c r="D69" s="19"/>
      <c r="E69" s="19"/>
      <c r="F69" s="244" t="str">
        <f>IF(N(E19)&lt;=0,"FEHLER: Nutzungszeit fehlt","in Ordnung")</f>
        <v>in Ordnung</v>
      </c>
      <c r="G69" s="19"/>
      <c r="H69" s="19"/>
    </row>
    <row r="70" spans="2:20" ht="17.25" customHeight="1" x14ac:dyDescent="0.5">
      <c r="B70" s="243" t="s">
        <v>159</v>
      </c>
      <c r="C70" s="19"/>
      <c r="D70" s="19"/>
      <c r="E70" s="19"/>
      <c r="F70" s="244" t="str">
        <f>IF(AND(N(D44)&gt;=N(E44),N(E44)&gt;=N(F44)),"in Ordnung","HINWEIS: Investition nicht monoton W&gt;=E&gt;=B")</f>
        <v>in Ordnung</v>
      </c>
      <c r="G70" s="19"/>
      <c r="H70" s="19"/>
    </row>
    <row r="71" spans="2:20" ht="17.25" customHeight="1" x14ac:dyDescent="0.5">
      <c r="B71" s="243" t="s">
        <v>160</v>
      </c>
      <c r="C71" s="19"/>
      <c r="D71" s="19"/>
      <c r="E71" s="19"/>
      <c r="F71" s="244" t="str">
        <f>IF(E20=E18+E19-1,"in Ordnung","FEHLER: Formel in Zeile 20 verändert")</f>
        <v>in Ordnung</v>
      </c>
      <c r="G71" s="19"/>
      <c r="H71" s="19"/>
    </row>
    <row r="72" spans="2:20" ht="17.25" customHeight="1" x14ac:dyDescent="0.5">
      <c r="B72" s="243" t="s">
        <v>161</v>
      </c>
      <c r="C72" s="19"/>
      <c r="D72" s="19"/>
      <c r="E72" s="19"/>
      <c r="F72" s="244" t="str">
        <f>'Allgemeine Unternehmensdaten'!E26</f>
        <v>in Ordnung</v>
      </c>
      <c r="G72" s="19"/>
      <c r="H72" s="19"/>
    </row>
    <row r="73" spans="2:20" ht="17.25" customHeight="1" x14ac:dyDescent="0.5">
      <c r="B73" s="243" t="s">
        <v>221</v>
      </c>
      <c r="C73" s="19"/>
      <c r="D73" s="19"/>
      <c r="E73" s="19"/>
      <c r="F73" s="244" t="str">
        <f>IF(OR(AND(N(E12)&gt;0,N(H12)&gt;0,ABS(N(E26)-IFERROR((E12-H12)/E12,0))&gt;0.001),AND(N(E13)&gt;0,N(H13)&gt;0,ABS(N(E27)-IFERROR((E13-H13)/E13,0))&gt;0.001)),"WARNUNG: %-Wert passt nicht zum Soll-Verbrauch - nur EINE Quelle verwenden","in Ordnung")</f>
        <v>in Ordnung</v>
      </c>
      <c r="G73" s="19"/>
      <c r="H73" s="19"/>
    </row>
    <row r="74" spans="2:20" ht="17.25" customHeight="1" x14ac:dyDescent="0.5">
      <c r="B74" s="245" t="s">
        <v>162</v>
      </c>
      <c r="C74" s="19"/>
      <c r="D74" s="19"/>
      <c r="E74" s="19"/>
      <c r="F74" s="19"/>
      <c r="G74" s="19"/>
      <c r="H74" s="19"/>
    </row>
    <row r="75" spans="2:20" ht="17.25" customHeight="1" x14ac:dyDescent="0.5">
      <c r="B75" s="18"/>
      <c r="C75" s="19"/>
      <c r="D75" s="19"/>
      <c r="E75" s="19"/>
      <c r="F75" s="19"/>
      <c r="G75" s="19"/>
      <c r="H75" s="19"/>
    </row>
    <row r="76" spans="2:20" ht="17.25" customHeight="1" x14ac:dyDescent="0.5">
      <c r="B76" s="246" t="s">
        <v>163</v>
      </c>
      <c r="C76" s="19"/>
      <c r="D76" s="19"/>
      <c r="E76" s="19"/>
      <c r="F76" s="19"/>
      <c r="G76" s="19"/>
      <c r="H76" s="19"/>
    </row>
    <row r="77" spans="2:20" ht="17.25" customHeight="1" x14ac:dyDescent="0.5">
      <c r="B77" s="247" t="s">
        <v>164</v>
      </c>
      <c r="C77" s="19"/>
      <c r="D77" s="19"/>
      <c r="E77" s="19"/>
      <c r="F77" s="19"/>
      <c r="G77" s="19"/>
      <c r="H77" s="19"/>
    </row>
    <row r="78" spans="2:20" ht="17.25" customHeight="1" x14ac:dyDescent="0.5">
      <c r="B78" s="248" t="s">
        <v>165</v>
      </c>
      <c r="C78" s="19"/>
      <c r="D78" s="19"/>
      <c r="E78" s="19"/>
      <c r="F78" s="19"/>
      <c r="G78" s="19"/>
      <c r="H78" s="19"/>
    </row>
    <row r="79" spans="2:20" ht="17.25" customHeight="1" x14ac:dyDescent="0.5">
      <c r="B79" s="245" t="s">
        <v>166</v>
      </c>
      <c r="C79" s="19"/>
      <c r="D79" s="19"/>
      <c r="E79" s="19"/>
      <c r="F79" s="19"/>
      <c r="G79" s="19"/>
      <c r="H79" s="19"/>
    </row>
    <row r="80" spans="2:20" ht="17.25" customHeight="1" x14ac:dyDescent="0.5">
      <c r="B80" s="18"/>
      <c r="C80" s="19"/>
      <c r="D80" s="19"/>
      <c r="E80" s="19"/>
      <c r="F80" s="19"/>
      <c r="G80" s="19"/>
      <c r="H80" s="19"/>
      <c r="I80" s="19"/>
      <c r="J80" s="19"/>
      <c r="K80" s="19"/>
      <c r="L80" s="19"/>
      <c r="M80" s="19"/>
      <c r="N80" s="20"/>
    </row>
    <row r="81" spans="2:14" ht="17.25" customHeight="1" x14ac:dyDescent="0.5">
      <c r="B81" s="18"/>
      <c r="C81" s="19"/>
      <c r="D81" s="19"/>
      <c r="E81" s="19"/>
      <c r="F81" s="19"/>
      <c r="G81" s="19"/>
      <c r="H81" s="19"/>
      <c r="I81" s="19"/>
      <c r="J81" s="19"/>
      <c r="K81" s="19"/>
      <c r="L81" s="19"/>
      <c r="M81" s="19"/>
      <c r="N81" s="20"/>
    </row>
    <row r="82" spans="2:14" ht="17.25" customHeight="1" x14ac:dyDescent="0.5">
      <c r="B82" s="18"/>
      <c r="C82" s="19"/>
      <c r="D82" s="19"/>
      <c r="E82" s="19"/>
      <c r="F82" s="19"/>
      <c r="G82" s="19"/>
      <c r="H82" s="19"/>
      <c r="I82" s="19"/>
      <c r="J82" s="19"/>
      <c r="K82" s="19"/>
      <c r="L82" s="19"/>
      <c r="M82" s="19"/>
      <c r="N82" s="20"/>
    </row>
    <row r="83" spans="2:14" ht="18" customHeight="1" x14ac:dyDescent="0.5">
      <c r="B83" s="18"/>
      <c r="C83" s="19"/>
      <c r="D83" s="19"/>
      <c r="E83" s="19"/>
      <c r="F83" s="19"/>
      <c r="G83" s="19"/>
      <c r="H83" s="19"/>
      <c r="I83" s="19"/>
      <c r="J83" s="19"/>
      <c r="K83" s="19" t="s">
        <v>167</v>
      </c>
      <c r="L83" s="19"/>
      <c r="M83" s="19"/>
      <c r="N83" s="20"/>
    </row>
    <row r="84" spans="2:14" ht="18" customHeight="1" x14ac:dyDescent="0.5">
      <c r="B84" s="18"/>
      <c r="C84" s="19"/>
      <c r="D84" s="249"/>
      <c r="E84" s="250"/>
      <c r="F84" s="251" t="s">
        <v>68</v>
      </c>
      <c r="G84" s="251" t="s">
        <v>91</v>
      </c>
      <c r="H84" s="250" t="s">
        <v>69</v>
      </c>
      <c r="I84" s="19"/>
      <c r="J84" s="19"/>
      <c r="K84" s="19"/>
      <c r="L84" s="19"/>
      <c r="M84" s="19"/>
      <c r="N84" s="20"/>
    </row>
    <row r="85" spans="2:14" ht="18" customHeight="1" x14ac:dyDescent="0.5">
      <c r="B85" s="18"/>
      <c r="C85" s="19"/>
      <c r="D85" s="249" t="s">
        <v>233</v>
      </c>
      <c r="E85" s="250"/>
      <c r="F85" s="252" t="str">
        <f t="array" aca="1" ref="F85" ca="1">IFERROR(IF(MATCH(0,BW62:DX62)-INDIRECT(ADDRESS(62,75+MATCH(0,BW62:DX62)))/(INDIRECT(ADDRESS(62,75+MATCH(0,BW62:DX62)))-INDIRECT(ADDRESS(62,74+MATCH(0,BW62:DX62))))=54,"-",MATCH(0,BW62:DX62)-INDIRECT(ADDRESS(62,75+MATCH(0,BW62:DX62)))/(INDIRECT(ADDRESS(62,75+MATCH(0,BW62:DX62)))-INDIRECT(ADDRESS(62,74+MATCH(0,BW62:DX62))))),"-")</f>
        <v>-</v>
      </c>
      <c r="G85" s="253">
        <f t="array" aca="1" ref="G85" ca="1">IFERROR(IF(MATCH(0,S62:BT62)-INDIRECT(ADDRESS(62,19+MATCH(0,S62:BT62)))/(INDIRECT(ADDRESS(62,19+MATCH(0,S62:BT62)))-INDIRECT(ADDRESS(62,18+MATCH(0,S62:BT62))))=54,"-",MATCH(0,S62:BT62)-INDIRECT(ADDRESS(62,19+MATCH(0,S62:BT62)))/(INDIRECT(ADDRESS(62,19+MATCH(0,S62:BT62)))-INDIRECT(ADDRESS(62,18+MATCH(0,S62:BT62))))),"-")</f>
        <v>3.4049906788044457</v>
      </c>
      <c r="H85" s="254">
        <f t="array" aca="1" ref="H85" ca="1">IFERROR(IF((MATCH(0,EA62:GB62)-INDIRECT(ADDRESS(62,131+MATCH(0,EA62:GB62)))/(INDIRECT(ADDRESS(62,131+MATCH(0,EA62:GB62)))-INDIRECT(ADDRESS(62,130+MATCH(0,EA62:GB62)))))=54,"-",MATCH(0,EA62:GB62)-INDIRECT(ADDRESS(62,131+MATCH(0,EA62:GB62)))/(INDIRECT(ADDRESS(62,131+MATCH(0,EA62:GB62)))-INDIRECT(ADDRESS(62,130+MATCH(0,EA62:GB62))))),"-")</f>
        <v>1.9337343953837609</v>
      </c>
      <c r="I85" s="19"/>
      <c r="J85" s="19"/>
      <c r="K85" s="19"/>
      <c r="L85" s="19"/>
      <c r="M85" s="19"/>
      <c r="N85" s="20"/>
    </row>
    <row r="86" spans="2:14" ht="18" customHeight="1" x14ac:dyDescent="0.5">
      <c r="B86" s="18"/>
      <c r="C86" s="19"/>
      <c r="D86" s="255" t="s">
        <v>234</v>
      </c>
      <c r="E86" s="256"/>
      <c r="F86" s="257">
        <f>DX62</f>
        <v>-1530.2689497327929</v>
      </c>
      <c r="G86" s="257">
        <f>BT62</f>
        <v>41169.853408738854</v>
      </c>
      <c r="H86" s="258">
        <f>GB62</f>
        <v>99140.318171378385</v>
      </c>
      <c r="I86" s="19"/>
      <c r="J86" s="19"/>
      <c r="K86" s="19"/>
      <c r="L86" s="19"/>
      <c r="M86" s="19"/>
      <c r="N86" s="20"/>
    </row>
    <row r="87" spans="2:14" ht="125" customHeight="1" x14ac:dyDescent="0.5">
      <c r="B87" s="255"/>
      <c r="C87" s="259"/>
      <c r="D87" s="259"/>
      <c r="E87" s="259"/>
      <c r="F87" s="259"/>
      <c r="G87" s="259"/>
      <c r="H87" s="259"/>
      <c r="I87" s="259"/>
      <c r="J87" s="259"/>
      <c r="K87" s="259"/>
      <c r="L87" s="259"/>
      <c r="M87" s="259"/>
      <c r="N87" s="256"/>
    </row>
    <row r="88" spans="2:14" ht="125" customHeight="1" x14ac:dyDescent="0.5"/>
    <row r="89" spans="2:14" ht="125" customHeight="1" x14ac:dyDescent="0.5"/>
    <row r="90" spans="2:14" ht="18" customHeight="1" x14ac:dyDescent="0.5">
      <c r="B90" s="324" t="s">
        <v>168</v>
      </c>
      <c r="C90" s="324"/>
      <c r="D90" s="324"/>
      <c r="E90" s="324"/>
      <c r="F90" s="324"/>
      <c r="G90" s="324"/>
      <c r="H90" s="324"/>
      <c r="I90" s="324"/>
      <c r="J90" s="324"/>
      <c r="K90" s="324"/>
      <c r="L90" s="324"/>
      <c r="M90" s="324"/>
      <c r="N90" s="324"/>
    </row>
    <row r="91" spans="2:14" ht="18" customHeight="1" x14ac:dyDescent="0.5">
      <c r="B91" s="18"/>
      <c r="C91" s="19"/>
      <c r="D91" s="19"/>
      <c r="E91" s="19"/>
      <c r="F91" s="19"/>
      <c r="G91" s="19"/>
      <c r="H91" s="19"/>
      <c r="I91" s="19"/>
      <c r="J91" s="19"/>
      <c r="K91" s="19"/>
      <c r="L91" s="19"/>
      <c r="M91" s="19"/>
      <c r="N91" s="20"/>
    </row>
    <row r="92" spans="2:14" ht="18" customHeight="1" x14ac:dyDescent="0.5">
      <c r="B92" s="18"/>
      <c r="C92" s="260" t="s">
        <v>169</v>
      </c>
      <c r="D92" s="325" t="str">
        <f>D2</f>
        <v>Nr. 78: Optimierung Druckluftverbrauch – intelligente Druckluftsteuerung</v>
      </c>
      <c r="E92" s="325"/>
      <c r="F92" s="325"/>
      <c r="G92" s="325"/>
      <c r="H92" s="325"/>
      <c r="I92" s="325"/>
      <c r="J92" s="325"/>
      <c r="K92" s="325"/>
      <c r="L92" s="325"/>
      <c r="M92" s="325"/>
      <c r="N92" s="20"/>
    </row>
    <row r="93" spans="2:14" ht="122.25" customHeight="1" x14ac:dyDescent="0.5">
      <c r="B93" s="18"/>
      <c r="C93" s="326" t="str">
        <f>B4</f>
        <v>Beschreibung:</v>
      </c>
      <c r="D93" s="310" t="str">
        <f>D4</f>
        <v>Übergeordnete Steuerung der vier Kompressoren mit bedarfsgeführter Grundlastwechselschaltung und Absenkung des Netzdrucks von 7,5 auf 7,0 bar.</v>
      </c>
      <c r="E93" s="310"/>
      <c r="F93" s="310"/>
      <c r="G93" s="310"/>
      <c r="H93" s="310"/>
      <c r="I93" s="310"/>
      <c r="J93" s="310"/>
      <c r="K93" s="310"/>
      <c r="L93" s="310"/>
      <c r="M93" s="310"/>
      <c r="N93" s="20"/>
    </row>
    <row r="94" spans="2:14" ht="25.5" customHeight="1" x14ac:dyDescent="0.5">
      <c r="B94" s="18"/>
      <c r="C94" s="326"/>
      <c r="D94" s="327"/>
      <c r="E94" s="327"/>
      <c r="F94" s="327"/>
      <c r="G94" s="327"/>
      <c r="H94" s="327"/>
      <c r="I94" s="327"/>
      <c r="J94" s="327"/>
      <c r="K94" s="327"/>
      <c r="L94" s="327"/>
      <c r="M94" s="327"/>
      <c r="N94" s="20"/>
    </row>
    <row r="95" spans="2:14" ht="18" customHeight="1" x14ac:dyDescent="0.5">
      <c r="B95" s="18"/>
      <c r="C95" s="19"/>
      <c r="D95" s="19"/>
      <c r="E95" s="19"/>
      <c r="F95" s="19"/>
      <c r="G95" s="19"/>
      <c r="H95" s="19"/>
      <c r="I95" s="19"/>
      <c r="J95" s="19"/>
      <c r="K95" s="19"/>
      <c r="L95" s="19"/>
      <c r="M95" s="19"/>
      <c r="N95" s="20"/>
    </row>
    <row r="96" spans="2:14" ht="18" customHeight="1" x14ac:dyDescent="0.5">
      <c r="B96" s="18"/>
      <c r="C96" s="312" t="s">
        <v>170</v>
      </c>
      <c r="D96" s="312"/>
      <c r="E96" s="312"/>
      <c r="F96" s="312"/>
      <c r="G96" s="312"/>
      <c r="H96" s="312"/>
      <c r="I96" s="312"/>
      <c r="J96" s="312"/>
      <c r="K96" s="312"/>
      <c r="L96" s="312"/>
      <c r="M96" s="312"/>
      <c r="N96" s="20"/>
    </row>
    <row r="97" spans="2:14" ht="37.5" customHeight="1" x14ac:dyDescent="0.5">
      <c r="B97" s="18"/>
      <c r="C97" s="319" t="str" cm="1">
        <f t="array" ref="C97">_xlfn.IFS(G86&gt;0,"Die Investition sollte durchgeführt werden, da der positive Kapitalwert einen Beitrag zur Steigerung des Unternehmenswertes im erwarteten Fall in Höhe von "&amp;TEXT(G86,"#.###.###")&amp;" € darstellt.",G86&lt;0,"Die Investition sollte nicht durchgeführt werden, da der Kapitalwert im wahrscheinlichsten Fall negativ ist. Der Kapitalwert beträgt "&amp;TEXT(G86,"#.###.###")&amp;" €.")</f>
        <v>Die Investition sollte durchgeführt werden, da der positive Kapitalwert einen Beitrag zur Steigerung des Unternehmenswertes im erwarteten Fall in Höhe von 41.170 € darstellt.</v>
      </c>
      <c r="D97" s="319"/>
      <c r="E97" s="319"/>
      <c r="F97" s="319"/>
      <c r="G97" s="319"/>
      <c r="H97" s="319"/>
      <c r="I97" s="319"/>
      <c r="J97" s="319"/>
      <c r="K97" s="319"/>
      <c r="L97" s="319"/>
      <c r="M97" s="319"/>
      <c r="N97" s="20"/>
    </row>
    <row r="98" spans="2:14" ht="41.25" customHeight="1" x14ac:dyDescent="0.5">
      <c r="B98" s="18"/>
      <c r="C98" s="320" t="s">
        <v>171</v>
      </c>
      <c r="D98" s="320"/>
      <c r="E98" s="320"/>
      <c r="F98" s="320"/>
      <c r="G98" s="320"/>
      <c r="H98" s="320"/>
      <c r="I98" s="320"/>
      <c r="J98" s="320"/>
      <c r="K98" s="320"/>
      <c r="L98" s="320"/>
      <c r="M98" s="320"/>
      <c r="N98" s="20"/>
    </row>
    <row r="99" spans="2:14" ht="18" customHeight="1" x14ac:dyDescent="0.5">
      <c r="B99" s="18"/>
      <c r="C99" s="19"/>
      <c r="D99" s="19"/>
      <c r="E99" s="19"/>
      <c r="F99" s="19"/>
      <c r="G99" s="19"/>
      <c r="H99" s="19"/>
      <c r="I99" s="19"/>
      <c r="J99" s="19"/>
      <c r="K99" s="19"/>
      <c r="L99" s="19"/>
      <c r="M99" s="19"/>
      <c r="N99" s="20"/>
    </row>
    <row r="100" spans="2:14" ht="18" customHeight="1" x14ac:dyDescent="0.5">
      <c r="B100" s="18"/>
      <c r="C100" s="321" t="str">
        <f>"Kapitalwert im wahrscheinlichen Fall:  "&amp;TEXT(G86,"#.###.###")&amp;" €"</f>
        <v>Kapitalwert im wahrscheinlichen Fall:  41.170 €</v>
      </c>
      <c r="D100" s="321"/>
      <c r="E100" s="321"/>
      <c r="F100" s="321"/>
      <c r="G100" s="321"/>
      <c r="H100" s="321"/>
      <c r="I100" s="321"/>
      <c r="J100" s="321"/>
      <c r="K100" s="321"/>
      <c r="L100" s="321"/>
      <c r="M100" s="321"/>
      <c r="N100" s="20"/>
    </row>
    <row r="101" spans="2:14" ht="53.25" customHeight="1" x14ac:dyDescent="0.5">
      <c r="B101" s="18"/>
      <c r="C101" s="310" t="str">
        <f>CONCATENATE("Der Kapitalwert für die angegebene ERI beträgt "&amp;TEXT(G86,"#.###.###")&amp;" €. Über die zu Grunde gelegte Verzinsung von "&amp;'Allgemeine Unternehmensdaten'!F25*100&amp;" % innerhalb der Nutzungszeit von "&amp;E19&amp;" Jahren wird ein ",IF(G86&gt;0,"Überschuss","Verlust")," in Höhe von "&amp;TEXT(G86,"#.###.###")&amp;" € generiert. Insofern ist die Anlage ",IF(G86&gt;0,"wirtschaftlich.","nicht wirtschaftlich."))</f>
        <v>Der Kapitalwert für die angegebene ERI beträgt 41.170 €. Über die zu Grunde gelegte Verzinsung von 4 % innerhalb der Nutzungszeit von 10 Jahren wird ein Überschuss in Höhe von 41.170 € generiert. Insofern ist die Anlage wirtschaftlich.</v>
      </c>
      <c r="D101" s="310"/>
      <c r="E101" s="310"/>
      <c r="F101" s="310"/>
      <c r="G101" s="310"/>
      <c r="H101" s="310"/>
      <c r="I101" s="310"/>
      <c r="J101" s="310"/>
      <c r="K101" s="310"/>
      <c r="L101" s="310"/>
      <c r="M101" s="310"/>
      <c r="N101" s="20"/>
    </row>
    <row r="102" spans="2:14" ht="18" customHeight="1" x14ac:dyDescent="0.5">
      <c r="B102" s="18"/>
      <c r="C102" s="314" t="s">
        <v>171</v>
      </c>
      <c r="D102" s="314"/>
      <c r="E102" s="314"/>
      <c r="F102" s="314"/>
      <c r="G102" s="314"/>
      <c r="H102" s="314"/>
      <c r="I102" s="314"/>
      <c r="J102" s="314"/>
      <c r="K102" s="314"/>
      <c r="L102" s="314"/>
      <c r="M102" s="314"/>
      <c r="N102" s="20"/>
    </row>
    <row r="103" spans="2:14" ht="18" customHeight="1" x14ac:dyDescent="0.5">
      <c r="B103" s="18"/>
      <c r="C103" s="19"/>
      <c r="D103" s="19"/>
      <c r="E103" s="19"/>
      <c r="F103" s="19"/>
      <c r="G103" s="19"/>
      <c r="H103" s="19"/>
      <c r="I103" s="19"/>
      <c r="J103" s="19"/>
      <c r="K103" s="19"/>
      <c r="L103" s="19"/>
      <c r="M103" s="19"/>
      <c r="N103" s="20"/>
    </row>
    <row r="104" spans="2:14" ht="18" customHeight="1" x14ac:dyDescent="0.5">
      <c r="B104" s="18"/>
      <c r="C104" s="315" t="s">
        <v>172</v>
      </c>
      <c r="D104" s="315"/>
      <c r="E104" s="315"/>
      <c r="F104" s="315"/>
      <c r="G104" s="315"/>
      <c r="H104" s="315"/>
      <c r="I104" s="315"/>
      <c r="J104" s="315"/>
      <c r="K104" s="315"/>
      <c r="L104" s="315"/>
      <c r="M104" s="315"/>
      <c r="N104" s="20"/>
    </row>
    <row r="105" spans="2:14" ht="159.75" customHeight="1" x14ac:dyDescent="0.5">
      <c r="B105" s="18"/>
      <c r="C105" s="316" t="s">
        <v>235</v>
      </c>
      <c r="D105" s="316"/>
      <c r="E105" s="316"/>
      <c r="F105" s="316"/>
      <c r="G105" s="316"/>
      <c r="H105" s="316"/>
      <c r="I105" s="316"/>
      <c r="J105" s="316"/>
      <c r="K105" s="316"/>
      <c r="L105" s="316"/>
      <c r="M105" s="316"/>
      <c r="N105" s="20"/>
    </row>
    <row r="106" spans="2:14" ht="18" customHeight="1" x14ac:dyDescent="0.5">
      <c r="B106" s="18"/>
      <c r="C106" s="19"/>
      <c r="D106" s="19"/>
      <c r="E106" s="19"/>
      <c r="F106" s="19"/>
      <c r="G106" s="19"/>
      <c r="H106" s="19"/>
      <c r="I106" s="19"/>
      <c r="J106" s="19"/>
      <c r="K106" s="19"/>
      <c r="L106" s="19"/>
      <c r="M106" s="19"/>
      <c r="N106" s="20"/>
    </row>
    <row r="107" spans="2:14" ht="18" customHeight="1" x14ac:dyDescent="0.5">
      <c r="B107" s="18"/>
      <c r="C107" s="305" t="s">
        <v>173</v>
      </c>
      <c r="D107" s="305"/>
      <c r="E107" s="305"/>
      <c r="F107" s="305"/>
      <c r="G107" s="305"/>
      <c r="H107" s="305"/>
      <c r="I107" s="305"/>
      <c r="J107" s="305"/>
      <c r="K107" s="305"/>
      <c r="L107" s="305"/>
      <c r="M107" s="305"/>
      <c r="N107" s="20"/>
    </row>
    <row r="108" spans="2:14" ht="18" customHeight="1" x14ac:dyDescent="0.5">
      <c r="B108" s="18"/>
      <c r="C108" s="317" t="str">
        <f>"Kapitalwert unter Worst-Case-Annahme: "&amp;TEXT(F86,"#.###.###")&amp;" €"</f>
        <v>Kapitalwert unter Worst-Case-Annahme: -1.530 €</v>
      </c>
      <c r="D108" s="317"/>
      <c r="E108" s="317"/>
      <c r="F108" s="317"/>
      <c r="G108" s="261"/>
      <c r="H108" s="318" t="str">
        <f>"Kapitalwert unter Best-Case-Annahme: "&amp;TEXT(H86,"#.###.###")&amp;" €"</f>
        <v>Kapitalwert unter Best-Case-Annahme: 99.140 €</v>
      </c>
      <c r="I108" s="318"/>
      <c r="J108" s="318"/>
      <c r="K108" s="318"/>
      <c r="L108" s="318"/>
      <c r="M108" s="318"/>
      <c r="N108" s="20"/>
    </row>
    <row r="109" spans="2:14" ht="42.75" customHeight="1" x14ac:dyDescent="0.5">
      <c r="B109" s="18"/>
      <c r="C109" s="310" t="str">
        <f>CONCATENATE("Die Szenarioanalyse zeigt, dass der Kapitalwert im Worst-Case auf "&amp;TEXT(F86,"#.###.###")&amp;" € sinken würde, im Best-Case-Szenario betrüge er "&amp;TEXT(H86,"#.###.###")&amp;" €.",IF(F86&gt;0," Insofern liegt quasi kein Risiko vor."," Da der Kapitalwert auch negativ sein kann ist ein Risiko vorhanden"))</f>
        <v>Die Szenarioanalyse zeigt, dass der Kapitalwert im Worst-Case auf -1.530 € sinken würde, im Best-Case-Szenario betrüge er 99.140 €. Da der Kapitalwert auch negativ sein kann ist ein Risiko vorhanden</v>
      </c>
      <c r="D109" s="310"/>
      <c r="E109" s="310"/>
      <c r="F109" s="310"/>
      <c r="G109" s="310"/>
      <c r="H109" s="310"/>
      <c r="I109" s="310"/>
      <c r="J109" s="310"/>
      <c r="K109" s="310"/>
      <c r="L109" s="310"/>
      <c r="M109" s="310"/>
      <c r="N109" s="20"/>
    </row>
    <row r="110" spans="2:14" ht="18" customHeight="1" x14ac:dyDescent="0.5">
      <c r="B110" s="18"/>
      <c r="C110" s="311" t="s">
        <v>171</v>
      </c>
      <c r="D110" s="311"/>
      <c r="E110" s="311"/>
      <c r="F110" s="311"/>
      <c r="G110" s="311"/>
      <c r="H110" s="311"/>
      <c r="I110" s="311"/>
      <c r="J110" s="311"/>
      <c r="K110" s="311"/>
      <c r="L110" s="311"/>
      <c r="M110" s="311"/>
      <c r="N110" s="20"/>
    </row>
    <row r="111" spans="2:14" ht="18" customHeight="1" x14ac:dyDescent="0.5">
      <c r="B111" s="18"/>
      <c r="C111" s="19"/>
      <c r="D111" s="19"/>
      <c r="E111" s="19"/>
      <c r="F111" s="19"/>
      <c r="G111" s="19"/>
      <c r="H111" s="19"/>
      <c r="I111" s="19"/>
      <c r="J111" s="19"/>
      <c r="K111" s="19"/>
      <c r="L111" s="19"/>
      <c r="M111" s="19"/>
      <c r="N111" s="20"/>
    </row>
    <row r="112" spans="2:14" ht="18" customHeight="1" x14ac:dyDescent="0.5">
      <c r="B112" s="18"/>
      <c r="C112" s="312" t="s">
        <v>174</v>
      </c>
      <c r="D112" s="312"/>
      <c r="E112" s="312"/>
      <c r="F112" s="312"/>
      <c r="G112" s="312"/>
      <c r="H112" s="312"/>
      <c r="I112" s="312"/>
      <c r="J112" s="312"/>
      <c r="K112" s="312"/>
      <c r="L112" s="312"/>
      <c r="M112" s="312"/>
      <c r="N112" s="20"/>
    </row>
    <row r="113" spans="2:14" ht="18" customHeight="1" x14ac:dyDescent="0.5">
      <c r="B113" s="18"/>
      <c r="C113" s="262" t="str">
        <f>"Laufzeit der Investition: "&amp;E19&amp;" Jahre "</f>
        <v xml:space="preserve">Laufzeit der Investition: 10 Jahre </v>
      </c>
      <c r="D113" s="313"/>
      <c r="E113" s="313"/>
      <c r="F113" s="313"/>
      <c r="G113" s="313"/>
      <c r="H113" s="313"/>
      <c r="I113" s="313"/>
      <c r="J113" s="313"/>
      <c r="K113" s="313"/>
      <c r="L113" s="313"/>
      <c r="M113" s="99"/>
      <c r="N113" s="20"/>
    </row>
    <row r="114" spans="2:14" ht="63.75" customHeight="1" x14ac:dyDescent="0.5">
      <c r="B114" s="18"/>
      <c r="C114" s="308" t="str" cm="1">
        <f t="array" ref="C114">CONCATENATE("Aufgrund von Erfahrungswerten wird die erwartete Laufzeit auf "&amp;E19&amp;" Jahre gesetzt. Die Laufzeit könnte im Worst-Case auch "&amp;D19&amp;" Jahre betragen. Im Best-Case könnte die Laufzeit bis zu "&amp;F19&amp;" Jahre betragen. ","Mit einer Schwankungsbreite von +"&amp;ROUND((F19/E19-1)*100,1)&amp;" % bzw. "&amp;ROUND(-(1-(D19/E19))*100,1)&amp;" % im Vergleich zu der erwarteten Laufzeit"," ist die Schwankung",_xlfn.IFS(OR((F19/E19-1)*100&gt;50,(1-(D19/E19))*100&gt;50)," relativ groß.",AND((F19/E19-1)*100&lt;=50,(1-(D19/E19))*100&lt;=50,OR((F19/E19-1)*100&gt;15,(1-(D19/E19))*100&gt;15))," im Normalbereich.",AND((F19/E19-1)*100&lt;=15,(1-(D19/E19))*100&lt;=15)," eher gering."))</f>
        <v>Aufgrund von Erfahrungswerten wird die erwartete Laufzeit auf 10 Jahre gesetzt. Die Laufzeit könnte im Worst-Case auch 8 Jahre betragen. Im Best-Case könnte die Laufzeit bis zu 12 Jahre betragen. Mit einer Schwankungsbreite von +20 % bzw. -20 % im Vergleich zu der erwarteten Laufzeit ist die Schwankung im Normalbereich.</v>
      </c>
      <c r="D114" s="308"/>
      <c r="E114" s="308"/>
      <c r="F114" s="308"/>
      <c r="G114" s="308"/>
      <c r="H114" s="308"/>
      <c r="I114" s="308"/>
      <c r="J114" s="308"/>
      <c r="K114" s="308"/>
      <c r="L114" s="308"/>
      <c r="M114" s="263"/>
      <c r="N114" s="20"/>
    </row>
    <row r="115" spans="2:14" ht="18" customHeight="1" x14ac:dyDescent="0.5">
      <c r="B115" s="18"/>
      <c r="C115" s="307" t="s">
        <v>171</v>
      </c>
      <c r="D115" s="307"/>
      <c r="E115" s="307"/>
      <c r="F115" s="307"/>
      <c r="G115" s="307"/>
      <c r="H115" s="307"/>
      <c r="I115" s="307"/>
      <c r="J115" s="307"/>
      <c r="K115" s="307"/>
      <c r="L115" s="307"/>
      <c r="M115" s="263"/>
      <c r="N115" s="20"/>
    </row>
    <row r="116" spans="2:14" ht="18" customHeight="1" x14ac:dyDescent="0.5">
      <c r="B116" s="18"/>
      <c r="C116" s="264" t="str">
        <f>"Kalkulationszinssatz: "&amp;'Allgemeine Unternehmensdaten'!F25*100&amp;" % "</f>
        <v xml:space="preserve">Kalkulationszinssatz: 4 % </v>
      </c>
      <c r="D116" s="95"/>
      <c r="E116" s="95"/>
      <c r="F116" s="95"/>
      <c r="G116" s="95"/>
      <c r="H116" s="95"/>
      <c r="I116" s="95"/>
      <c r="J116" s="95"/>
      <c r="K116" s="95"/>
      <c r="L116" s="95"/>
      <c r="M116" s="99"/>
      <c r="N116" s="20"/>
    </row>
    <row r="117" spans="2:14" ht="91.5" customHeight="1" x14ac:dyDescent="0.5">
      <c r="B117" s="18"/>
      <c r="C117" s="308" t="str" cm="1">
        <f t="array" ref="C117">_xlfn.TEXTJOIN(,,IF('Allgemeine Unternehmensdaten'!E21:G21=1,"Die Anschaffung wird ganz aus Eigenkapital finanziert. Der Eigenkapital-Zins von "&amp;'Allgemeine Unternehmensdaten'!F25*100&amp;" % orientiert sich am Return on Assets (RoA) des vorangegangenen Geschäftsjahres.",""),IF('Allgemeine Unternehmensdaten'!E22:G22=1," Die Anschaffung wird ganz aus Fremdkapital finanziert. Der Fremdkapital-Zins von "&amp;'Allgemeine Unternehmensdaten'!F25*100&amp;" % ist jener, der von der Hausbank für einen entsprechenden Kredit gefordert wird.",""),IF(AND('Allgemeine Unternehmensdaten'!E21:G21&lt;1,'Allgemeine Unternehmensdaten'!E22:G22&lt;1),_xlfn.TEXTJOIN(,,"Ein WACC wurde berechnet und als Kalkulationszinssatz verwendet, da die Anschaffung zum Teil durch Eigenkapital und zum anderen Teil auch durch einen Kredit finanziert werden. Unter Berücksichtigung eines"," Anteils von "&amp;'Allgemeine Unternehmensdaten'!E21:G21*100&amp;" % Eigenkapital ("&amp;'Allgemeine Unternehmensdaten'!F23*100&amp;" % Eigenkapitalzins) und eines Anteils von "&amp;'Allgemeine Unternehmensdaten'!E22:G22*100&amp;" % Fremdkapital ("&amp;'Allgemeine Unternehmensdaten'!F24*100&amp;" % Fremdkapitalzins) ergeben"," sich WACC von "&amp;'Allgemeine Unternehmensdaten'!F25*100&amp;" %. Der EK-Zins orientiert sich am Return on Assets (RoA) des vorangegangenen Geschäftsjahres. Der FK-Zins ist jener, der von unserer Hausbank für einen entsprechenden Kredit gefordert wird."),""))</f>
        <v xml:space="preserve"> Die Anschaffung wird ganz aus Fremdkapital finanziert. Der Fremdkapital-Zins von 4 % ist jener, der von der Hausbank für einen entsprechenden Kredit gefordert wird.</v>
      </c>
      <c r="D117" s="308"/>
      <c r="E117" s="308"/>
      <c r="F117" s="308"/>
      <c r="G117" s="308"/>
      <c r="H117" s="308"/>
      <c r="I117" s="308"/>
      <c r="J117" s="308"/>
      <c r="K117" s="308"/>
      <c r="L117" s="308"/>
      <c r="M117" s="263" t="s">
        <v>175</v>
      </c>
      <c r="N117" s="20"/>
    </row>
    <row r="118" spans="2:14" ht="18" customHeight="1" x14ac:dyDescent="0.5">
      <c r="B118" s="18"/>
      <c r="C118" s="139" t="s">
        <v>171</v>
      </c>
      <c r="D118" s="265"/>
      <c r="E118" s="265"/>
      <c r="F118" s="265"/>
      <c r="G118" s="265"/>
      <c r="H118" s="265"/>
      <c r="I118" s="265"/>
      <c r="J118" s="265"/>
      <c r="K118" s="265"/>
      <c r="L118" s="265"/>
      <c r="M118" s="263"/>
      <c r="N118" s="20"/>
    </row>
    <row r="119" spans="2:14" ht="18" customHeight="1" x14ac:dyDescent="0.5">
      <c r="B119" s="18"/>
      <c r="C119" s="266" t="s">
        <v>176</v>
      </c>
      <c r="D119" s="95"/>
      <c r="E119" s="95"/>
      <c r="F119" s="95"/>
      <c r="G119" s="95"/>
      <c r="H119" s="95"/>
      <c r="I119" s="95"/>
      <c r="J119" s="95"/>
      <c r="K119" s="95"/>
      <c r="L119" s="95"/>
      <c r="M119" s="99"/>
      <c r="N119" s="20"/>
    </row>
    <row r="120" spans="2:14" ht="57.75" customHeight="1" x14ac:dyDescent="0.5">
      <c r="B120" s="18"/>
      <c r="C120" s="308" t="str">
        <f>_xlfn.TEXTJOIN(,TRUE(),"Die Preisschwankungsraten für relevante Güter und Dienstleistungen betragen "&amp;E7*100&amp;" % im erwarteten Fall. Die Preisschwankungsrate für einzelne Nutzen oder Lasten ist standardgemäß auf diesen Wert gesetzt, kann ","aber auch individuell für jeden Nutzenfaktor/Lastfaktor angepasst werden. Die Preisschwankungsraten der einzelnen Faktoren können oben abgelesen werden.")</f>
        <v>Die Preisschwankungsraten für relevante Güter und Dienstleistungen betragen 3 % im erwarteten Fall. Die Preisschwankungsrate für einzelne Nutzen oder Lasten ist standardgemäß auf diesen Wert gesetzt, kann aber auch individuell für jeden Nutzenfaktor/Lastfaktor angepasst werden. Die Preisschwankungsraten der einzelnen Faktoren können oben abgelesen werden.</v>
      </c>
      <c r="D120" s="308"/>
      <c r="E120" s="308"/>
      <c r="F120" s="308"/>
      <c r="G120" s="308"/>
      <c r="H120" s="308"/>
      <c r="I120" s="308"/>
      <c r="J120" s="308"/>
      <c r="K120" s="308"/>
      <c r="L120" s="308"/>
      <c r="M120" s="263"/>
      <c r="N120" s="20"/>
    </row>
    <row r="121" spans="2:14" ht="18" customHeight="1" x14ac:dyDescent="0.5">
      <c r="B121" s="18"/>
      <c r="C121" s="309" t="s">
        <v>171</v>
      </c>
      <c r="D121" s="309"/>
      <c r="E121" s="309"/>
      <c r="F121" s="309"/>
      <c r="G121" s="309"/>
      <c r="H121" s="309"/>
      <c r="I121" s="309"/>
      <c r="J121" s="309"/>
      <c r="K121" s="309"/>
      <c r="L121" s="309"/>
      <c r="M121" s="263"/>
      <c r="N121" s="20"/>
    </row>
    <row r="122" spans="2:14" ht="18" customHeight="1" x14ac:dyDescent="0.5">
      <c r="B122" s="18"/>
      <c r="C122" s="266" t="s">
        <v>177</v>
      </c>
      <c r="D122" s="95"/>
      <c r="E122" s="95"/>
      <c r="F122" s="95"/>
      <c r="G122" s="95"/>
      <c r="H122" s="95"/>
      <c r="I122" s="95"/>
      <c r="J122" s="95"/>
      <c r="K122" s="95"/>
      <c r="L122" s="95"/>
      <c r="M122" s="99"/>
      <c r="N122" s="20"/>
    </row>
    <row r="123" spans="2:14" ht="17.25" customHeight="1" x14ac:dyDescent="0.5">
      <c r="B123" s="18"/>
      <c r="C123" s="267" t="str">
        <f>_xlfn.TEXTJOIN(,,
IF(J23&lt;&gt;0, "Die Degradation für den Faktor "&amp;C23&amp;" beträgt im erwarteten Fall "&amp;J23*100&amp;" %. ", ""),
IF(J24&lt;&gt;0, "Die Degradation für den Faktor "&amp;C24&amp;" beträgt im erwarteten Fall "&amp;J24*100&amp;" %. ", ""),
IF(J25&lt;&gt;0, "Die Degradation für den Faktor "&amp;C25&amp;" beträgt im erwarteten Fall "&amp;J25*100&amp;" %. ", ""),
IF(J26&lt;&gt;0, "Die Degradation für den Faktor "&amp;C26&amp;" beträgt im erwarteten Fall "&amp;J26*100&amp;" %. ", ""),
IF(J27&lt;&gt;0, "Die Degradation für den Faktor "&amp;C27&amp;" beträgt im erwarteten Fall "&amp;J27*100&amp;" %. ", ""),
IF(J28&lt;&gt;0, "Die Degradation für den Faktor "&amp;C28&amp;" beträgt im erwarteten Fall "&amp;J28*100&amp;" %. ", ""),
IF(J29&lt;&gt;0, "Die Degradation für den Faktor "&amp;C29&amp;" beträgt im erwarteten Fall "&amp;J29*100&amp;" %. ", ""),
IF(J30&lt;&gt;0, "Die Degradation für den Faktor "&amp;C30&amp;" beträgt im erwarteten Fall "&amp;J30*100&amp;" %. ", ""),
IF(J31&lt;&gt;0, "Die Degradation für den Faktor "&amp;C31&amp;" beträgt im erwarteten Fall "&amp;J31*100&amp;" %. ", ""),
IF(J32&lt;&gt;0, "Die Degradation für den Faktor "&amp;C32&amp;" beträgt im erwarteten Fall "&amp;J32*100&amp;" %. ", ""),
IF(J33&lt;&gt;0, "Die Degradation für den Faktor "&amp;C33&amp;" beträgt im erwarteten Fall "&amp;J33*100&amp;" %. ", ""),
IF(J34&lt;&gt;0, "Die Degradation für den Faktor "&amp;C34&amp;" beträgt im erwarteten Fall "&amp;J34*100&amp;" %. ", ""),
IF(J35&lt;&gt;0, "Die Degradation für den Faktor "&amp;C35&amp;" beträgt im erwarteten Fall "&amp;J35*100&amp;" %. ", ""),
IF(J36&lt;&gt;0, "Die Degradation für den Faktor "&amp;C36&amp;" beträgt im erwarteten Fall "&amp;J36*100&amp;" %. ", ""),
IF(J37&lt;&gt;0, "Die Degradation für den Faktor "&amp;C37&amp;" beträgt im erwarteten Fall "&amp;J37*100&amp;" %. ", ""),
IF(J38&lt;&gt;0, "Die Degradation für den Faktor "&amp;C38&amp;" beträgt im erwarteten Fall "&amp;J38*100&amp;" %. ", ""),
IF(J39&lt;&gt;0, "Die Degradation für den Faktor "&amp;C39&amp;" beträgt im erwarteten Fall "&amp;J39*100&amp;" %. ", ""),
IF(J40&lt;&gt;0, "Die Degradation für den Faktor "&amp;C40&amp;" beträgt im erwarteten Fall "&amp;J40*100&amp;" %. ", ""),
IF(J41&lt;&gt;0, "Die Degradation für den Faktor "&amp;C41&amp;" beträgt im erwarteten Fall "&amp;J41*100&amp;" %. ", ""),
IF(J42&lt;&gt;0, "Die Degradation für den Faktor "&amp;C42&amp;" beträgt im erwarteten Fall "&amp;J42*100&amp;" %. ", ""),
IF(J43&lt;&gt;0, "Die Degradation für den Faktor "&amp;C43&amp;" beträgt im erwarteten Fall "&amp;J43*100&amp;" %. ", ""),
IF(J44&lt;&gt;0, "Die Degradation für den Faktor "&amp;C44&amp;" beträgt im erwarteten Fall "&amp;J44*100&amp;" %. ", ""),
IF(J45&lt;&gt;0, "Die Degradation für den Faktor "&amp;C45&amp;" beträgt im erwarteten Fall "&amp;J45*100&amp;" %. ", ""),
IF(J46&lt;&gt;0, "Die Degradation für den Faktor "&amp;C46&amp;" beträgt im erwarteten Fall "&amp;J46*100&amp;" %. ", ""),
IF(J47&lt;&gt;0, "Die Degradation für den Faktor "&amp;C47&amp;" beträgt im erwarteten Fall "&amp;J47*100&amp;" %. ", ""),
IF(J48&lt;&gt;0, "Die Degradation für den Faktor "&amp;C48&amp;" beträgt im erwarteten Fall "&amp;J48*100&amp;" %. ", ""),
IF(J49&lt;&gt;0, "Die Degradation für den Faktor "&amp;C49&amp;" beträgt im erwarteten Fall "&amp;J49*100&amp;" %. ", ""),
IF(J50&lt;&gt;0, "Die Degradation für den Faktor "&amp;C50&amp;" beträgt im erwarteten Fall "&amp;J50*100&amp;" %. ", ""),
IF(J51&lt;&gt;0, "Die Degradation für den Faktor "&amp;C51&amp;" beträgt im erwarteten Fall "&amp;J51*100&amp;" %. ", ""),
IF(J52&lt;&gt;0, "Die Degradation für den Faktor "&amp;C52&amp;" beträgt im erwarteten Fall "&amp;J52*100&amp;" %. ", ""),
IF(J53&lt;&gt;0, "Die Degradation für den Faktor "&amp;C53&amp;" beträgt im erwarteten Fall "&amp;J53*100&amp;" %. ", ""),
IF(J54&lt;&gt;0, "Die Degradation für den Faktor "&amp;C54&amp;" beträgt im erwarteten Fall "&amp;J54*100&amp;" %. ", ""),
IF(J55&lt;&gt;0, "Die Degradation für den Faktor "&amp;C55&amp;" beträgt im erwarteten Fall "&amp;J55*100&amp;" %. ", ""),IF(SUM(J23:J55)=0,"Keiner der Nutzen/ Lastenfaktoren hat einen Degradationsfaktor.",""))</f>
        <v>Keiner der Nutzen/ Lastenfaktoren hat einen Degradationsfaktor.</v>
      </c>
      <c r="D123" s="265"/>
      <c r="E123" s="265"/>
      <c r="F123" s="265"/>
      <c r="G123" s="265"/>
      <c r="H123" s="265"/>
      <c r="I123" s="265"/>
      <c r="J123" s="265"/>
      <c r="K123" s="265"/>
      <c r="L123" s="265"/>
      <c r="M123" s="263"/>
      <c r="N123" s="20"/>
    </row>
    <row r="124" spans="2:14" ht="18" customHeight="1" x14ac:dyDescent="0.5">
      <c r="B124" s="18"/>
      <c r="C124" s="112" t="s">
        <v>171</v>
      </c>
      <c r="D124" s="113"/>
      <c r="E124" s="113"/>
      <c r="F124" s="113"/>
      <c r="G124" s="113"/>
      <c r="H124" s="113"/>
      <c r="I124" s="113"/>
      <c r="J124" s="113"/>
      <c r="K124" s="113"/>
      <c r="L124" s="113"/>
      <c r="M124" s="268"/>
      <c r="N124" s="20"/>
    </row>
    <row r="125" spans="2:14" ht="18" customHeight="1" x14ac:dyDescent="0.5">
      <c r="B125" s="18"/>
      <c r="C125" s="19"/>
      <c r="D125" s="19"/>
      <c r="E125" s="19"/>
      <c r="F125" s="19"/>
      <c r="G125" s="19"/>
      <c r="H125" s="19"/>
      <c r="I125" s="19"/>
      <c r="J125" s="19"/>
      <c r="K125" s="19"/>
      <c r="L125" s="19"/>
      <c r="M125" s="19"/>
      <c r="N125" s="20"/>
    </row>
    <row r="126" spans="2:14" ht="18" customHeight="1" x14ac:dyDescent="0.5">
      <c r="B126" s="18"/>
      <c r="C126" s="305" t="s">
        <v>178</v>
      </c>
      <c r="D126" s="305"/>
      <c r="E126" s="305"/>
      <c r="F126" s="305"/>
      <c r="G126" s="305"/>
      <c r="H126" s="305"/>
      <c r="I126" s="305"/>
      <c r="J126" s="305"/>
      <c r="K126" s="305"/>
      <c r="L126" s="305"/>
      <c r="M126" s="305"/>
      <c r="N126" s="20"/>
    </row>
    <row r="127" spans="2:14" ht="17.25" customHeight="1" x14ac:dyDescent="0.5">
      <c r="B127" s="18"/>
      <c r="C127" s="18" t="s">
        <v>179</v>
      </c>
      <c r="D127" s="19"/>
      <c r="E127" s="19"/>
      <c r="F127" s="19"/>
      <c r="G127" s="19"/>
      <c r="H127" s="19"/>
      <c r="I127" s="19"/>
      <c r="J127" s="19"/>
      <c r="K127" s="19"/>
      <c r="L127" s="19"/>
      <c r="M127" s="20"/>
      <c r="N127" s="20"/>
    </row>
    <row r="128" spans="2:14" ht="17.25" customHeight="1" x14ac:dyDescent="0.5">
      <c r="B128" s="18"/>
      <c r="C128" s="18" t="s">
        <v>180</v>
      </c>
      <c r="D128" s="19"/>
      <c r="E128" s="19"/>
      <c r="F128" s="19"/>
      <c r="G128" s="19"/>
      <c r="H128" s="19"/>
      <c r="I128" s="19"/>
      <c r="J128" s="19"/>
      <c r="K128" s="19"/>
      <c r="L128" s="19"/>
      <c r="M128" s="20"/>
      <c r="N128" s="20"/>
    </row>
    <row r="129" spans="2:14" ht="18" customHeight="1" x14ac:dyDescent="0.5">
      <c r="B129" s="18"/>
      <c r="C129" s="255"/>
      <c r="D129" s="259"/>
      <c r="E129" s="259"/>
      <c r="F129" s="259"/>
      <c r="G129" s="259"/>
      <c r="H129" s="259"/>
      <c r="I129" s="259"/>
      <c r="J129" s="259"/>
      <c r="K129" s="259"/>
      <c r="L129" s="259"/>
      <c r="M129" s="256"/>
      <c r="N129" s="20"/>
    </row>
    <row r="130" spans="2:14" ht="18" customHeight="1" x14ac:dyDescent="0.5">
      <c r="B130" s="255"/>
      <c r="C130" s="259"/>
      <c r="D130" s="259"/>
      <c r="E130" s="259"/>
      <c r="F130" s="259"/>
      <c r="G130" s="259"/>
      <c r="H130" s="259"/>
      <c r="I130" s="259"/>
      <c r="J130" s="259"/>
      <c r="K130" s="259"/>
      <c r="L130" s="259"/>
      <c r="M130" s="259"/>
      <c r="N130" s="256"/>
    </row>
    <row r="133" spans="2:14" ht="35.25" customHeight="1" x14ac:dyDescent="0.5"/>
    <row r="135" spans="2:14" ht="17.25" customHeight="1" x14ac:dyDescent="0.5">
      <c r="C135" s="269"/>
    </row>
    <row r="137" spans="2:14" ht="17.25" customHeight="1" x14ac:dyDescent="0.5">
      <c r="C137" s="270"/>
    </row>
  </sheetData>
  <mergeCells count="44">
    <mergeCell ref="B2:C2"/>
    <mergeCell ref="D2:N2"/>
    <mergeCell ref="B3:C3"/>
    <mergeCell ref="D3:N3"/>
    <mergeCell ref="B4:C4"/>
    <mergeCell ref="D4:N4"/>
    <mergeCell ref="B6:C7"/>
    <mergeCell ref="D9:F9"/>
    <mergeCell ref="G9:I9"/>
    <mergeCell ref="B13:C13"/>
    <mergeCell ref="R19:BT19"/>
    <mergeCell ref="BV19:DX19"/>
    <mergeCell ref="DZ19:GB19"/>
    <mergeCell ref="L20:M20"/>
    <mergeCell ref="I21:K21"/>
    <mergeCell ref="L21:N21"/>
    <mergeCell ref="B23:B38"/>
    <mergeCell ref="B39:B55"/>
    <mergeCell ref="B90:N90"/>
    <mergeCell ref="D92:M92"/>
    <mergeCell ref="C93:C94"/>
    <mergeCell ref="D93:M93"/>
    <mergeCell ref="D94:M94"/>
    <mergeCell ref="C96:M96"/>
    <mergeCell ref="C97:M97"/>
    <mergeCell ref="C98:M98"/>
    <mergeCell ref="C100:M100"/>
    <mergeCell ref="C101:M101"/>
    <mergeCell ref="C102:M102"/>
    <mergeCell ref="C104:M104"/>
    <mergeCell ref="C105:M105"/>
    <mergeCell ref="C107:M107"/>
    <mergeCell ref="C108:F108"/>
    <mergeCell ref="H108:M108"/>
    <mergeCell ref="C109:M109"/>
    <mergeCell ref="C110:M110"/>
    <mergeCell ref="C112:M112"/>
    <mergeCell ref="D113:L113"/>
    <mergeCell ref="C114:L114"/>
    <mergeCell ref="C115:L115"/>
    <mergeCell ref="C117:L117"/>
    <mergeCell ref="C120:L120"/>
    <mergeCell ref="C121:L121"/>
    <mergeCell ref="C126:M126"/>
  </mergeCells>
  <pageMargins left="0.7" right="0.7" top="0.78749999999999998" bottom="0.78749999999999998" header="0.511811023622047" footer="0.511811023622047"/>
  <pageSetup paperSize="9" scale="38" orientation="portrait" horizontalDpi="300" verticalDpi="30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FBFBF"/>
  </sheetPr>
  <dimension ref="B1:U55"/>
  <sheetViews>
    <sheetView topLeftCell="F14" zoomScale="55" zoomScaleNormal="55" workbookViewId="0">
      <selection activeCell="G20" sqref="G20:I20"/>
    </sheetView>
  </sheetViews>
  <sheetFormatPr baseColWidth="10" defaultColWidth="10.5703125" defaultRowHeight="16.5" x14ac:dyDescent="0.5"/>
  <cols>
    <col min="3" max="3" width="1.640625" customWidth="1"/>
    <col min="4" max="4" width="3.42578125" customWidth="1"/>
    <col min="5" max="5" width="4.140625" customWidth="1"/>
    <col min="6" max="6" width="23.5703125" customWidth="1"/>
    <col min="9" max="9" width="18.42578125" customWidth="1"/>
    <col min="10" max="10" width="2.5703125" customWidth="1"/>
    <col min="14" max="14" width="2.35546875" customWidth="1"/>
    <col min="15" max="15" width="4" customWidth="1"/>
    <col min="17" max="17" width="21.5703125" customWidth="1"/>
    <col min="18" max="18" width="17.35546875" customWidth="1"/>
    <col min="19" max="19" width="20" customWidth="1"/>
    <col min="20" max="20" width="2.85546875" customWidth="1"/>
  </cols>
  <sheetData>
    <row r="1" spans="2:21" ht="18" customHeight="1" x14ac:dyDescent="0.5"/>
    <row r="2" spans="2:21" ht="18" customHeight="1" x14ac:dyDescent="0.5">
      <c r="B2" s="352" t="s">
        <v>185</v>
      </c>
      <c r="C2" s="352"/>
      <c r="D2" s="352"/>
      <c r="E2" s="352"/>
      <c r="F2" s="352"/>
      <c r="G2" s="352"/>
      <c r="H2" s="352"/>
      <c r="I2" s="352"/>
      <c r="J2" s="352"/>
      <c r="K2" s="352"/>
      <c r="L2" s="277"/>
      <c r="M2" s="352" t="s">
        <v>185</v>
      </c>
      <c r="N2" s="352"/>
      <c r="O2" s="352"/>
      <c r="P2" s="352"/>
      <c r="Q2" s="352"/>
      <c r="R2" s="352"/>
      <c r="S2" s="352"/>
      <c r="T2" s="352"/>
      <c r="U2" s="352"/>
    </row>
    <row r="3" spans="2:21" ht="18" customHeight="1" x14ac:dyDescent="0.5">
      <c r="B3" s="18"/>
      <c r="C3" s="19"/>
      <c r="D3" s="19"/>
      <c r="E3" s="19"/>
      <c r="F3" s="19"/>
      <c r="G3" s="19"/>
      <c r="H3" s="19"/>
      <c r="I3" s="19"/>
      <c r="J3" s="19"/>
      <c r="K3" s="20"/>
      <c r="M3" s="18"/>
      <c r="N3" s="19"/>
      <c r="O3" s="19"/>
      <c r="P3" s="19"/>
      <c r="Q3" s="19"/>
      <c r="R3" s="19"/>
      <c r="S3" s="19"/>
      <c r="T3" s="19"/>
      <c r="U3" s="20"/>
    </row>
    <row r="4" spans="2:21" ht="22.5" customHeight="1" x14ac:dyDescent="0.6">
      <c r="B4" s="278"/>
      <c r="C4" s="351" t="s">
        <v>186</v>
      </c>
      <c r="D4" s="351"/>
      <c r="E4" s="351"/>
      <c r="F4" s="351"/>
      <c r="G4" s="351"/>
      <c r="H4" s="351"/>
      <c r="I4" s="351"/>
      <c r="J4" s="351"/>
      <c r="K4" s="279"/>
      <c r="M4" s="18"/>
      <c r="N4" s="351" t="s">
        <v>187</v>
      </c>
      <c r="O4" s="351"/>
      <c r="P4" s="351"/>
      <c r="Q4" s="351"/>
      <c r="R4" s="351"/>
      <c r="S4" s="351"/>
      <c r="T4" s="351"/>
      <c r="U4" s="20"/>
    </row>
    <row r="5" spans="2:21" ht="17.25" customHeight="1" x14ac:dyDescent="0.5">
      <c r="B5" s="18"/>
      <c r="C5" s="139"/>
      <c r="D5" s="265"/>
      <c r="E5" s="265"/>
      <c r="F5" s="265"/>
      <c r="G5" s="265"/>
      <c r="H5" s="265"/>
      <c r="I5" s="265"/>
      <c r="J5" s="263"/>
      <c r="K5" s="20"/>
      <c r="M5" s="18"/>
      <c r="N5" s="139"/>
      <c r="O5" s="265"/>
      <c r="P5" s="265"/>
      <c r="Q5" s="265"/>
      <c r="R5" s="265"/>
      <c r="S5" s="265"/>
      <c r="T5" s="263"/>
      <c r="U5" s="20"/>
    </row>
    <row r="6" spans="2:21" ht="15" customHeight="1" x14ac:dyDescent="0.5">
      <c r="B6" s="18"/>
      <c r="C6" s="139"/>
      <c r="D6" s="265" t="s">
        <v>188</v>
      </c>
      <c r="E6" s="265"/>
      <c r="F6" s="265"/>
      <c r="G6" s="346"/>
      <c r="H6" s="346"/>
      <c r="I6" s="346"/>
      <c r="J6" s="263"/>
      <c r="K6" s="20"/>
      <c r="M6" s="18"/>
      <c r="N6" s="139"/>
      <c r="O6" s="345" t="s">
        <v>189</v>
      </c>
      <c r="P6" s="345"/>
      <c r="Q6" s="345"/>
      <c r="R6" s="345"/>
      <c r="S6" s="345"/>
      <c r="T6" s="263"/>
      <c r="U6" s="20"/>
    </row>
    <row r="7" spans="2:21" ht="16.5" customHeight="1" x14ac:dyDescent="0.5">
      <c r="B7" s="18"/>
      <c r="C7" s="139"/>
      <c r="D7" s="265"/>
      <c r="E7" s="265"/>
      <c r="F7" s="265"/>
      <c r="G7" s="265"/>
      <c r="H7" s="265"/>
      <c r="I7" s="265"/>
      <c r="J7" s="263"/>
      <c r="K7" s="20"/>
      <c r="M7" s="18"/>
      <c r="N7" s="139"/>
      <c r="O7" s="345"/>
      <c r="P7" s="345"/>
      <c r="Q7" s="345"/>
      <c r="R7" s="345"/>
      <c r="S7" s="345"/>
      <c r="T7" s="263"/>
      <c r="U7" s="20"/>
    </row>
    <row r="8" spans="2:21" ht="17.25" customHeight="1" x14ac:dyDescent="0.5">
      <c r="B8" s="18"/>
      <c r="C8" s="139"/>
      <c r="D8" s="265" t="s">
        <v>190</v>
      </c>
      <c r="E8" s="265"/>
      <c r="F8" s="265"/>
      <c r="G8" s="346"/>
      <c r="H8" s="346"/>
      <c r="I8" s="346"/>
      <c r="J8" s="263"/>
      <c r="K8" s="20"/>
      <c r="M8" s="18"/>
      <c r="N8" s="139"/>
      <c r="O8" s="345"/>
      <c r="P8" s="345"/>
      <c r="Q8" s="345"/>
      <c r="R8" s="345"/>
      <c r="S8" s="345"/>
      <c r="T8" s="263"/>
      <c r="U8" s="20"/>
    </row>
    <row r="9" spans="2:21" ht="17.25" customHeight="1" x14ac:dyDescent="0.5">
      <c r="B9" s="18"/>
      <c r="C9" s="280"/>
      <c r="D9" s="281" t="s">
        <v>191</v>
      </c>
      <c r="E9" s="265"/>
      <c r="F9" s="265"/>
      <c r="G9" s="265"/>
      <c r="H9" s="265"/>
      <c r="I9" s="265"/>
      <c r="J9" s="263"/>
      <c r="K9" s="20"/>
      <c r="M9" s="18"/>
      <c r="N9" s="139"/>
      <c r="O9" s="345"/>
      <c r="P9" s="345"/>
      <c r="Q9" s="345"/>
      <c r="R9" s="345"/>
      <c r="S9" s="345"/>
      <c r="T9" s="263"/>
      <c r="U9" s="20"/>
    </row>
    <row r="10" spans="2:21" ht="17.25" customHeight="1" x14ac:dyDescent="0.5">
      <c r="B10" s="18"/>
      <c r="C10" s="139"/>
      <c r="D10" s="265"/>
      <c r="E10" s="265"/>
      <c r="F10" s="265"/>
      <c r="G10" s="265"/>
      <c r="H10" s="265"/>
      <c r="I10" s="265"/>
      <c r="J10" s="263"/>
      <c r="K10" s="20"/>
      <c r="M10" s="18"/>
      <c r="N10" s="139"/>
      <c r="O10" s="345"/>
      <c r="P10" s="345"/>
      <c r="Q10" s="345"/>
      <c r="R10" s="345"/>
      <c r="S10" s="345"/>
      <c r="T10" s="263"/>
      <c r="U10" s="20"/>
    </row>
    <row r="11" spans="2:21" ht="17.25" customHeight="1" x14ac:dyDescent="0.5">
      <c r="B11" s="18"/>
      <c r="C11" s="139"/>
      <c r="D11" s="265" t="s">
        <v>192</v>
      </c>
      <c r="E11" s="265"/>
      <c r="F11" s="265"/>
      <c r="G11" s="346"/>
      <c r="H11" s="346"/>
      <c r="I11" s="346"/>
      <c r="J11" s="263"/>
      <c r="K11" s="20"/>
      <c r="M11" s="18"/>
      <c r="N11" s="139"/>
      <c r="O11" s="265" t="s">
        <v>193</v>
      </c>
      <c r="P11" s="265"/>
      <c r="Q11" s="265"/>
      <c r="R11" s="265"/>
      <c r="S11" s="265"/>
      <c r="T11" s="263"/>
      <c r="U11" s="20"/>
    </row>
    <row r="12" spans="2:21" ht="17.25" customHeight="1" x14ac:dyDescent="0.5">
      <c r="B12" s="18"/>
      <c r="C12" s="139"/>
      <c r="D12" s="265"/>
      <c r="E12" s="265"/>
      <c r="F12" s="265"/>
      <c r="G12" s="265"/>
      <c r="H12" s="265"/>
      <c r="I12" s="265"/>
      <c r="J12" s="263"/>
      <c r="K12" s="20"/>
      <c r="M12" s="18"/>
      <c r="N12" s="139"/>
      <c r="O12" s="265"/>
      <c r="P12" s="265"/>
      <c r="Q12" s="265"/>
      <c r="R12" s="265"/>
      <c r="S12" s="265"/>
      <c r="T12" s="263"/>
      <c r="U12" s="20"/>
    </row>
    <row r="13" spans="2:21" ht="17.25" customHeight="1" x14ac:dyDescent="0.5">
      <c r="B13" s="18"/>
      <c r="C13" s="139"/>
      <c r="D13" s="265" t="s">
        <v>194</v>
      </c>
      <c r="E13" s="265"/>
      <c r="F13" s="265"/>
      <c r="G13" s="346"/>
      <c r="H13" s="346"/>
      <c r="I13" s="346"/>
      <c r="J13" s="263"/>
      <c r="K13" s="20"/>
      <c r="M13" s="18"/>
      <c r="N13" s="139"/>
      <c r="O13" s="265"/>
      <c r="P13" s="282" t="s">
        <v>195</v>
      </c>
      <c r="Q13" s="265"/>
      <c r="R13" s="282"/>
      <c r="S13" s="265"/>
      <c r="T13" s="263"/>
      <c r="U13" s="20"/>
    </row>
    <row r="14" spans="2:21" ht="17.25" customHeight="1" x14ac:dyDescent="0.5">
      <c r="B14" s="18"/>
      <c r="C14" s="139"/>
      <c r="D14" s="265"/>
      <c r="E14" s="265"/>
      <c r="F14" s="265"/>
      <c r="G14" s="265"/>
      <c r="H14" s="265"/>
      <c r="I14" s="265"/>
      <c r="J14" s="263"/>
      <c r="K14" s="20"/>
      <c r="M14" s="18"/>
      <c r="N14" s="139"/>
      <c r="O14" s="265"/>
      <c r="P14" s="265"/>
      <c r="Q14" s="265"/>
      <c r="R14" s="265"/>
      <c r="S14" s="265"/>
      <c r="T14" s="263"/>
      <c r="U14" s="20"/>
    </row>
    <row r="15" spans="2:21" ht="17.25" customHeight="1" x14ac:dyDescent="0.5">
      <c r="B15" s="18"/>
      <c r="C15" s="139"/>
      <c r="D15" s="265" t="s">
        <v>196</v>
      </c>
      <c r="E15" s="265"/>
      <c r="F15" s="265"/>
      <c r="G15" s="346"/>
      <c r="H15" s="346"/>
      <c r="I15" s="346"/>
      <c r="J15" s="263"/>
      <c r="K15" s="20"/>
      <c r="M15" s="18"/>
      <c r="N15" s="139"/>
      <c r="O15" s="265"/>
      <c r="P15" s="265" t="s">
        <v>197</v>
      </c>
      <c r="Q15" s="265"/>
      <c r="R15" s="265" t="s">
        <v>198</v>
      </c>
      <c r="S15" s="283"/>
      <c r="T15" s="263"/>
      <c r="U15" s="20"/>
    </row>
    <row r="16" spans="2:21" ht="18" customHeight="1" x14ac:dyDescent="0.5">
      <c r="B16" s="18"/>
      <c r="C16" s="112"/>
      <c r="D16" s="113"/>
      <c r="E16" s="113"/>
      <c r="F16" s="113"/>
      <c r="G16" s="113"/>
      <c r="H16" s="113"/>
      <c r="I16" s="113"/>
      <c r="J16" s="268"/>
      <c r="K16" s="20"/>
      <c r="M16" s="18"/>
      <c r="N16" s="139"/>
      <c r="O16" s="265"/>
      <c r="P16" s="265"/>
      <c r="Q16" s="265"/>
      <c r="R16" s="265"/>
      <c r="S16" s="265"/>
      <c r="T16" s="263"/>
      <c r="U16" s="20"/>
    </row>
    <row r="17" spans="2:21" ht="18" customHeight="1" x14ac:dyDescent="0.5">
      <c r="B17" s="18"/>
      <c r="C17" s="19"/>
      <c r="D17" s="19"/>
      <c r="E17" s="19"/>
      <c r="F17" s="19"/>
      <c r="G17" s="19"/>
      <c r="H17" s="19"/>
      <c r="I17" s="19"/>
      <c r="J17" s="19"/>
      <c r="K17" s="20"/>
      <c r="M17" s="18"/>
      <c r="N17" s="139"/>
      <c r="O17" s="265"/>
      <c r="P17" s="265" t="s">
        <v>199</v>
      </c>
      <c r="Q17" s="265"/>
      <c r="R17" s="265" t="s">
        <v>200</v>
      </c>
      <c r="S17" s="283"/>
      <c r="T17" s="263"/>
      <c r="U17" s="20"/>
    </row>
    <row r="18" spans="2:21" ht="22.5" customHeight="1" x14ac:dyDescent="0.6">
      <c r="B18" s="18"/>
      <c r="C18" s="351" t="s">
        <v>201</v>
      </c>
      <c r="D18" s="351"/>
      <c r="E18" s="351"/>
      <c r="F18" s="351"/>
      <c r="G18" s="351"/>
      <c r="H18" s="351"/>
      <c r="I18" s="351"/>
      <c r="J18" s="351"/>
      <c r="K18" s="20"/>
      <c r="M18" s="18"/>
      <c r="N18" s="139"/>
      <c r="O18" s="265"/>
      <c r="P18" s="265"/>
      <c r="Q18" s="265"/>
      <c r="R18" s="265"/>
      <c r="S18" s="265"/>
      <c r="T18" s="263"/>
      <c r="U18" s="20"/>
    </row>
    <row r="19" spans="2:21" ht="17.25" customHeight="1" x14ac:dyDescent="0.5">
      <c r="B19" s="18"/>
      <c r="C19" s="139"/>
      <c r="D19" s="265"/>
      <c r="E19" s="265"/>
      <c r="F19" s="265"/>
      <c r="G19" s="265"/>
      <c r="H19" s="265"/>
      <c r="I19" s="265"/>
      <c r="J19" s="263"/>
      <c r="K19" s="20"/>
      <c r="M19" s="18"/>
      <c r="N19" s="139"/>
      <c r="O19" s="265"/>
      <c r="P19" s="265" t="s">
        <v>202</v>
      </c>
      <c r="Q19" s="265"/>
      <c r="R19" s="265" t="s">
        <v>200</v>
      </c>
      <c r="S19" s="283"/>
      <c r="T19" s="263"/>
      <c r="U19" s="20"/>
    </row>
    <row r="20" spans="2:21" ht="17.25" customHeight="1" x14ac:dyDescent="0.5">
      <c r="B20" s="18"/>
      <c r="C20" s="139"/>
      <c r="D20" s="265" t="s">
        <v>203</v>
      </c>
      <c r="E20" s="265"/>
      <c r="F20" s="265"/>
      <c r="G20" s="344"/>
      <c r="H20" s="344"/>
      <c r="I20" s="344"/>
      <c r="J20" s="263"/>
      <c r="K20" s="20"/>
      <c r="M20" s="18"/>
      <c r="N20" s="139"/>
      <c r="O20" s="265"/>
      <c r="P20" s="265"/>
      <c r="Q20" s="265"/>
      <c r="R20" s="265"/>
      <c r="S20" s="265"/>
      <c r="T20" s="263"/>
      <c r="U20" s="20"/>
    </row>
    <row r="21" spans="2:21" ht="17.25" customHeight="1" x14ac:dyDescent="0.5">
      <c r="B21" s="18"/>
      <c r="C21" s="139"/>
      <c r="D21" s="265"/>
      <c r="E21" s="265"/>
      <c r="F21" s="265"/>
      <c r="G21" s="265"/>
      <c r="H21" s="265"/>
      <c r="I21" s="265"/>
      <c r="J21" s="263"/>
      <c r="K21" s="20"/>
      <c r="M21" s="18"/>
      <c r="N21" s="139"/>
      <c r="O21" s="265"/>
      <c r="P21" s="265" t="s">
        <v>204</v>
      </c>
      <c r="Q21" s="265"/>
      <c r="R21" s="265" t="s">
        <v>198</v>
      </c>
      <c r="S21" s="283"/>
      <c r="T21" s="263"/>
      <c r="U21" s="20"/>
    </row>
    <row r="22" spans="2:21" ht="17.25" customHeight="1" x14ac:dyDescent="0.5">
      <c r="B22" s="18"/>
      <c r="C22" s="139"/>
      <c r="D22" s="265" t="s">
        <v>205</v>
      </c>
      <c r="E22" s="265"/>
      <c r="F22" s="265"/>
      <c r="G22" s="344"/>
      <c r="H22" s="344"/>
      <c r="I22" s="344"/>
      <c r="J22" s="263"/>
      <c r="K22" s="20"/>
      <c r="M22" s="18"/>
      <c r="N22" s="139"/>
      <c r="O22" s="265"/>
      <c r="P22" s="265"/>
      <c r="Q22" s="265"/>
      <c r="R22" s="265"/>
      <c r="S22" s="265"/>
      <c r="T22" s="263"/>
      <c r="U22" s="20"/>
    </row>
    <row r="23" spans="2:21" ht="17.25" customHeight="1" x14ac:dyDescent="0.5">
      <c r="B23" s="18"/>
      <c r="C23" s="139"/>
      <c r="D23" s="265"/>
      <c r="E23" s="265"/>
      <c r="F23" s="265"/>
      <c r="G23" s="265"/>
      <c r="H23" s="265"/>
      <c r="I23" s="265"/>
      <c r="J23" s="263"/>
      <c r="K23" s="20"/>
      <c r="M23" s="18"/>
      <c r="N23" s="139"/>
      <c r="O23" s="345" t="s">
        <v>206</v>
      </c>
      <c r="P23" s="345"/>
      <c r="Q23" s="345"/>
      <c r="R23" s="345"/>
      <c r="S23" s="345"/>
      <c r="T23" s="263"/>
      <c r="U23" s="20"/>
    </row>
    <row r="24" spans="2:21" ht="17.25" customHeight="1" x14ac:dyDescent="0.5">
      <c r="B24" s="18"/>
      <c r="C24" s="139"/>
      <c r="D24" s="265" t="s">
        <v>207</v>
      </c>
      <c r="E24" s="265"/>
      <c r="F24" s="265"/>
      <c r="G24" s="350"/>
      <c r="H24" s="350"/>
      <c r="I24" s="350"/>
      <c r="J24" s="263"/>
      <c r="K24" s="20"/>
      <c r="M24" s="18"/>
      <c r="N24" s="139"/>
      <c r="O24" s="345"/>
      <c r="P24" s="345"/>
      <c r="Q24" s="345"/>
      <c r="R24" s="345"/>
      <c r="S24" s="345"/>
      <c r="T24" s="263"/>
      <c r="U24" s="20"/>
    </row>
    <row r="25" spans="2:21" ht="18" customHeight="1" x14ac:dyDescent="0.5">
      <c r="B25" s="18"/>
      <c r="C25" s="112"/>
      <c r="D25" s="113"/>
      <c r="E25" s="113"/>
      <c r="F25" s="113"/>
      <c r="G25" s="113"/>
      <c r="H25" s="113"/>
      <c r="I25" s="113"/>
      <c r="J25" s="268"/>
      <c r="K25" s="20"/>
      <c r="M25" s="18"/>
      <c r="N25" s="139"/>
      <c r="O25" s="265"/>
      <c r="P25" s="265"/>
      <c r="Q25" s="265"/>
      <c r="R25" s="265"/>
      <c r="S25" s="265"/>
      <c r="T25" s="263"/>
      <c r="U25" s="20"/>
    </row>
    <row r="26" spans="2:21" ht="16.5" customHeight="1" x14ac:dyDescent="0.5">
      <c r="B26" s="18"/>
      <c r="C26" s="19"/>
      <c r="D26" s="19"/>
      <c r="E26" s="19"/>
      <c r="F26" s="19"/>
      <c r="G26" s="19"/>
      <c r="H26" s="19"/>
      <c r="I26" s="19"/>
      <c r="J26" s="19"/>
      <c r="K26" s="20"/>
      <c r="M26" s="18"/>
      <c r="N26" s="139"/>
      <c r="O26" s="265" t="s">
        <v>39</v>
      </c>
      <c r="P26" s="347" t="s">
        <v>208</v>
      </c>
      <c r="Q26" s="347"/>
      <c r="R26" s="347"/>
      <c r="S26" s="347"/>
      <c r="T26" s="263"/>
      <c r="U26" s="20"/>
    </row>
    <row r="27" spans="2:21" ht="19.5" customHeight="1" x14ac:dyDescent="0.6">
      <c r="B27" s="18"/>
      <c r="C27" s="351" t="s">
        <v>11</v>
      </c>
      <c r="D27" s="351"/>
      <c r="E27" s="351"/>
      <c r="F27" s="351"/>
      <c r="G27" s="351"/>
      <c r="H27" s="351"/>
      <c r="I27" s="351"/>
      <c r="J27" s="351"/>
      <c r="K27" s="20"/>
      <c r="M27" s="18"/>
      <c r="N27" s="139"/>
      <c r="O27" s="265" t="s">
        <v>39</v>
      </c>
      <c r="P27" s="345" t="s">
        <v>209</v>
      </c>
      <c r="Q27" s="345"/>
      <c r="R27" s="345"/>
      <c r="S27" s="345"/>
      <c r="T27" s="263"/>
      <c r="U27" s="20"/>
    </row>
    <row r="28" spans="2:21" ht="17.25" customHeight="1" x14ac:dyDescent="0.5">
      <c r="B28" s="18"/>
      <c r="C28" s="139"/>
      <c r="D28" s="265"/>
      <c r="E28" s="265"/>
      <c r="F28" s="265"/>
      <c r="G28" s="265"/>
      <c r="H28" s="265"/>
      <c r="I28" s="265"/>
      <c r="J28" s="263"/>
      <c r="K28" s="20"/>
      <c r="M28" s="18"/>
      <c r="N28" s="139"/>
      <c r="O28" s="265"/>
      <c r="P28" s="345"/>
      <c r="Q28" s="345"/>
      <c r="R28" s="345"/>
      <c r="S28" s="345"/>
      <c r="T28" s="263"/>
      <c r="U28" s="20"/>
    </row>
    <row r="29" spans="2:21" ht="15.75" customHeight="1" x14ac:dyDescent="0.5">
      <c r="B29" s="18"/>
      <c r="C29" s="139"/>
      <c r="D29" s="345" t="s">
        <v>210</v>
      </c>
      <c r="E29" s="345"/>
      <c r="F29" s="345"/>
      <c r="G29" s="345"/>
      <c r="H29" s="345"/>
      <c r="I29" s="345"/>
      <c r="J29" s="263"/>
      <c r="K29" s="20"/>
      <c r="M29" s="18"/>
      <c r="N29" s="139"/>
      <c r="O29" s="265"/>
      <c r="P29" s="345"/>
      <c r="Q29" s="345"/>
      <c r="R29" s="345"/>
      <c r="S29" s="345"/>
      <c r="T29" s="263"/>
      <c r="U29" s="20"/>
    </row>
    <row r="30" spans="2:21" ht="15.75" customHeight="1" x14ac:dyDescent="0.5">
      <c r="B30" s="18"/>
      <c r="C30" s="284"/>
      <c r="D30" s="285"/>
      <c r="E30" s="285"/>
      <c r="F30" s="285"/>
      <c r="G30" s="285"/>
      <c r="H30" s="285"/>
      <c r="I30" s="285"/>
      <c r="J30" s="286"/>
      <c r="K30" s="20"/>
      <c r="M30" s="18"/>
      <c r="N30" s="139"/>
      <c r="O30" s="265"/>
      <c r="P30" s="345"/>
      <c r="Q30" s="345"/>
      <c r="R30" s="345"/>
      <c r="S30" s="345"/>
      <c r="T30" s="263"/>
      <c r="U30" s="20"/>
    </row>
    <row r="31" spans="2:21" ht="18" customHeight="1" x14ac:dyDescent="0.5">
      <c r="B31" s="18"/>
      <c r="C31" s="139"/>
      <c r="D31" s="287" t="b">
        <f>TRUE()</f>
        <v>1</v>
      </c>
      <c r="E31" s="347" t="s">
        <v>211</v>
      </c>
      <c r="F31" s="347"/>
      <c r="G31" s="347"/>
      <c r="H31" s="347"/>
      <c r="I31" s="347"/>
      <c r="J31" s="263"/>
      <c r="K31" s="20"/>
      <c r="M31" s="18"/>
      <c r="N31" s="112"/>
      <c r="O31" s="113"/>
      <c r="P31" s="113"/>
      <c r="Q31" s="113"/>
      <c r="R31" s="113"/>
      <c r="S31" s="113"/>
      <c r="T31" s="268"/>
      <c r="U31" s="20"/>
    </row>
    <row r="32" spans="2:21" ht="18" customHeight="1" x14ac:dyDescent="0.5">
      <c r="B32" s="18"/>
      <c r="C32" s="139"/>
      <c r="D32" s="265"/>
      <c r="E32" s="265"/>
      <c r="F32" s="265"/>
      <c r="G32" s="265"/>
      <c r="H32" s="265"/>
      <c r="I32" s="265"/>
      <c r="J32" s="263"/>
      <c r="K32" s="20"/>
      <c r="M32" s="18"/>
      <c r="N32" s="19"/>
      <c r="O32" s="19"/>
      <c r="P32" s="19"/>
      <c r="Q32" s="19"/>
      <c r="R32" s="19"/>
      <c r="S32" s="19"/>
      <c r="T32" s="19"/>
      <c r="U32" s="20"/>
    </row>
    <row r="33" spans="2:21" ht="30" customHeight="1" x14ac:dyDescent="0.5">
      <c r="B33" s="18"/>
      <c r="C33" s="139"/>
      <c r="D33" s="287" t="b">
        <f>TRUE()</f>
        <v>1</v>
      </c>
      <c r="E33" s="345" t="s">
        <v>212</v>
      </c>
      <c r="F33" s="345"/>
      <c r="G33" s="345"/>
      <c r="H33" s="345"/>
      <c r="I33" s="345"/>
      <c r="J33" s="263"/>
      <c r="K33" s="20"/>
      <c r="M33" s="18"/>
      <c r="N33" s="348" t="s">
        <v>213</v>
      </c>
      <c r="O33" s="348"/>
      <c r="P33" s="348"/>
      <c r="Q33" s="348"/>
      <c r="R33" s="348"/>
      <c r="S33" s="348"/>
      <c r="T33" s="348"/>
      <c r="U33" s="20"/>
    </row>
    <row r="34" spans="2:21" ht="17.25" customHeight="1" x14ac:dyDescent="0.5">
      <c r="B34" s="18"/>
      <c r="C34" s="139"/>
      <c r="D34" s="265"/>
      <c r="E34" s="265"/>
      <c r="F34" s="265"/>
      <c r="G34" s="265"/>
      <c r="H34" s="265"/>
      <c r="I34" s="265"/>
      <c r="J34" s="263"/>
      <c r="K34" s="20"/>
      <c r="M34" s="18"/>
      <c r="N34" s="139"/>
      <c r="O34" s="265"/>
      <c r="P34" s="265"/>
      <c r="Q34" s="265"/>
      <c r="R34" s="265"/>
      <c r="S34" s="265"/>
      <c r="T34" s="263"/>
      <c r="U34" s="20"/>
    </row>
    <row r="35" spans="2:21" ht="22.5" customHeight="1" x14ac:dyDescent="0.5">
      <c r="B35" s="18"/>
      <c r="C35" s="139"/>
      <c r="D35" s="265"/>
      <c r="E35" s="288" t="b">
        <f>FALSE()</f>
        <v>0</v>
      </c>
      <c r="F35" s="345" t="s">
        <v>214</v>
      </c>
      <c r="G35" s="345"/>
      <c r="H35" s="345"/>
      <c r="I35" s="345"/>
      <c r="J35" s="263"/>
      <c r="K35" s="20"/>
      <c r="M35" s="18"/>
      <c r="N35" s="139"/>
      <c r="O35" s="265" t="s">
        <v>203</v>
      </c>
      <c r="P35" s="265"/>
      <c r="Q35" s="349"/>
      <c r="R35" s="349"/>
      <c r="S35" s="265"/>
      <c r="T35" s="263"/>
      <c r="U35" s="20"/>
    </row>
    <row r="36" spans="2:21" ht="22.5" customHeight="1" x14ac:dyDescent="0.5">
      <c r="B36" s="18"/>
      <c r="C36" s="139"/>
      <c r="D36" s="265"/>
      <c r="E36" s="288"/>
      <c r="F36" s="345"/>
      <c r="G36" s="345"/>
      <c r="H36" s="345"/>
      <c r="I36" s="345"/>
      <c r="J36" s="263"/>
      <c r="K36" s="20"/>
      <c r="M36" s="18"/>
      <c r="N36" s="139"/>
      <c r="O36" s="265"/>
      <c r="P36" s="265"/>
      <c r="Q36" s="265"/>
      <c r="R36" s="265"/>
      <c r="S36" s="265"/>
      <c r="T36" s="263"/>
      <c r="U36" s="20"/>
    </row>
    <row r="37" spans="2:21" ht="15.75" customHeight="1" x14ac:dyDescent="0.5">
      <c r="B37" s="18"/>
      <c r="C37" s="139"/>
      <c r="D37" s="265"/>
      <c r="E37" s="288"/>
      <c r="F37" s="345"/>
      <c r="G37" s="345"/>
      <c r="H37" s="345"/>
      <c r="I37" s="345"/>
      <c r="J37" s="263"/>
      <c r="K37" s="20"/>
      <c r="M37" s="18"/>
      <c r="N37" s="139"/>
      <c r="O37" s="265" t="s">
        <v>205</v>
      </c>
      <c r="P37" s="265"/>
      <c r="Q37" s="344"/>
      <c r="R37" s="344"/>
      <c r="S37" s="265"/>
      <c r="T37" s="263"/>
      <c r="U37" s="20"/>
    </row>
    <row r="38" spans="2:21" ht="17.25" customHeight="1" x14ac:dyDescent="0.5">
      <c r="B38" s="18"/>
      <c r="C38" s="139"/>
      <c r="D38" s="265"/>
      <c r="E38" s="265"/>
      <c r="F38" s="345"/>
      <c r="G38" s="345"/>
      <c r="H38" s="345"/>
      <c r="I38" s="345"/>
      <c r="J38" s="263"/>
      <c r="K38" s="20"/>
      <c r="M38" s="18"/>
      <c r="N38" s="139"/>
      <c r="O38" s="265"/>
      <c r="P38" s="265"/>
      <c r="Q38" s="265"/>
      <c r="R38" s="265"/>
      <c r="S38" s="265"/>
      <c r="T38" s="263"/>
      <c r="U38" s="20"/>
    </row>
    <row r="39" spans="2:21" ht="17.25" customHeight="1" x14ac:dyDescent="0.5">
      <c r="B39" s="18"/>
      <c r="C39" s="139"/>
      <c r="D39" s="265"/>
      <c r="E39" s="265"/>
      <c r="F39" s="265" t="s">
        <v>215</v>
      </c>
      <c r="G39" s="265"/>
      <c r="H39" s="265"/>
      <c r="I39" s="265"/>
      <c r="J39" s="263"/>
      <c r="K39" s="20"/>
      <c r="M39" s="18"/>
      <c r="N39" s="139"/>
      <c r="O39" s="265" t="s">
        <v>207</v>
      </c>
      <c r="P39" s="265"/>
      <c r="Q39" s="344"/>
      <c r="R39" s="344"/>
      <c r="S39" s="265"/>
      <c r="T39" s="263"/>
      <c r="U39" s="20"/>
    </row>
    <row r="40" spans="2:21" ht="17.25" customHeight="1" x14ac:dyDescent="0.5">
      <c r="B40" s="18"/>
      <c r="C40" s="139"/>
      <c r="D40" s="265"/>
      <c r="E40" s="265"/>
      <c r="F40" s="265"/>
      <c r="G40" s="265"/>
      <c r="H40" s="265"/>
      <c r="I40" s="265"/>
      <c r="J40" s="263"/>
      <c r="K40" s="20"/>
      <c r="M40" s="18"/>
      <c r="N40" s="139"/>
      <c r="O40" s="265"/>
      <c r="P40" s="265"/>
      <c r="Q40" s="265"/>
      <c r="R40" s="265"/>
      <c r="S40" s="265"/>
      <c r="T40" s="263"/>
      <c r="U40" s="20"/>
    </row>
    <row r="41" spans="2:21" ht="21.75" customHeight="1" x14ac:dyDescent="0.5">
      <c r="B41" s="18"/>
      <c r="C41" s="139"/>
      <c r="D41" s="265"/>
      <c r="E41" s="288" t="b">
        <f>TRUE()</f>
        <v>1</v>
      </c>
      <c r="F41" s="345" t="s">
        <v>216</v>
      </c>
      <c r="G41" s="345"/>
      <c r="H41" s="345"/>
      <c r="I41" s="345"/>
      <c r="J41" s="263"/>
      <c r="K41" s="20"/>
      <c r="M41" s="18"/>
      <c r="N41" s="139"/>
      <c r="O41" s="265" t="s">
        <v>198</v>
      </c>
      <c r="P41" s="265"/>
      <c r="Q41" s="346"/>
      <c r="R41" s="346"/>
      <c r="S41" s="265"/>
      <c r="T41" s="263"/>
      <c r="U41" s="20"/>
    </row>
    <row r="42" spans="2:21" ht="26.25" customHeight="1" x14ac:dyDescent="0.5">
      <c r="B42" s="18"/>
      <c r="C42" s="139"/>
      <c r="D42" s="265"/>
      <c r="E42" s="288"/>
      <c r="F42" s="345"/>
      <c r="G42" s="345"/>
      <c r="H42" s="345"/>
      <c r="I42" s="345"/>
      <c r="J42" s="263"/>
      <c r="K42" s="20"/>
      <c r="M42" s="18"/>
      <c r="N42" s="139"/>
      <c r="O42" s="265"/>
      <c r="P42" s="265"/>
      <c r="Q42" s="265"/>
      <c r="R42" s="265"/>
      <c r="S42" s="265"/>
      <c r="T42" s="263"/>
      <c r="U42" s="20"/>
    </row>
    <row r="43" spans="2:21" ht="24.75" customHeight="1" x14ac:dyDescent="0.5">
      <c r="B43" s="18"/>
      <c r="C43" s="139"/>
      <c r="D43" s="265"/>
      <c r="E43" s="288"/>
      <c r="F43" s="345"/>
      <c r="G43" s="345"/>
      <c r="H43" s="345"/>
      <c r="I43" s="345"/>
      <c r="J43" s="263"/>
      <c r="K43" s="20"/>
      <c r="M43" s="18"/>
      <c r="N43" s="139"/>
      <c r="O43" s="265" t="s">
        <v>217</v>
      </c>
      <c r="P43" s="265"/>
      <c r="Q43" s="346"/>
      <c r="R43" s="346"/>
      <c r="S43" s="265"/>
      <c r="T43" s="263"/>
      <c r="U43" s="20"/>
    </row>
    <row r="44" spans="2:21" ht="30.75" customHeight="1" x14ac:dyDescent="0.5">
      <c r="B44" s="18"/>
      <c r="C44" s="139"/>
      <c r="D44" s="265"/>
      <c r="E44" s="288"/>
      <c r="F44" s="345"/>
      <c r="G44" s="345"/>
      <c r="H44" s="345"/>
      <c r="I44" s="345"/>
      <c r="J44" s="263"/>
      <c r="K44" s="20"/>
      <c r="M44" s="18"/>
      <c r="N44" s="139"/>
      <c r="O44" s="265"/>
      <c r="P44" s="265"/>
      <c r="Q44" s="346"/>
      <c r="R44" s="346"/>
      <c r="S44" s="265"/>
      <c r="T44" s="263"/>
      <c r="U44" s="20"/>
    </row>
    <row r="45" spans="2:21" ht="18" customHeight="1" x14ac:dyDescent="0.5">
      <c r="B45" s="18"/>
      <c r="C45" s="139"/>
      <c r="D45" s="265"/>
      <c r="E45" s="265"/>
      <c r="F45" s="265"/>
      <c r="G45" s="265"/>
      <c r="H45" s="265"/>
      <c r="I45" s="265"/>
      <c r="J45" s="263"/>
      <c r="K45" s="20"/>
      <c r="M45" s="18"/>
      <c r="N45" s="112"/>
      <c r="O45" s="289"/>
      <c r="P45" s="113"/>
      <c r="Q45" s="113"/>
      <c r="R45" s="113"/>
      <c r="S45" s="113"/>
      <c r="T45" s="268"/>
      <c r="U45" s="20"/>
    </row>
    <row r="46" spans="2:21" ht="17.25" customHeight="1" x14ac:dyDescent="0.5">
      <c r="B46" s="18"/>
      <c r="C46" s="139"/>
      <c r="D46" s="265"/>
      <c r="E46" s="265"/>
      <c r="F46" s="265" t="s">
        <v>215</v>
      </c>
      <c r="G46" s="265"/>
      <c r="H46" s="265"/>
      <c r="I46" s="265"/>
      <c r="J46" s="263"/>
      <c r="K46" s="20"/>
      <c r="M46" s="18"/>
      <c r="N46" s="19"/>
      <c r="O46" s="290"/>
      <c r="P46" s="19"/>
      <c r="Q46" s="19"/>
      <c r="R46" s="19"/>
      <c r="S46" s="19"/>
      <c r="T46" s="19"/>
      <c r="U46" s="20"/>
    </row>
    <row r="47" spans="2:21" ht="17.25" customHeight="1" x14ac:dyDescent="0.5">
      <c r="B47" s="18"/>
      <c r="C47" s="139"/>
      <c r="D47" s="265"/>
      <c r="E47" s="265"/>
      <c r="F47" s="265"/>
      <c r="G47" s="265"/>
      <c r="H47" s="265"/>
      <c r="I47" s="265"/>
      <c r="J47" s="263"/>
      <c r="K47" s="20"/>
      <c r="M47" s="18"/>
      <c r="N47" s="19"/>
      <c r="O47" s="290"/>
      <c r="P47" s="19"/>
      <c r="Q47" s="19"/>
      <c r="R47" s="19"/>
      <c r="S47" s="19"/>
      <c r="T47" s="19"/>
      <c r="U47" s="20"/>
    </row>
    <row r="48" spans="2:21" ht="48.75" customHeight="1" x14ac:dyDescent="0.5">
      <c r="B48" s="18"/>
      <c r="C48" s="139"/>
      <c r="D48" s="265"/>
      <c r="E48" s="291" t="b">
        <f>FALSE()</f>
        <v>0</v>
      </c>
      <c r="F48" s="345" t="s">
        <v>218</v>
      </c>
      <c r="G48" s="345"/>
      <c r="H48" s="345"/>
      <c r="I48" s="345"/>
      <c r="J48" s="263"/>
      <c r="K48" s="20"/>
      <c r="M48" s="18"/>
      <c r="N48" s="19"/>
      <c r="O48" s="19"/>
      <c r="P48" s="19"/>
      <c r="Q48" s="19"/>
      <c r="R48" s="19"/>
      <c r="S48" s="19"/>
      <c r="T48" s="19"/>
      <c r="U48" s="20"/>
    </row>
    <row r="49" spans="2:21" ht="17.25" customHeight="1" x14ac:dyDescent="0.5">
      <c r="B49" s="18"/>
      <c r="C49" s="139"/>
      <c r="D49" s="265"/>
      <c r="E49" s="291"/>
      <c r="F49" s="292"/>
      <c r="G49" s="292"/>
      <c r="H49" s="292"/>
      <c r="I49" s="292"/>
      <c r="J49" s="263"/>
      <c r="K49" s="20"/>
      <c r="M49" s="18"/>
      <c r="N49" s="19"/>
      <c r="O49" s="19"/>
      <c r="P49" s="19"/>
      <c r="Q49" s="19"/>
      <c r="R49" s="19"/>
      <c r="S49" s="19"/>
      <c r="T49" s="19"/>
      <c r="U49" s="20"/>
    </row>
    <row r="50" spans="2:21" ht="18" customHeight="1" x14ac:dyDescent="0.5">
      <c r="B50" s="18"/>
      <c r="C50" s="112"/>
      <c r="D50" s="113"/>
      <c r="E50" s="113"/>
      <c r="F50" s="113"/>
      <c r="G50" s="113"/>
      <c r="H50" s="113"/>
      <c r="I50" s="113"/>
      <c r="J50" s="268"/>
      <c r="K50" s="20"/>
      <c r="M50" s="18"/>
      <c r="N50" s="19"/>
      <c r="O50" s="19"/>
      <c r="P50" s="19"/>
      <c r="Q50" s="19"/>
      <c r="R50" s="19"/>
      <c r="S50" s="19"/>
      <c r="T50" s="19"/>
      <c r="U50" s="20"/>
    </row>
    <row r="51" spans="2:21" ht="18" customHeight="1" x14ac:dyDescent="0.5">
      <c r="B51" s="255"/>
      <c r="C51" s="259"/>
      <c r="D51" s="259"/>
      <c r="E51" s="259"/>
      <c r="F51" s="259"/>
      <c r="G51" s="259"/>
      <c r="H51" s="259"/>
      <c r="I51" s="259"/>
      <c r="J51" s="259"/>
      <c r="K51" s="256" t="s">
        <v>219</v>
      </c>
      <c r="M51" s="255"/>
      <c r="N51" s="259"/>
      <c r="O51" s="259"/>
      <c r="P51" s="259"/>
      <c r="Q51" s="259"/>
      <c r="R51" s="259"/>
      <c r="S51" s="259"/>
      <c r="T51" s="259"/>
      <c r="U51" s="256" t="s">
        <v>220</v>
      </c>
    </row>
    <row r="53" spans="2:21" ht="17.25" customHeight="1" x14ac:dyDescent="0.5">
      <c r="B53" s="277"/>
      <c r="C53" s="277"/>
      <c r="D53" s="277"/>
      <c r="E53" s="277"/>
      <c r="F53" s="277"/>
      <c r="G53" s="277"/>
      <c r="H53" s="277"/>
      <c r="I53" s="277"/>
      <c r="J53" s="277"/>
      <c r="K53" s="277"/>
    </row>
    <row r="55" spans="2:21" ht="21.75" customHeight="1" x14ac:dyDescent="0.6">
      <c r="C55" s="343"/>
      <c r="D55" s="343"/>
      <c r="E55" s="343"/>
      <c r="F55" s="343"/>
      <c r="G55" s="343"/>
      <c r="H55" s="343"/>
      <c r="I55" s="343"/>
      <c r="J55" s="343"/>
    </row>
  </sheetData>
  <mergeCells count="31">
    <mergeCell ref="B2:K2"/>
    <mergeCell ref="M2:U2"/>
    <mergeCell ref="C4:J4"/>
    <mergeCell ref="N4:T4"/>
    <mergeCell ref="G6:I6"/>
    <mergeCell ref="O6:S10"/>
    <mergeCell ref="G8:I8"/>
    <mergeCell ref="G11:I11"/>
    <mergeCell ref="G13:I13"/>
    <mergeCell ref="G15:I15"/>
    <mergeCell ref="C18:J18"/>
    <mergeCell ref="G20:I20"/>
    <mergeCell ref="G22:I22"/>
    <mergeCell ref="O23:S24"/>
    <mergeCell ref="G24:I24"/>
    <mergeCell ref="P26:S26"/>
    <mergeCell ref="C27:J27"/>
    <mergeCell ref="P27:S30"/>
    <mergeCell ref="D29:I29"/>
    <mergeCell ref="E31:I31"/>
    <mergeCell ref="E33:I33"/>
    <mergeCell ref="N33:T33"/>
    <mergeCell ref="F35:I38"/>
    <mergeCell ref="Q35:R35"/>
    <mergeCell ref="Q37:R37"/>
    <mergeCell ref="C55:J55"/>
    <mergeCell ref="Q39:R39"/>
    <mergeCell ref="F41:I44"/>
    <mergeCell ref="Q41:R41"/>
    <mergeCell ref="Q43:R44"/>
    <mergeCell ref="F48:I48"/>
  </mergeCells>
  <pageMargins left="0.7" right="0.7" top="0.78749999999999998" bottom="0.78749999999999998"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sheetViews>
  <sheetFormatPr baseColWidth="10" defaultColWidth="9.140625" defaultRowHeight="16.5" x14ac:dyDescent="0.5"/>
  <cols>
    <col min="1" max="1" width="18" customWidth="1"/>
    <col min="2" max="2" width="46" customWidth="1"/>
    <col min="3" max="3" width="78" customWidth="1"/>
  </cols>
  <sheetData>
    <row r="1" spans="1:2" ht="20.5" x14ac:dyDescent="0.6">
      <c r="A1" s="298" t="s">
        <v>247</v>
      </c>
    </row>
    <row r="2" spans="1:2" x14ac:dyDescent="0.5">
      <c r="A2" s="297" t="s">
        <v>248</v>
      </c>
    </row>
    <row r="3" spans="1:2" x14ac:dyDescent="0.5">
      <c r="A3" t="s">
        <v>249</v>
      </c>
    </row>
    <row r="5" spans="1:2" x14ac:dyDescent="0.5">
      <c r="A5" s="297" t="s">
        <v>250</v>
      </c>
      <c r="B5" t="s">
        <v>251</v>
      </c>
    </row>
    <row r="6" spans="1:2" x14ac:dyDescent="0.5">
      <c r="A6" s="297" t="s">
        <v>252</v>
      </c>
      <c r="B6" t="s">
        <v>253</v>
      </c>
    </row>
    <row r="8" spans="1:2" x14ac:dyDescent="0.5">
      <c r="A8" s="297" t="s">
        <v>254</v>
      </c>
      <c r="B8" t="s">
        <v>255</v>
      </c>
    </row>
    <row r="9" spans="1:2" x14ac:dyDescent="0.5">
      <c r="B9" t="s">
        <v>249</v>
      </c>
    </row>
    <row r="10" spans="1:2" x14ac:dyDescent="0.5">
      <c r="B10" t="s">
        <v>256</v>
      </c>
    </row>
    <row r="11" spans="1:2" x14ac:dyDescent="0.5">
      <c r="B11" t="s">
        <v>257</v>
      </c>
    </row>
    <row r="12" spans="1:2" x14ac:dyDescent="0.5">
      <c r="A12" s="297" t="s">
        <v>258</v>
      </c>
      <c r="B12" t="s">
        <v>259</v>
      </c>
    </row>
    <row r="13" spans="1:2" x14ac:dyDescent="0.5">
      <c r="A13" s="297" t="s">
        <v>260</v>
      </c>
      <c r="B13" t="s">
        <v>261</v>
      </c>
    </row>
    <row r="14" spans="1:2" x14ac:dyDescent="0.5">
      <c r="B14" t="s">
        <v>262</v>
      </c>
    </row>
    <row r="16" spans="1:2" x14ac:dyDescent="0.5">
      <c r="A16" s="297" t="s">
        <v>263</v>
      </c>
      <c r="B16" t="s">
        <v>264</v>
      </c>
    </row>
    <row r="17" spans="1:3" x14ac:dyDescent="0.5">
      <c r="B17" t="s">
        <v>265</v>
      </c>
    </row>
    <row r="18" spans="1:3" x14ac:dyDescent="0.5">
      <c r="B18" t="s">
        <v>266</v>
      </c>
    </row>
    <row r="20" spans="1:3" x14ac:dyDescent="0.5">
      <c r="A20" s="297" t="s">
        <v>267</v>
      </c>
    </row>
    <row r="21" spans="1:3" x14ac:dyDescent="0.5">
      <c r="A21" s="297" t="s">
        <v>250</v>
      </c>
      <c r="B21" s="297" t="s">
        <v>268</v>
      </c>
      <c r="C21" s="297" t="s">
        <v>269</v>
      </c>
    </row>
    <row r="22" spans="1:3" x14ac:dyDescent="0.5">
      <c r="A22" t="s">
        <v>251</v>
      </c>
      <c r="B22" t="s">
        <v>253</v>
      </c>
      <c r="C22" t="s">
        <v>270</v>
      </c>
    </row>
    <row r="24" spans="1:3" x14ac:dyDescent="0.5">
      <c r="A24" s="297" t="s">
        <v>271</v>
      </c>
      <c r="B24" t="s">
        <v>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Arbeitsblätter</vt:lpstr>
      </vt:variant>
      <vt:variant>
        <vt:i4>7</vt:i4>
      </vt:variant>
      <vt:variant>
        <vt:lpstr>Benannte Bereiche</vt:lpstr>
      </vt:variant>
      <vt:variant>
        <vt:i4>3</vt:i4>
      </vt:variant>
    </vt:vector>
  </HeadingPairs>
  <TitlesOfParts>
    <vt:vector size="10" baseType="lpstr">
      <vt:lpstr>00_Anleitung</vt:lpstr>
      <vt:lpstr>01_Übersicht</vt:lpstr>
      <vt:lpstr>Allgemeine Unternehmensdaten</vt:lpstr>
      <vt:lpstr>Vorlage Maßnahme</vt:lpstr>
      <vt:lpstr>Beispiel Nr. 78 Druckluft</vt:lpstr>
      <vt:lpstr>Bestätigung</vt:lpstr>
      <vt:lpstr>Impressum und Versionen</vt:lpstr>
      <vt:lpstr>'Allgemeine Unternehmensdaten'!Druckbereich</vt:lpstr>
      <vt:lpstr>'Beispiel Nr. 78 Druckluft'!Druckbereich</vt:lpstr>
      <vt:lpstr>'Vorlage Maßnahme'!Druckbereich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Philipp Engelmann</dc:creator>
  <dc:description/>
  <cp:lastModifiedBy>info</cp:lastModifiedBy>
  <cp:revision>5</cp:revision>
  <cp:lastPrinted>2024-04-26T13:53:41Z</cp:lastPrinted>
  <dcterms:created xsi:type="dcterms:W3CDTF">2024-04-09T16:12:10Z</dcterms:created>
  <dcterms:modified xsi:type="dcterms:W3CDTF">2026-08-25T21:04:49Z</dcterms:modified>
  <dc:language>en-US</dc:language>
</cp:coreProperties>
</file>