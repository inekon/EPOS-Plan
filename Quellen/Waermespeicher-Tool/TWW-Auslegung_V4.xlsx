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20-Development\Wärmespeicher\"/>
    </mc:Choice>
  </mc:AlternateContent>
  <xr:revisionPtr revIDLastSave="0" documentId="13_ncr:1_{D8F83D6D-3B9E-444E-A1FE-46B2FB12F321}" xr6:coauthVersionLast="47" xr6:coauthVersionMax="47" xr10:uidLastSave="{00000000-0000-0000-0000-000000000000}"/>
  <bookViews>
    <workbookView xWindow="-110" yWindow="-110" windowWidth="19420" windowHeight="11500" tabRatio="500" firstSheet="3" activeTab="4" xr2:uid="{00000000-000D-0000-FFFF-FFFF00000000}"/>
  </bookViews>
  <sheets>
    <sheet name="Eingaben" sheetId="1" r:id="rId1"/>
    <sheet name="Zapfprofil" sheetId="2" r:id="rId2"/>
    <sheet name="DIN 4708-2" sheetId="3" r:id="rId3"/>
    <sheet name="Berechnung" sheetId="4" r:id="rId4"/>
    <sheet name="Ergebnis" sheetId="5" r:id="rId5"/>
    <sheet name="Hilf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5" l="1"/>
  <c r="B35" i="5"/>
  <c r="B9" i="5"/>
  <c r="B6" i="5"/>
  <c r="B5" i="5"/>
  <c r="B4" i="5"/>
  <c r="B375" i="4"/>
  <c r="B400" i="4" s="1"/>
  <c r="B402" i="4" s="1"/>
  <c r="I357" i="4"/>
  <c r="H357" i="4"/>
  <c r="G357" i="4"/>
  <c r="R357" i="4" s="1"/>
  <c r="F357" i="4"/>
  <c r="E357" i="4"/>
  <c r="H356" i="4"/>
  <c r="E356" i="4"/>
  <c r="F356" i="4" s="1"/>
  <c r="H355" i="4"/>
  <c r="E355" i="4"/>
  <c r="F355" i="4" s="1"/>
  <c r="R354" i="4"/>
  <c r="H354" i="4"/>
  <c r="E354" i="4"/>
  <c r="F354" i="4" s="1"/>
  <c r="G354" i="4" s="1"/>
  <c r="H353" i="4"/>
  <c r="F353" i="4"/>
  <c r="E353" i="4"/>
  <c r="R352" i="4"/>
  <c r="I352" i="4"/>
  <c r="H352" i="4"/>
  <c r="G352" i="4"/>
  <c r="F352" i="4"/>
  <c r="E352" i="4"/>
  <c r="H351" i="4"/>
  <c r="F351" i="4"/>
  <c r="E351" i="4"/>
  <c r="H350" i="4"/>
  <c r="E350" i="4"/>
  <c r="F350" i="4" s="1"/>
  <c r="I349" i="4"/>
  <c r="H349" i="4"/>
  <c r="F349" i="4"/>
  <c r="G349" i="4" s="1"/>
  <c r="R349" i="4" s="1"/>
  <c r="E349" i="4"/>
  <c r="I348" i="4"/>
  <c r="H348" i="4"/>
  <c r="E348" i="4"/>
  <c r="F348" i="4" s="1"/>
  <c r="H347" i="4"/>
  <c r="E347" i="4"/>
  <c r="F347" i="4" s="1"/>
  <c r="I346" i="4"/>
  <c r="H346" i="4"/>
  <c r="F346" i="4"/>
  <c r="G346" i="4" s="1"/>
  <c r="R346" i="4" s="1"/>
  <c r="E346" i="4"/>
  <c r="H345" i="4"/>
  <c r="E345" i="4"/>
  <c r="F345" i="4" s="1"/>
  <c r="H344" i="4"/>
  <c r="E344" i="4"/>
  <c r="F344" i="4" s="1"/>
  <c r="H343" i="4"/>
  <c r="F343" i="4"/>
  <c r="E343" i="4"/>
  <c r="H342" i="4"/>
  <c r="E342" i="4"/>
  <c r="F342" i="4" s="1"/>
  <c r="R341" i="4"/>
  <c r="I341" i="4"/>
  <c r="H341" i="4"/>
  <c r="G341" i="4"/>
  <c r="F341" i="4"/>
  <c r="E341" i="4"/>
  <c r="I340" i="4"/>
  <c r="H340" i="4"/>
  <c r="E340" i="4"/>
  <c r="F340" i="4" s="1"/>
  <c r="G340" i="4" s="1"/>
  <c r="R340" i="4" s="1"/>
  <c r="H339" i="4"/>
  <c r="E339" i="4"/>
  <c r="F339" i="4" s="1"/>
  <c r="R338" i="4"/>
  <c r="I338" i="4"/>
  <c r="H338" i="4"/>
  <c r="F338" i="4"/>
  <c r="G338" i="4" s="1"/>
  <c r="E338" i="4"/>
  <c r="H337" i="4"/>
  <c r="G337" i="4"/>
  <c r="R337" i="4" s="1"/>
  <c r="F337" i="4"/>
  <c r="E337" i="4"/>
  <c r="H336" i="4"/>
  <c r="F336" i="4"/>
  <c r="E336" i="4"/>
  <c r="H335" i="4"/>
  <c r="F335" i="4"/>
  <c r="E335" i="4"/>
  <c r="I334" i="4"/>
  <c r="H334" i="4"/>
  <c r="E334" i="4"/>
  <c r="F334" i="4" s="1"/>
  <c r="H333" i="4"/>
  <c r="E333" i="4"/>
  <c r="F333" i="4" s="1"/>
  <c r="H332" i="4"/>
  <c r="E332" i="4"/>
  <c r="F332" i="4" s="1"/>
  <c r="H331" i="4"/>
  <c r="E331" i="4"/>
  <c r="F331" i="4" s="1"/>
  <c r="R330" i="4"/>
  <c r="I330" i="4"/>
  <c r="H330" i="4"/>
  <c r="G330" i="4"/>
  <c r="F330" i="4"/>
  <c r="E330" i="4"/>
  <c r="H329" i="4"/>
  <c r="F329" i="4"/>
  <c r="E329" i="4"/>
  <c r="I328" i="4"/>
  <c r="H328" i="4"/>
  <c r="G328" i="4"/>
  <c r="R328" i="4" s="1"/>
  <c r="E328" i="4"/>
  <c r="F328" i="4" s="1"/>
  <c r="I327" i="4"/>
  <c r="H327" i="4"/>
  <c r="F327" i="4"/>
  <c r="G327" i="4" s="1"/>
  <c r="E327" i="4"/>
  <c r="I326" i="4"/>
  <c r="H326" i="4"/>
  <c r="E326" i="4"/>
  <c r="F326" i="4" s="1"/>
  <c r="G326" i="4" s="1"/>
  <c r="R326" i="4" s="1"/>
  <c r="H325" i="4"/>
  <c r="E325" i="4"/>
  <c r="F325" i="4" s="1"/>
  <c r="H324" i="4"/>
  <c r="F324" i="4"/>
  <c r="I324" i="4" s="1"/>
  <c r="E324" i="4"/>
  <c r="H323" i="4"/>
  <c r="G323" i="4"/>
  <c r="R323" i="4" s="1"/>
  <c r="F323" i="4"/>
  <c r="E323" i="4"/>
  <c r="H322" i="4"/>
  <c r="E322" i="4"/>
  <c r="F322" i="4" s="1"/>
  <c r="H321" i="4"/>
  <c r="E321" i="4"/>
  <c r="F321" i="4" s="1"/>
  <c r="H320" i="4"/>
  <c r="F320" i="4"/>
  <c r="E320" i="4"/>
  <c r="H319" i="4"/>
  <c r="E319" i="4"/>
  <c r="F319" i="4" s="1"/>
  <c r="H318" i="4"/>
  <c r="E318" i="4"/>
  <c r="F318" i="4" s="1"/>
  <c r="H317" i="4"/>
  <c r="E317" i="4"/>
  <c r="F317" i="4" s="1"/>
  <c r="R316" i="4"/>
  <c r="I316" i="4"/>
  <c r="H316" i="4"/>
  <c r="F316" i="4"/>
  <c r="G316" i="4" s="1"/>
  <c r="E316" i="4"/>
  <c r="H315" i="4"/>
  <c r="F315" i="4"/>
  <c r="E315" i="4"/>
  <c r="H314" i="4"/>
  <c r="G314" i="4"/>
  <c r="R314" i="4" s="1"/>
  <c r="E314" i="4"/>
  <c r="F314" i="4" s="1"/>
  <c r="H313" i="4"/>
  <c r="F313" i="4"/>
  <c r="E313" i="4"/>
  <c r="I312" i="4"/>
  <c r="H312" i="4"/>
  <c r="F312" i="4"/>
  <c r="G312" i="4" s="1"/>
  <c r="R312" i="4" s="1"/>
  <c r="E312" i="4"/>
  <c r="H311" i="4"/>
  <c r="E311" i="4"/>
  <c r="F311" i="4" s="1"/>
  <c r="H310" i="4"/>
  <c r="E310" i="4"/>
  <c r="F310" i="4" s="1"/>
  <c r="H309" i="4"/>
  <c r="F309" i="4"/>
  <c r="E309" i="4"/>
  <c r="H308" i="4"/>
  <c r="E308" i="4"/>
  <c r="F308" i="4" s="1"/>
  <c r="H307" i="4"/>
  <c r="E307" i="4"/>
  <c r="F307" i="4" s="1"/>
  <c r="H306" i="4"/>
  <c r="G306" i="4"/>
  <c r="R306" i="4" s="1"/>
  <c r="E306" i="4"/>
  <c r="F306" i="4" s="1"/>
  <c r="R305" i="4"/>
  <c r="I305" i="4"/>
  <c r="H305" i="4"/>
  <c r="F305" i="4"/>
  <c r="G305" i="4" s="1"/>
  <c r="E305" i="4"/>
  <c r="H304" i="4"/>
  <c r="E304" i="4"/>
  <c r="F304" i="4" s="1"/>
  <c r="H303" i="4"/>
  <c r="E303" i="4"/>
  <c r="F303" i="4" s="1"/>
  <c r="I302" i="4"/>
  <c r="H302" i="4"/>
  <c r="G302" i="4"/>
  <c r="F302" i="4"/>
  <c r="E302" i="4"/>
  <c r="H301" i="4"/>
  <c r="F301" i="4"/>
  <c r="E301" i="4"/>
  <c r="H300" i="4"/>
  <c r="E300" i="4"/>
  <c r="F300" i="4" s="1"/>
  <c r="H299" i="4"/>
  <c r="E299" i="4"/>
  <c r="F299" i="4" s="1"/>
  <c r="H298" i="4"/>
  <c r="E298" i="4"/>
  <c r="F298" i="4" s="1"/>
  <c r="H297" i="4"/>
  <c r="E297" i="4"/>
  <c r="F297" i="4" s="1"/>
  <c r="H296" i="4"/>
  <c r="G296" i="4"/>
  <c r="R296" i="4" s="1"/>
  <c r="E296" i="4"/>
  <c r="F296" i="4" s="1"/>
  <c r="H295" i="4"/>
  <c r="F295" i="4"/>
  <c r="E295" i="4"/>
  <c r="I294" i="4"/>
  <c r="H294" i="4"/>
  <c r="F294" i="4"/>
  <c r="G294" i="4" s="1"/>
  <c r="R294" i="4" s="1"/>
  <c r="E294" i="4"/>
  <c r="H293" i="4"/>
  <c r="E293" i="4"/>
  <c r="F293" i="4" s="1"/>
  <c r="H292" i="4"/>
  <c r="E292" i="4"/>
  <c r="F292" i="4" s="1"/>
  <c r="H291" i="4"/>
  <c r="F291" i="4"/>
  <c r="E291" i="4"/>
  <c r="H290" i="4"/>
  <c r="F290" i="4"/>
  <c r="E290" i="4"/>
  <c r="H289" i="4"/>
  <c r="E289" i="4"/>
  <c r="F289" i="4" s="1"/>
  <c r="H288" i="4"/>
  <c r="F288" i="4"/>
  <c r="E288" i="4"/>
  <c r="H287" i="4"/>
  <c r="E287" i="4"/>
  <c r="F287" i="4" s="1"/>
  <c r="H286" i="4"/>
  <c r="E286" i="4"/>
  <c r="F286" i="4" s="1"/>
  <c r="H285" i="4"/>
  <c r="E285" i="4"/>
  <c r="F285" i="4" s="1"/>
  <c r="H284" i="4"/>
  <c r="G284" i="4"/>
  <c r="F284" i="4"/>
  <c r="E284" i="4"/>
  <c r="R283" i="4"/>
  <c r="I283" i="4"/>
  <c r="H283" i="4"/>
  <c r="F283" i="4"/>
  <c r="G283" i="4" s="1"/>
  <c r="E283" i="4"/>
  <c r="H282" i="4"/>
  <c r="E282" i="4"/>
  <c r="F282" i="4" s="1"/>
  <c r="H281" i="4"/>
  <c r="E281" i="4"/>
  <c r="F281" i="4" s="1"/>
  <c r="H280" i="4"/>
  <c r="F280" i="4"/>
  <c r="E280" i="4"/>
  <c r="H279" i="4"/>
  <c r="E279" i="4"/>
  <c r="F279" i="4" s="1"/>
  <c r="H278" i="4"/>
  <c r="E278" i="4"/>
  <c r="F278" i="4" s="1"/>
  <c r="H277" i="4"/>
  <c r="F277" i="4"/>
  <c r="E277" i="4"/>
  <c r="H276" i="4"/>
  <c r="F276" i="4"/>
  <c r="E276" i="4"/>
  <c r="R275" i="4"/>
  <c r="I275" i="4"/>
  <c r="H275" i="4"/>
  <c r="F275" i="4"/>
  <c r="G275" i="4" s="1"/>
  <c r="E275" i="4"/>
  <c r="H274" i="4"/>
  <c r="E274" i="4"/>
  <c r="F274" i="4" s="1"/>
  <c r="H273" i="4"/>
  <c r="E273" i="4"/>
  <c r="F273" i="4" s="1"/>
  <c r="I272" i="4"/>
  <c r="H272" i="4"/>
  <c r="F272" i="4"/>
  <c r="G272" i="4" s="1"/>
  <c r="R272" i="4" s="1"/>
  <c r="E272" i="4"/>
  <c r="H271" i="4"/>
  <c r="F271" i="4"/>
  <c r="E271" i="4"/>
  <c r="H270" i="4"/>
  <c r="F270" i="4"/>
  <c r="E270" i="4"/>
  <c r="R269" i="4"/>
  <c r="I269" i="4"/>
  <c r="H269" i="4"/>
  <c r="G269" i="4"/>
  <c r="F269" i="4"/>
  <c r="E269" i="4"/>
  <c r="I268" i="4"/>
  <c r="H268" i="4"/>
  <c r="E268" i="4"/>
  <c r="F268" i="4" s="1"/>
  <c r="G268" i="4" s="1"/>
  <c r="R268" i="4" s="1"/>
  <c r="H267" i="4"/>
  <c r="E267" i="4"/>
  <c r="F267" i="4" s="1"/>
  <c r="H266" i="4"/>
  <c r="F266" i="4"/>
  <c r="E266" i="4"/>
  <c r="R265" i="4"/>
  <c r="I265" i="4"/>
  <c r="H265" i="4"/>
  <c r="F265" i="4"/>
  <c r="G265" i="4" s="1"/>
  <c r="E265" i="4"/>
  <c r="H264" i="4"/>
  <c r="E264" i="4"/>
  <c r="F264" i="4" s="1"/>
  <c r="H263" i="4"/>
  <c r="E263" i="4"/>
  <c r="F263" i="4" s="1"/>
  <c r="H262" i="4"/>
  <c r="E262" i="4"/>
  <c r="F262" i="4" s="1"/>
  <c r="R261" i="4"/>
  <c r="I261" i="4"/>
  <c r="H261" i="4"/>
  <c r="F261" i="4"/>
  <c r="G261" i="4" s="1"/>
  <c r="E261" i="4"/>
  <c r="H260" i="4"/>
  <c r="E260" i="4"/>
  <c r="F260" i="4" s="1"/>
  <c r="R259" i="4"/>
  <c r="H259" i="4"/>
  <c r="G259" i="4"/>
  <c r="F259" i="4"/>
  <c r="E259" i="4"/>
  <c r="H258" i="4"/>
  <c r="F258" i="4"/>
  <c r="E258" i="4"/>
  <c r="H257" i="4"/>
  <c r="F257" i="4"/>
  <c r="E257" i="4"/>
  <c r="H256" i="4"/>
  <c r="E256" i="4"/>
  <c r="F256" i="4" s="1"/>
  <c r="H255" i="4"/>
  <c r="E255" i="4"/>
  <c r="F255" i="4" s="1"/>
  <c r="H254" i="4"/>
  <c r="E254" i="4"/>
  <c r="F254" i="4" s="1"/>
  <c r="H253" i="4"/>
  <c r="E253" i="4"/>
  <c r="F253" i="4" s="1"/>
  <c r="H252" i="4"/>
  <c r="G252" i="4"/>
  <c r="R252" i="4" s="1"/>
  <c r="E252" i="4"/>
  <c r="F252" i="4" s="1"/>
  <c r="R251" i="4"/>
  <c r="H251" i="4"/>
  <c r="G251" i="4"/>
  <c r="E251" i="4"/>
  <c r="F251" i="4" s="1"/>
  <c r="R250" i="4"/>
  <c r="I250" i="4"/>
  <c r="H250" i="4"/>
  <c r="F250" i="4"/>
  <c r="G250" i="4" s="1"/>
  <c r="E250" i="4"/>
  <c r="H249" i="4"/>
  <c r="E249" i="4"/>
  <c r="F249" i="4" s="1"/>
  <c r="H248" i="4"/>
  <c r="F248" i="4"/>
  <c r="E248" i="4"/>
  <c r="H247" i="4"/>
  <c r="G247" i="4"/>
  <c r="R247" i="4" s="1"/>
  <c r="F247" i="4"/>
  <c r="I247" i="4" s="1"/>
  <c r="E247" i="4"/>
  <c r="H246" i="4"/>
  <c r="E246" i="4"/>
  <c r="F246" i="4" s="1"/>
  <c r="H245" i="4"/>
  <c r="G245" i="4"/>
  <c r="R245" i="4" s="1"/>
  <c r="E245" i="4"/>
  <c r="F245" i="4" s="1"/>
  <c r="H244" i="4"/>
  <c r="E244" i="4"/>
  <c r="F244" i="4" s="1"/>
  <c r="I243" i="4"/>
  <c r="H243" i="4"/>
  <c r="F243" i="4"/>
  <c r="E243" i="4"/>
  <c r="H242" i="4"/>
  <c r="E242" i="4"/>
  <c r="F242" i="4" s="1"/>
  <c r="H241" i="4"/>
  <c r="E241" i="4"/>
  <c r="F241" i="4" s="1"/>
  <c r="H240" i="4"/>
  <c r="E240" i="4"/>
  <c r="F240" i="4" s="1"/>
  <c r="H239" i="4"/>
  <c r="F239" i="4"/>
  <c r="E239" i="4"/>
  <c r="H238" i="4"/>
  <c r="E238" i="4"/>
  <c r="F238" i="4" s="1"/>
  <c r="H237" i="4"/>
  <c r="G237" i="4"/>
  <c r="R237" i="4" s="1"/>
  <c r="E237" i="4"/>
  <c r="F237" i="4" s="1"/>
  <c r="H236" i="4"/>
  <c r="F236" i="4"/>
  <c r="E236" i="4"/>
  <c r="I235" i="4"/>
  <c r="H235" i="4"/>
  <c r="F235" i="4"/>
  <c r="E235" i="4"/>
  <c r="H234" i="4"/>
  <c r="E234" i="4"/>
  <c r="F234" i="4" s="1"/>
  <c r="I234" i="4" s="1"/>
  <c r="R233" i="4"/>
  <c r="I233" i="4"/>
  <c r="H233" i="4"/>
  <c r="F233" i="4"/>
  <c r="G233" i="4" s="1"/>
  <c r="E233" i="4"/>
  <c r="H232" i="4"/>
  <c r="G232" i="4"/>
  <c r="F232" i="4"/>
  <c r="I232" i="4" s="1"/>
  <c r="E232" i="4"/>
  <c r="H231" i="4"/>
  <c r="F231" i="4"/>
  <c r="E231" i="4"/>
  <c r="H230" i="4"/>
  <c r="E230" i="4"/>
  <c r="F230" i="4" s="1"/>
  <c r="R229" i="4"/>
  <c r="I229" i="4"/>
  <c r="H229" i="4"/>
  <c r="G229" i="4"/>
  <c r="F229" i="4"/>
  <c r="E229" i="4"/>
  <c r="I228" i="4"/>
  <c r="H228" i="4"/>
  <c r="G228" i="4"/>
  <c r="R228" i="4" s="1"/>
  <c r="F228" i="4"/>
  <c r="E228" i="4"/>
  <c r="I227" i="4"/>
  <c r="H227" i="4"/>
  <c r="G227" i="4"/>
  <c r="R227" i="4" s="1"/>
  <c r="F227" i="4"/>
  <c r="E227" i="4"/>
  <c r="H226" i="4"/>
  <c r="E226" i="4"/>
  <c r="F226" i="4" s="1"/>
  <c r="H225" i="4"/>
  <c r="E225" i="4"/>
  <c r="F225" i="4" s="1"/>
  <c r="R224" i="4"/>
  <c r="H224" i="4"/>
  <c r="G224" i="4"/>
  <c r="F224" i="4"/>
  <c r="E224" i="4"/>
  <c r="H223" i="4"/>
  <c r="E223" i="4"/>
  <c r="F223" i="4" s="1"/>
  <c r="H222" i="4"/>
  <c r="G222" i="4"/>
  <c r="R222" i="4" s="1"/>
  <c r="F222" i="4"/>
  <c r="I222" i="4" s="1"/>
  <c r="E222" i="4"/>
  <c r="I221" i="4"/>
  <c r="H221" i="4"/>
  <c r="F221" i="4"/>
  <c r="G221" i="4" s="1"/>
  <c r="R221" i="4" s="1"/>
  <c r="E221" i="4"/>
  <c r="H220" i="4"/>
  <c r="E220" i="4"/>
  <c r="F220" i="4" s="1"/>
  <c r="H219" i="4"/>
  <c r="E219" i="4"/>
  <c r="F219" i="4" s="1"/>
  <c r="I219" i="4" s="1"/>
  <c r="H218" i="4"/>
  <c r="F218" i="4"/>
  <c r="E218" i="4"/>
  <c r="H217" i="4"/>
  <c r="F217" i="4"/>
  <c r="E217" i="4"/>
  <c r="I216" i="4"/>
  <c r="H216" i="4"/>
  <c r="E216" i="4"/>
  <c r="F216" i="4" s="1"/>
  <c r="G216" i="4" s="1"/>
  <c r="R216" i="4" s="1"/>
  <c r="H215" i="4"/>
  <c r="F215" i="4"/>
  <c r="I215" i="4" s="1"/>
  <c r="E215" i="4"/>
  <c r="H214" i="4"/>
  <c r="E214" i="4"/>
  <c r="F214" i="4" s="1"/>
  <c r="H213" i="4"/>
  <c r="F213" i="4"/>
  <c r="E213" i="4"/>
  <c r="R212" i="4"/>
  <c r="H212" i="4"/>
  <c r="G212" i="4"/>
  <c r="E212" i="4"/>
  <c r="F212" i="4" s="1"/>
  <c r="I212" i="4" s="1"/>
  <c r="H211" i="4"/>
  <c r="G211" i="4"/>
  <c r="R211" i="4" s="1"/>
  <c r="E211" i="4"/>
  <c r="F211" i="4" s="1"/>
  <c r="H210" i="4"/>
  <c r="F210" i="4"/>
  <c r="E210" i="4"/>
  <c r="H209" i="4"/>
  <c r="E209" i="4"/>
  <c r="F209" i="4" s="1"/>
  <c r="H208" i="4"/>
  <c r="F208" i="4"/>
  <c r="E208" i="4"/>
  <c r="H207" i="4"/>
  <c r="F207" i="4"/>
  <c r="E207" i="4"/>
  <c r="H206" i="4"/>
  <c r="F206" i="4"/>
  <c r="E206" i="4"/>
  <c r="H205" i="4"/>
  <c r="E205" i="4"/>
  <c r="F205" i="4" s="1"/>
  <c r="I204" i="4"/>
  <c r="H204" i="4"/>
  <c r="F204" i="4"/>
  <c r="E204" i="4"/>
  <c r="H203" i="4"/>
  <c r="E203" i="4"/>
  <c r="F203" i="4" s="1"/>
  <c r="H202" i="4"/>
  <c r="E202" i="4"/>
  <c r="F202" i="4" s="1"/>
  <c r="I202" i="4" s="1"/>
  <c r="H201" i="4"/>
  <c r="E201" i="4"/>
  <c r="F201" i="4" s="1"/>
  <c r="I201" i="4" s="1"/>
  <c r="H200" i="4"/>
  <c r="F200" i="4"/>
  <c r="E200" i="4"/>
  <c r="H199" i="4"/>
  <c r="G199" i="4"/>
  <c r="R199" i="4" s="1"/>
  <c r="E199" i="4"/>
  <c r="F199" i="4" s="1"/>
  <c r="I199" i="4" s="1"/>
  <c r="H198" i="4"/>
  <c r="E198" i="4"/>
  <c r="F198" i="4" s="1"/>
  <c r="I197" i="4"/>
  <c r="H197" i="4"/>
  <c r="G197" i="4"/>
  <c r="E197" i="4"/>
  <c r="F197" i="4" s="1"/>
  <c r="H196" i="4"/>
  <c r="E196" i="4"/>
  <c r="F196" i="4" s="1"/>
  <c r="H195" i="4"/>
  <c r="F195" i="4"/>
  <c r="I195" i="4" s="1"/>
  <c r="E195" i="4"/>
  <c r="I194" i="4"/>
  <c r="H194" i="4"/>
  <c r="G194" i="4"/>
  <c r="R194" i="4" s="1"/>
  <c r="F194" i="4"/>
  <c r="E194" i="4"/>
  <c r="I193" i="4"/>
  <c r="H193" i="4"/>
  <c r="F193" i="4"/>
  <c r="E193" i="4"/>
  <c r="H192" i="4"/>
  <c r="E192" i="4"/>
  <c r="F192" i="4" s="1"/>
  <c r="H191" i="4"/>
  <c r="F191" i="4"/>
  <c r="E191" i="4"/>
  <c r="H190" i="4"/>
  <c r="G190" i="4"/>
  <c r="R190" i="4" s="1"/>
  <c r="F190" i="4"/>
  <c r="E190" i="4"/>
  <c r="H189" i="4"/>
  <c r="E189" i="4"/>
  <c r="F189" i="4" s="1"/>
  <c r="H188" i="4"/>
  <c r="G188" i="4"/>
  <c r="E188" i="4"/>
  <c r="F188" i="4" s="1"/>
  <c r="I188" i="4" s="1"/>
  <c r="H187" i="4"/>
  <c r="F187" i="4"/>
  <c r="E187" i="4"/>
  <c r="I186" i="4"/>
  <c r="H186" i="4"/>
  <c r="G186" i="4"/>
  <c r="R186" i="4" s="1"/>
  <c r="F186" i="4"/>
  <c r="E186" i="4"/>
  <c r="H185" i="4"/>
  <c r="E185" i="4"/>
  <c r="F185" i="4" s="1"/>
  <c r="H184" i="4"/>
  <c r="F184" i="4"/>
  <c r="E184" i="4"/>
  <c r="H183" i="4"/>
  <c r="F183" i="4"/>
  <c r="E183" i="4"/>
  <c r="H182" i="4"/>
  <c r="F182" i="4"/>
  <c r="E182" i="4"/>
  <c r="H181" i="4"/>
  <c r="G181" i="4"/>
  <c r="R181" i="4" s="1"/>
  <c r="E181" i="4"/>
  <c r="F181" i="4" s="1"/>
  <c r="H180" i="4"/>
  <c r="E180" i="4"/>
  <c r="F180" i="4" s="1"/>
  <c r="H179" i="4"/>
  <c r="G179" i="4"/>
  <c r="F179" i="4"/>
  <c r="I179" i="4" s="1"/>
  <c r="E179" i="4"/>
  <c r="I178" i="4"/>
  <c r="H178" i="4"/>
  <c r="F178" i="4"/>
  <c r="E178" i="4"/>
  <c r="H177" i="4"/>
  <c r="E177" i="4"/>
  <c r="F177" i="4" s="1"/>
  <c r="R176" i="4"/>
  <c r="H176" i="4"/>
  <c r="F176" i="4"/>
  <c r="G176" i="4" s="1"/>
  <c r="E176" i="4"/>
  <c r="H175" i="4"/>
  <c r="F175" i="4"/>
  <c r="E175" i="4"/>
  <c r="H174" i="4"/>
  <c r="E174" i="4"/>
  <c r="F174" i="4" s="1"/>
  <c r="R173" i="4"/>
  <c r="I173" i="4"/>
  <c r="H173" i="4"/>
  <c r="G173" i="4"/>
  <c r="F173" i="4"/>
  <c r="E173" i="4"/>
  <c r="I172" i="4"/>
  <c r="H172" i="4"/>
  <c r="F172" i="4"/>
  <c r="E172" i="4"/>
  <c r="H171" i="4"/>
  <c r="F171" i="4"/>
  <c r="E171" i="4"/>
  <c r="H170" i="4"/>
  <c r="F170" i="4"/>
  <c r="E170" i="4"/>
  <c r="H169" i="4"/>
  <c r="E169" i="4"/>
  <c r="F169" i="4" s="1"/>
  <c r="I168" i="4"/>
  <c r="H168" i="4"/>
  <c r="F168" i="4"/>
  <c r="E168" i="4"/>
  <c r="H167" i="4"/>
  <c r="E167" i="4"/>
  <c r="F167" i="4" s="1"/>
  <c r="H166" i="4"/>
  <c r="E166" i="4"/>
  <c r="F166" i="4" s="1"/>
  <c r="H165" i="4"/>
  <c r="E165" i="4"/>
  <c r="F165" i="4" s="1"/>
  <c r="H164" i="4"/>
  <c r="E164" i="4"/>
  <c r="F164" i="4" s="1"/>
  <c r="H163" i="4"/>
  <c r="E163" i="4"/>
  <c r="F163" i="4" s="1"/>
  <c r="I162" i="4"/>
  <c r="H162" i="4"/>
  <c r="E162" i="4"/>
  <c r="F162" i="4" s="1"/>
  <c r="G162" i="4" s="1"/>
  <c r="R162" i="4" s="1"/>
  <c r="I161" i="4"/>
  <c r="H161" i="4"/>
  <c r="G161" i="4"/>
  <c r="E161" i="4"/>
  <c r="F161" i="4" s="1"/>
  <c r="H160" i="4"/>
  <c r="F160" i="4"/>
  <c r="E160" i="4"/>
  <c r="H159" i="4"/>
  <c r="G159" i="4"/>
  <c r="R159" i="4" s="1"/>
  <c r="F159" i="4"/>
  <c r="E159" i="4"/>
  <c r="H158" i="4"/>
  <c r="G158" i="4"/>
  <c r="R158" i="4" s="1"/>
  <c r="E158" i="4"/>
  <c r="F158" i="4" s="1"/>
  <c r="I157" i="4"/>
  <c r="H157" i="4"/>
  <c r="F157" i="4"/>
  <c r="E157" i="4"/>
  <c r="H156" i="4"/>
  <c r="E156" i="4"/>
  <c r="F156" i="4" s="1"/>
  <c r="H155" i="4"/>
  <c r="F155" i="4"/>
  <c r="E155" i="4"/>
  <c r="H154" i="4"/>
  <c r="G154" i="4"/>
  <c r="R154" i="4" s="1"/>
  <c r="E154" i="4"/>
  <c r="F154" i="4" s="1"/>
  <c r="I154" i="4" s="1"/>
  <c r="H153" i="4"/>
  <c r="E153" i="4"/>
  <c r="F153" i="4" s="1"/>
  <c r="H152" i="4"/>
  <c r="E152" i="4"/>
  <c r="F152" i="4" s="1"/>
  <c r="R151" i="4"/>
  <c r="H151" i="4"/>
  <c r="E151" i="4"/>
  <c r="F151" i="4" s="1"/>
  <c r="G151" i="4" s="1"/>
  <c r="H150" i="4"/>
  <c r="E150" i="4"/>
  <c r="F150" i="4" s="1"/>
  <c r="I149" i="4"/>
  <c r="H149" i="4"/>
  <c r="F149" i="4"/>
  <c r="E149" i="4"/>
  <c r="H148" i="4"/>
  <c r="F148" i="4"/>
  <c r="I148" i="4" s="1"/>
  <c r="E148" i="4"/>
  <c r="H147" i="4"/>
  <c r="F147" i="4"/>
  <c r="E147" i="4"/>
  <c r="R146" i="4"/>
  <c r="I146" i="4"/>
  <c r="H146" i="4"/>
  <c r="G146" i="4"/>
  <c r="F146" i="4"/>
  <c r="E146" i="4"/>
  <c r="H145" i="4"/>
  <c r="F145" i="4"/>
  <c r="E145" i="4"/>
  <c r="H144" i="4"/>
  <c r="F144" i="4"/>
  <c r="E144" i="4"/>
  <c r="H143" i="4"/>
  <c r="G143" i="4"/>
  <c r="R143" i="4" s="1"/>
  <c r="E143" i="4"/>
  <c r="F143" i="4" s="1"/>
  <c r="I143" i="4" s="1"/>
  <c r="H142" i="4"/>
  <c r="E142" i="4"/>
  <c r="F142" i="4" s="1"/>
  <c r="H141" i="4"/>
  <c r="E141" i="4"/>
  <c r="F141" i="4" s="1"/>
  <c r="I140" i="4"/>
  <c r="H140" i="4"/>
  <c r="E140" i="4"/>
  <c r="F140" i="4" s="1"/>
  <c r="G140" i="4" s="1"/>
  <c r="R140" i="4" s="1"/>
  <c r="I139" i="4"/>
  <c r="H139" i="4"/>
  <c r="G139" i="4"/>
  <c r="E139" i="4"/>
  <c r="F139" i="4" s="1"/>
  <c r="H138" i="4"/>
  <c r="F138" i="4"/>
  <c r="E138" i="4"/>
  <c r="I137" i="4"/>
  <c r="H137" i="4"/>
  <c r="G137" i="4"/>
  <c r="F137" i="4"/>
  <c r="E137" i="4"/>
  <c r="H136" i="4"/>
  <c r="E136" i="4"/>
  <c r="F136" i="4" s="1"/>
  <c r="R135" i="4"/>
  <c r="I135" i="4"/>
  <c r="H135" i="4"/>
  <c r="G135" i="4"/>
  <c r="F135" i="4"/>
  <c r="E135" i="4"/>
  <c r="H134" i="4"/>
  <c r="E134" i="4"/>
  <c r="F134" i="4" s="1"/>
  <c r="H133" i="4"/>
  <c r="F133" i="4"/>
  <c r="E133" i="4"/>
  <c r="R132" i="4"/>
  <c r="H132" i="4"/>
  <c r="G132" i="4"/>
  <c r="E132" i="4"/>
  <c r="F132" i="4" s="1"/>
  <c r="I132" i="4" s="1"/>
  <c r="H131" i="4"/>
  <c r="E131" i="4"/>
  <c r="F131" i="4" s="1"/>
  <c r="H130" i="4"/>
  <c r="E130" i="4"/>
  <c r="F130" i="4" s="1"/>
  <c r="R129" i="4"/>
  <c r="I129" i="4"/>
  <c r="H129" i="4"/>
  <c r="E129" i="4"/>
  <c r="F129" i="4" s="1"/>
  <c r="G129" i="4" s="1"/>
  <c r="I128" i="4"/>
  <c r="H128" i="4"/>
  <c r="F128" i="4"/>
  <c r="E128" i="4"/>
  <c r="H127" i="4"/>
  <c r="F127" i="4"/>
  <c r="E127" i="4"/>
  <c r="H126" i="4"/>
  <c r="E126" i="4"/>
  <c r="F126" i="4" s="1"/>
  <c r="I126" i="4" s="1"/>
  <c r="I125" i="4"/>
  <c r="H125" i="4"/>
  <c r="G125" i="4"/>
  <c r="E125" i="4"/>
  <c r="F125" i="4" s="1"/>
  <c r="I124" i="4"/>
  <c r="H124" i="4"/>
  <c r="G124" i="4"/>
  <c r="R124" i="4" s="1"/>
  <c r="F124" i="4"/>
  <c r="E124" i="4"/>
  <c r="H123" i="4"/>
  <c r="F123" i="4"/>
  <c r="E123" i="4"/>
  <c r="H122" i="4"/>
  <c r="F122" i="4"/>
  <c r="E122" i="4"/>
  <c r="I121" i="4"/>
  <c r="H121" i="4"/>
  <c r="G121" i="4"/>
  <c r="R121" i="4" s="1"/>
  <c r="E121" i="4"/>
  <c r="F121" i="4" s="1"/>
  <c r="H120" i="4"/>
  <c r="E120" i="4"/>
  <c r="F120" i="4" s="1"/>
  <c r="H119" i="4"/>
  <c r="E119" i="4"/>
  <c r="F119" i="4" s="1"/>
  <c r="H118" i="4"/>
  <c r="E118" i="4"/>
  <c r="F118" i="4" s="1"/>
  <c r="I117" i="4"/>
  <c r="H117" i="4"/>
  <c r="G117" i="4"/>
  <c r="R117" i="4" s="1"/>
  <c r="F117" i="4"/>
  <c r="E117" i="4"/>
  <c r="H116" i="4"/>
  <c r="F116" i="4"/>
  <c r="E116" i="4"/>
  <c r="I115" i="4"/>
  <c r="H115" i="4"/>
  <c r="E115" i="4"/>
  <c r="F115" i="4" s="1"/>
  <c r="G115" i="4" s="1"/>
  <c r="R115" i="4" s="1"/>
  <c r="H114" i="4"/>
  <c r="F114" i="4"/>
  <c r="E114" i="4"/>
  <c r="R113" i="4"/>
  <c r="H113" i="4"/>
  <c r="E113" i="4"/>
  <c r="F113" i="4" s="1"/>
  <c r="G113" i="4" s="1"/>
  <c r="H112" i="4"/>
  <c r="E112" i="4"/>
  <c r="F112" i="4" s="1"/>
  <c r="R111" i="4"/>
  <c r="H111" i="4"/>
  <c r="G111" i="4"/>
  <c r="F111" i="4"/>
  <c r="E111" i="4"/>
  <c r="H110" i="4"/>
  <c r="E110" i="4"/>
  <c r="F110" i="4" s="1"/>
  <c r="H109" i="4"/>
  <c r="E109" i="4"/>
  <c r="F109" i="4" s="1"/>
  <c r="H108" i="4"/>
  <c r="E108" i="4"/>
  <c r="F108" i="4" s="1"/>
  <c r="H107" i="4"/>
  <c r="E107" i="4"/>
  <c r="F107" i="4" s="1"/>
  <c r="H106" i="4"/>
  <c r="E106" i="4"/>
  <c r="F106" i="4" s="1"/>
  <c r="H105" i="4"/>
  <c r="E105" i="4"/>
  <c r="F105" i="4" s="1"/>
  <c r="H104" i="4"/>
  <c r="E104" i="4"/>
  <c r="F104" i="4" s="1"/>
  <c r="H103" i="4"/>
  <c r="F103" i="4"/>
  <c r="E103" i="4"/>
  <c r="R102" i="4"/>
  <c r="I102" i="4"/>
  <c r="H102" i="4"/>
  <c r="E102" i="4"/>
  <c r="F102" i="4" s="1"/>
  <c r="G102" i="4" s="1"/>
  <c r="H101" i="4"/>
  <c r="F101" i="4"/>
  <c r="E101" i="4"/>
  <c r="H100" i="4"/>
  <c r="G100" i="4"/>
  <c r="R100" i="4" s="1"/>
  <c r="F100" i="4"/>
  <c r="E100" i="4"/>
  <c r="H99" i="4"/>
  <c r="E99" i="4"/>
  <c r="F99" i="4" s="1"/>
  <c r="H98" i="4"/>
  <c r="E98" i="4"/>
  <c r="F98" i="4" s="1"/>
  <c r="I98" i="4" s="1"/>
  <c r="H97" i="4"/>
  <c r="E97" i="4"/>
  <c r="F97" i="4" s="1"/>
  <c r="H96" i="4"/>
  <c r="F96" i="4"/>
  <c r="G96" i="4" s="1"/>
  <c r="R96" i="4" s="1"/>
  <c r="E96" i="4"/>
  <c r="H95" i="4"/>
  <c r="F95" i="4"/>
  <c r="E95" i="4"/>
  <c r="H94" i="4"/>
  <c r="E94" i="4"/>
  <c r="F94" i="4" s="1"/>
  <c r="H93" i="4"/>
  <c r="G93" i="4"/>
  <c r="R93" i="4" s="1"/>
  <c r="F93" i="4"/>
  <c r="I93" i="4" s="1"/>
  <c r="E93" i="4"/>
  <c r="I92" i="4"/>
  <c r="H92" i="4"/>
  <c r="F92" i="4"/>
  <c r="E92" i="4"/>
  <c r="R91" i="4"/>
  <c r="I91" i="4"/>
  <c r="H91" i="4"/>
  <c r="E91" i="4"/>
  <c r="F91" i="4" s="1"/>
  <c r="G91" i="4" s="1"/>
  <c r="H90" i="4"/>
  <c r="G90" i="4"/>
  <c r="R90" i="4" s="1"/>
  <c r="F90" i="4"/>
  <c r="E90" i="4"/>
  <c r="H89" i="4"/>
  <c r="F89" i="4"/>
  <c r="E89" i="4"/>
  <c r="R88" i="4"/>
  <c r="I88" i="4"/>
  <c r="H88" i="4"/>
  <c r="G88" i="4"/>
  <c r="F88" i="4"/>
  <c r="E88" i="4"/>
  <c r="H87" i="4"/>
  <c r="E87" i="4"/>
  <c r="F87" i="4" s="1"/>
  <c r="I86" i="4"/>
  <c r="H86" i="4"/>
  <c r="E86" i="4"/>
  <c r="F86" i="4" s="1"/>
  <c r="I85" i="4"/>
  <c r="H85" i="4"/>
  <c r="E85" i="4"/>
  <c r="F85" i="4" s="1"/>
  <c r="H84" i="4"/>
  <c r="E84" i="4"/>
  <c r="F84" i="4" s="1"/>
  <c r="H83" i="4"/>
  <c r="E83" i="4"/>
  <c r="F83" i="4" s="1"/>
  <c r="H82" i="4"/>
  <c r="E82" i="4"/>
  <c r="F82" i="4" s="1"/>
  <c r="G82" i="4" s="1"/>
  <c r="R82" i="4" s="1"/>
  <c r="H81" i="4"/>
  <c r="F81" i="4"/>
  <c r="E81" i="4"/>
  <c r="I80" i="4"/>
  <c r="H80" i="4"/>
  <c r="E80" i="4"/>
  <c r="F80" i="4" s="1"/>
  <c r="G80" i="4" s="1"/>
  <c r="R80" i="4" s="1"/>
  <c r="H79" i="4"/>
  <c r="E79" i="4"/>
  <c r="F79" i="4" s="1"/>
  <c r="H78" i="4"/>
  <c r="F78" i="4"/>
  <c r="E78" i="4"/>
  <c r="R77" i="4"/>
  <c r="I77" i="4"/>
  <c r="H77" i="4"/>
  <c r="G77" i="4"/>
  <c r="F77" i="4"/>
  <c r="E77" i="4"/>
  <c r="H76" i="4"/>
  <c r="E76" i="4"/>
  <c r="F76" i="4" s="1"/>
  <c r="H75" i="4"/>
  <c r="E75" i="4"/>
  <c r="F75" i="4" s="1"/>
  <c r="H74" i="4"/>
  <c r="F74" i="4"/>
  <c r="E74" i="4"/>
  <c r="H73" i="4"/>
  <c r="F73" i="4"/>
  <c r="E73" i="4"/>
  <c r="R72" i="4"/>
  <c r="H72" i="4"/>
  <c r="G72" i="4"/>
  <c r="E72" i="4"/>
  <c r="F72" i="4" s="1"/>
  <c r="H71" i="4"/>
  <c r="F71" i="4"/>
  <c r="G71" i="4" s="1"/>
  <c r="R71" i="4" s="1"/>
  <c r="E71" i="4"/>
  <c r="I70" i="4"/>
  <c r="H70" i="4"/>
  <c r="F70" i="4"/>
  <c r="E70" i="4"/>
  <c r="H69" i="4"/>
  <c r="F69" i="4"/>
  <c r="E69" i="4"/>
  <c r="H68" i="4"/>
  <c r="E68" i="4"/>
  <c r="F68" i="4" s="1"/>
  <c r="H67" i="4"/>
  <c r="F67" i="4"/>
  <c r="E67" i="4"/>
  <c r="R66" i="4"/>
  <c r="I66" i="4"/>
  <c r="H66" i="4"/>
  <c r="G66" i="4"/>
  <c r="F66" i="4"/>
  <c r="E66" i="4"/>
  <c r="H65" i="4"/>
  <c r="E65" i="4"/>
  <c r="F65" i="4" s="1"/>
  <c r="R64" i="4"/>
  <c r="I64" i="4"/>
  <c r="H64" i="4"/>
  <c r="E64" i="4"/>
  <c r="F64" i="4" s="1"/>
  <c r="G64" i="4" s="1"/>
  <c r="H63" i="4"/>
  <c r="E63" i="4"/>
  <c r="F63" i="4" s="1"/>
  <c r="H62" i="4"/>
  <c r="E62" i="4"/>
  <c r="F62" i="4" s="1"/>
  <c r="H61" i="4"/>
  <c r="E61" i="4"/>
  <c r="F61" i="4" s="1"/>
  <c r="H60" i="4"/>
  <c r="E60" i="4"/>
  <c r="F60" i="4" s="1"/>
  <c r="G60" i="4" s="1"/>
  <c r="R60" i="4" s="1"/>
  <c r="H59" i="4"/>
  <c r="F59" i="4"/>
  <c r="E59" i="4"/>
  <c r="H58" i="4"/>
  <c r="E58" i="4"/>
  <c r="F58" i="4" s="1"/>
  <c r="H57" i="4"/>
  <c r="E57" i="4"/>
  <c r="F57" i="4" s="1"/>
  <c r="H56" i="4"/>
  <c r="G56" i="4"/>
  <c r="R56" i="4" s="1"/>
  <c r="F56" i="4"/>
  <c r="E56" i="4"/>
  <c r="H55" i="4"/>
  <c r="F55" i="4"/>
  <c r="E55" i="4"/>
  <c r="H54" i="4"/>
  <c r="F54" i="4"/>
  <c r="I54" i="4" s="1"/>
  <c r="E54" i="4"/>
  <c r="H53" i="4"/>
  <c r="E53" i="4"/>
  <c r="F53" i="4" s="1"/>
  <c r="H52" i="4"/>
  <c r="E52" i="4"/>
  <c r="F52" i="4" s="1"/>
  <c r="H51" i="4"/>
  <c r="E51" i="4"/>
  <c r="F51" i="4" s="1"/>
  <c r="H50" i="4"/>
  <c r="E50" i="4"/>
  <c r="F50" i="4" s="1"/>
  <c r="I50" i="4" s="1"/>
  <c r="H49" i="4"/>
  <c r="E49" i="4"/>
  <c r="F49" i="4" s="1"/>
  <c r="I48" i="4"/>
  <c r="H48" i="4"/>
  <c r="F48" i="4"/>
  <c r="G48" i="4" s="1"/>
  <c r="E48" i="4"/>
  <c r="H47" i="4"/>
  <c r="F47" i="4"/>
  <c r="E47" i="4"/>
  <c r="H46" i="4"/>
  <c r="E46" i="4"/>
  <c r="F46" i="4" s="1"/>
  <c r="H45" i="4"/>
  <c r="F45" i="4"/>
  <c r="E45" i="4"/>
  <c r="R44" i="4"/>
  <c r="H44" i="4"/>
  <c r="G44" i="4"/>
  <c r="F44" i="4"/>
  <c r="E44" i="4"/>
  <c r="H43" i="4"/>
  <c r="E43" i="4"/>
  <c r="F43" i="4" s="1"/>
  <c r="H42" i="4"/>
  <c r="E42" i="4"/>
  <c r="F42" i="4" s="1"/>
  <c r="H41" i="4"/>
  <c r="E41" i="4"/>
  <c r="F41" i="4" s="1"/>
  <c r="I40" i="4"/>
  <c r="H40" i="4"/>
  <c r="E40" i="4"/>
  <c r="F40" i="4" s="1"/>
  <c r="H39" i="4"/>
  <c r="F39" i="4"/>
  <c r="E39" i="4"/>
  <c r="I38" i="4"/>
  <c r="H38" i="4"/>
  <c r="E38" i="4"/>
  <c r="F38" i="4" s="1"/>
  <c r="G38" i="4" s="1"/>
  <c r="R38" i="4" s="1"/>
  <c r="H37" i="4"/>
  <c r="E37" i="4"/>
  <c r="F37" i="4" s="1"/>
  <c r="H36" i="4"/>
  <c r="E36" i="4"/>
  <c r="F36" i="4" s="1"/>
  <c r="H35" i="4"/>
  <c r="G35" i="4"/>
  <c r="R35" i="4" s="1"/>
  <c r="E35" i="4"/>
  <c r="F35" i="4" s="1"/>
  <c r="H34" i="4"/>
  <c r="E34" i="4"/>
  <c r="F34" i="4" s="1"/>
  <c r="R33" i="4"/>
  <c r="H33" i="4"/>
  <c r="G33" i="4"/>
  <c r="F33" i="4"/>
  <c r="E33" i="4"/>
  <c r="H32" i="4"/>
  <c r="E32" i="4"/>
  <c r="F32" i="4" s="1"/>
  <c r="H31" i="4"/>
  <c r="E31" i="4"/>
  <c r="F31" i="4" s="1"/>
  <c r="H30" i="4"/>
  <c r="E30" i="4"/>
  <c r="F30" i="4" s="1"/>
  <c r="H29" i="4"/>
  <c r="E29" i="4"/>
  <c r="F29" i="4" s="1"/>
  <c r="I29" i="4" s="1"/>
  <c r="H28" i="4"/>
  <c r="F28" i="4"/>
  <c r="E28" i="4"/>
  <c r="I27" i="4"/>
  <c r="H27" i="4"/>
  <c r="E27" i="4"/>
  <c r="F27" i="4" s="1"/>
  <c r="G27" i="4" s="1"/>
  <c r="R27" i="4" s="1"/>
  <c r="H26" i="4"/>
  <c r="E26" i="4"/>
  <c r="F26" i="4" s="1"/>
  <c r="H25" i="4"/>
  <c r="E25" i="4"/>
  <c r="F25" i="4" s="1"/>
  <c r="H24" i="4"/>
  <c r="E24" i="4"/>
  <c r="F24" i="4" s="1"/>
  <c r="H23" i="4"/>
  <c r="E23" i="4"/>
  <c r="F23" i="4" s="1"/>
  <c r="R22" i="4"/>
  <c r="H22" i="4"/>
  <c r="G22" i="4"/>
  <c r="F22" i="4"/>
  <c r="E22" i="4"/>
  <c r="B16" i="4"/>
  <c r="B8" i="4"/>
  <c r="B24" i="3"/>
  <c r="B23" i="3"/>
  <c r="B22" i="3"/>
  <c r="B18" i="3"/>
  <c r="B26" i="3" s="1"/>
  <c r="K17" i="3"/>
  <c r="J17" i="3"/>
  <c r="H17" i="3"/>
  <c r="D17" i="3"/>
  <c r="F17" i="3" s="1"/>
  <c r="K16" i="3"/>
  <c r="J16" i="3"/>
  <c r="H16" i="3"/>
  <c r="D16" i="3"/>
  <c r="F16" i="3" s="1"/>
  <c r="K15" i="3"/>
  <c r="J15" i="3"/>
  <c r="H15" i="3"/>
  <c r="D15" i="3"/>
  <c r="F15" i="3" s="1"/>
  <c r="K14" i="3"/>
  <c r="J14" i="3"/>
  <c r="H14" i="3"/>
  <c r="D14" i="3"/>
  <c r="F14" i="3" s="1"/>
  <c r="K13" i="3"/>
  <c r="J13" i="3"/>
  <c r="H13" i="3"/>
  <c r="D13" i="3"/>
  <c r="F13" i="3" s="1"/>
  <c r="K12" i="3"/>
  <c r="J12" i="3"/>
  <c r="H12" i="3"/>
  <c r="D12" i="3"/>
  <c r="F12" i="3" s="1"/>
  <c r="K11" i="3"/>
  <c r="J11" i="3"/>
  <c r="H11" i="3"/>
  <c r="D11" i="3"/>
  <c r="F11" i="3" s="1"/>
  <c r="K10" i="3"/>
  <c r="J10" i="3"/>
  <c r="H10" i="3"/>
  <c r="F10" i="3"/>
  <c r="D10" i="3"/>
  <c r="H9" i="3"/>
  <c r="F9" i="3"/>
  <c r="K9" i="3" s="1"/>
  <c r="D9" i="3"/>
  <c r="H8" i="3"/>
  <c r="F8" i="3"/>
  <c r="D8" i="3"/>
  <c r="F90" i="2"/>
  <c r="E90" i="2"/>
  <c r="D90" i="2"/>
  <c r="C90" i="2"/>
  <c r="B90" i="2"/>
  <c r="I60" i="2"/>
  <c r="I59" i="2"/>
  <c r="I58" i="2"/>
  <c r="I57" i="2"/>
  <c r="I56" i="2"/>
  <c r="I55" i="2"/>
  <c r="I54" i="2"/>
  <c r="I53" i="2"/>
  <c r="I52" i="2"/>
  <c r="I51" i="2"/>
  <c r="I50" i="2"/>
  <c r="I49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B6" i="2"/>
  <c r="B7" i="2" s="1"/>
  <c r="B79" i="1"/>
  <c r="M154" i="4" s="1"/>
  <c r="B77" i="1"/>
  <c r="B58" i="1"/>
  <c r="B4" i="4" s="1"/>
  <c r="B56" i="1"/>
  <c r="B374" i="4" s="1"/>
  <c r="B54" i="1"/>
  <c r="D46" i="1"/>
  <c r="D45" i="1"/>
  <c r="D44" i="1"/>
  <c r="D43" i="1"/>
  <c r="D42" i="1"/>
  <c r="D41" i="1"/>
  <c r="D40" i="1"/>
  <c r="D39" i="1"/>
  <c r="D38" i="1"/>
  <c r="D37" i="1"/>
  <c r="D36" i="1"/>
  <c r="B25" i="1"/>
  <c r="B17" i="1"/>
  <c r="B19" i="1" s="1"/>
  <c r="B5" i="4" s="1"/>
  <c r="B6" i="4" s="1"/>
  <c r="B9" i="4" s="1"/>
  <c r="B13" i="1"/>
  <c r="B7" i="5" s="1"/>
  <c r="M197" i="4" l="1"/>
  <c r="M184" i="4"/>
  <c r="M30" i="4"/>
  <c r="M22" i="4"/>
  <c r="M91" i="4"/>
  <c r="B80" i="1"/>
  <c r="M24" i="4"/>
  <c r="M33" i="4"/>
  <c r="M41" i="4"/>
  <c r="M109" i="4"/>
  <c r="M48" i="4"/>
  <c r="M35" i="4"/>
  <c r="M50" i="4"/>
  <c r="B10" i="4"/>
  <c r="B11" i="4" s="1"/>
  <c r="B15" i="4" s="1"/>
  <c r="M44" i="4"/>
  <c r="I32" i="4"/>
  <c r="G32" i="4"/>
  <c r="R32" i="4" s="1"/>
  <c r="B17" i="4"/>
  <c r="B64" i="1"/>
  <c r="I87" i="4"/>
  <c r="G87" i="4"/>
  <c r="R87" i="4" s="1"/>
  <c r="I177" i="4"/>
  <c r="G177" i="4"/>
  <c r="R177" i="4" s="1"/>
  <c r="I43" i="4"/>
  <c r="G43" i="4"/>
  <c r="R43" i="4" s="1"/>
  <c r="I112" i="4"/>
  <c r="G112" i="4"/>
  <c r="R112" i="4" s="1"/>
  <c r="I25" i="4"/>
  <c r="G25" i="4"/>
  <c r="R25" i="4" s="1"/>
  <c r="G30" i="4"/>
  <c r="R30" i="4" s="1"/>
  <c r="I30" i="4"/>
  <c r="I65" i="4"/>
  <c r="J65" i="4"/>
  <c r="G65" i="4"/>
  <c r="R65" i="4" s="1"/>
  <c r="I76" i="4"/>
  <c r="J191" i="4"/>
  <c r="I225" i="4"/>
  <c r="G225" i="4"/>
  <c r="R225" i="4" s="1"/>
  <c r="B8" i="5"/>
  <c r="G61" i="2"/>
  <c r="J317" i="4" s="1"/>
  <c r="F61" i="2"/>
  <c r="J126" i="4" s="1"/>
  <c r="E61" i="2"/>
  <c r="J108" i="4" s="1"/>
  <c r="D61" i="2"/>
  <c r="J87" i="4" s="1"/>
  <c r="C61" i="2"/>
  <c r="J62" i="4" s="1"/>
  <c r="B61" i="2"/>
  <c r="J195" i="4" s="1"/>
  <c r="B9" i="2"/>
  <c r="H61" i="2"/>
  <c r="J177" i="4" s="1"/>
  <c r="I133" i="4"/>
  <c r="I34" i="4"/>
  <c r="G34" i="4"/>
  <c r="R34" i="4" s="1"/>
  <c r="I96" i="4"/>
  <c r="G133" i="4"/>
  <c r="R133" i="4" s="1"/>
  <c r="G220" i="4"/>
  <c r="R220" i="4" s="1"/>
  <c r="I220" i="4"/>
  <c r="J220" i="4"/>
  <c r="J49" i="4"/>
  <c r="I49" i="4"/>
  <c r="G49" i="4"/>
  <c r="R49" i="4" s="1"/>
  <c r="G76" i="4"/>
  <c r="R76" i="4" s="1"/>
  <c r="I109" i="4"/>
  <c r="G109" i="4"/>
  <c r="R109" i="4" s="1"/>
  <c r="I159" i="4"/>
  <c r="G254" i="4"/>
  <c r="R254" i="4" s="1"/>
  <c r="I254" i="4"/>
  <c r="B397" i="4"/>
  <c r="B390" i="4"/>
  <c r="G185" i="4"/>
  <c r="R185" i="4" s="1"/>
  <c r="J185" i="4"/>
  <c r="I185" i="4"/>
  <c r="G198" i="4"/>
  <c r="R198" i="4" s="1"/>
  <c r="I198" i="4"/>
  <c r="J198" i="4"/>
  <c r="G40" i="4"/>
  <c r="R40" i="4" s="1"/>
  <c r="I60" i="4"/>
  <c r="K8" i="3"/>
  <c r="K18" i="3" s="1"/>
  <c r="B21" i="3" s="1"/>
  <c r="B25" i="3" s="1"/>
  <c r="B55" i="1" s="1"/>
  <c r="B57" i="1" s="1"/>
  <c r="B36" i="5" s="1"/>
  <c r="J8" i="3"/>
  <c r="J18" i="3" s="1"/>
  <c r="B27" i="3" s="1"/>
  <c r="B28" i="3" s="1"/>
  <c r="I71" i="4"/>
  <c r="I35" i="4"/>
  <c r="J55" i="4"/>
  <c r="J60" i="4"/>
  <c r="I82" i="4"/>
  <c r="J167" i="4"/>
  <c r="I167" i="4"/>
  <c r="G167" i="4"/>
  <c r="R167" i="4" s="1"/>
  <c r="I26" i="4"/>
  <c r="I110" i="4"/>
  <c r="G110" i="4"/>
  <c r="R110" i="4" s="1"/>
  <c r="I147" i="4"/>
  <c r="G318" i="4"/>
  <c r="R318" i="4" s="1"/>
  <c r="I318" i="4"/>
  <c r="G26" i="4"/>
  <c r="R26" i="4" s="1"/>
  <c r="J31" i="4"/>
  <c r="I31" i="4"/>
  <c r="G31" i="4"/>
  <c r="R31" i="4" s="1"/>
  <c r="I36" i="4"/>
  <c r="G36" i="4"/>
  <c r="R36" i="4" s="1"/>
  <c r="G41" i="4"/>
  <c r="R41" i="4" s="1"/>
  <c r="I41" i="4"/>
  <c r="G98" i="4"/>
  <c r="R98" i="4" s="1"/>
  <c r="G147" i="4"/>
  <c r="R147" i="4" s="1"/>
  <c r="G241" i="4"/>
  <c r="R241" i="4" s="1"/>
  <c r="I241" i="4"/>
  <c r="G46" i="4"/>
  <c r="R46" i="4" s="1"/>
  <c r="I46" i="4"/>
  <c r="I142" i="4"/>
  <c r="G142" i="4"/>
  <c r="R142" i="4" s="1"/>
  <c r="I51" i="4"/>
  <c r="G51" i="4"/>
  <c r="R51" i="4" s="1"/>
  <c r="J51" i="4"/>
  <c r="I62" i="4"/>
  <c r="G62" i="4"/>
  <c r="R62" i="4" s="1"/>
  <c r="I99" i="4"/>
  <c r="G99" i="4"/>
  <c r="R99" i="4" s="1"/>
  <c r="I104" i="4"/>
  <c r="G104" i="4"/>
  <c r="R104" i="4" s="1"/>
  <c r="G174" i="4"/>
  <c r="R174" i="4" s="1"/>
  <c r="I174" i="4"/>
  <c r="B26" i="5"/>
  <c r="B398" i="4"/>
  <c r="B378" i="4"/>
  <c r="B380" i="4" s="1"/>
  <c r="B377" i="4"/>
  <c r="B379" i="4" s="1"/>
  <c r="B381" i="4" s="1"/>
  <c r="B382" i="4" s="1"/>
  <c r="I84" i="4"/>
  <c r="G84" i="4"/>
  <c r="R84" i="4" s="1"/>
  <c r="I89" i="4"/>
  <c r="G169" i="4"/>
  <c r="R169" i="4" s="1"/>
  <c r="I169" i="4"/>
  <c r="I181" i="4"/>
  <c r="I264" i="4"/>
  <c r="G264" i="4"/>
  <c r="R264" i="4" s="1"/>
  <c r="I37" i="4"/>
  <c r="G52" i="4"/>
  <c r="R52" i="4" s="1"/>
  <c r="I52" i="4"/>
  <c r="I73" i="4"/>
  <c r="G73" i="4"/>
  <c r="R73" i="4" s="1"/>
  <c r="G89" i="4"/>
  <c r="R89" i="4" s="1"/>
  <c r="I105" i="4"/>
  <c r="I130" i="4"/>
  <c r="G130" i="4"/>
  <c r="R130" i="4" s="1"/>
  <c r="G69" i="4"/>
  <c r="R69" i="4" s="1"/>
  <c r="J69" i="4"/>
  <c r="I69" i="4"/>
  <c r="G107" i="4"/>
  <c r="R107" i="4" s="1"/>
  <c r="I107" i="4"/>
  <c r="J24" i="4"/>
  <c r="G53" i="4"/>
  <c r="R53" i="4" s="1"/>
  <c r="J53" i="4"/>
  <c r="I53" i="4"/>
  <c r="G24" i="4"/>
  <c r="R24" i="4" s="1"/>
  <c r="I164" i="4"/>
  <c r="G164" i="4"/>
  <c r="R164" i="4" s="1"/>
  <c r="J29" i="4"/>
  <c r="G29" i="4"/>
  <c r="R29" i="4" s="1"/>
  <c r="I101" i="4"/>
  <c r="G101" i="4"/>
  <c r="R101" i="4" s="1"/>
  <c r="I114" i="4"/>
  <c r="G114" i="4"/>
  <c r="R114" i="4" s="1"/>
  <c r="G126" i="4"/>
  <c r="R126" i="4" s="1"/>
  <c r="G37" i="4"/>
  <c r="R37" i="4" s="1"/>
  <c r="I42" i="4"/>
  <c r="G42" i="4"/>
  <c r="R42" i="4" s="1"/>
  <c r="J57" i="4"/>
  <c r="I57" i="4"/>
  <c r="G57" i="4"/>
  <c r="R57" i="4" s="1"/>
  <c r="G105" i="4"/>
  <c r="R105" i="4" s="1"/>
  <c r="I24" i="4"/>
  <c r="J52" i="4"/>
  <c r="J68" i="4"/>
  <c r="I68" i="4"/>
  <c r="G68" i="4"/>
  <c r="R68" i="4" s="1"/>
  <c r="I131" i="4"/>
  <c r="G131" i="4"/>
  <c r="R131" i="4" s="1"/>
  <c r="R137" i="4"/>
  <c r="R188" i="4"/>
  <c r="G47" i="4"/>
  <c r="R47" i="4" s="1"/>
  <c r="J47" i="4"/>
  <c r="I47" i="4"/>
  <c r="G58" i="4"/>
  <c r="R58" i="4" s="1"/>
  <c r="I58" i="4"/>
  <c r="I63" i="4"/>
  <c r="G63" i="4"/>
  <c r="R63" i="4" s="1"/>
  <c r="I79" i="4"/>
  <c r="G79" i="4"/>
  <c r="R79" i="4" s="1"/>
  <c r="G85" i="4"/>
  <c r="R85" i="4" s="1"/>
  <c r="I106" i="4"/>
  <c r="G106" i="4"/>
  <c r="R106" i="4" s="1"/>
  <c r="I120" i="4"/>
  <c r="I144" i="4"/>
  <c r="I170" i="4"/>
  <c r="G170" i="4"/>
  <c r="R170" i="4" s="1"/>
  <c r="J203" i="4"/>
  <c r="I203" i="4"/>
  <c r="G203" i="4"/>
  <c r="R203" i="4" s="1"/>
  <c r="I230" i="4"/>
  <c r="G230" i="4"/>
  <c r="R230" i="4" s="1"/>
  <c r="M353" i="4"/>
  <c r="M342" i="4"/>
  <c r="M331" i="4"/>
  <c r="M320" i="4"/>
  <c r="M309" i="4"/>
  <c r="M298" i="4"/>
  <c r="M287" i="4"/>
  <c r="M276" i="4"/>
  <c r="M265" i="4"/>
  <c r="M347" i="4"/>
  <c r="M336" i="4"/>
  <c r="M325" i="4"/>
  <c r="M314" i="4"/>
  <c r="M303" i="4"/>
  <c r="M292" i="4"/>
  <c r="M281" i="4"/>
  <c r="M270" i="4"/>
  <c r="M259" i="4"/>
  <c r="M248" i="4"/>
  <c r="M237" i="4"/>
  <c r="M350" i="4"/>
  <c r="M339" i="4"/>
  <c r="M328" i="4"/>
  <c r="M317" i="4"/>
  <c r="M306" i="4"/>
  <c r="M295" i="4"/>
  <c r="M284" i="4"/>
  <c r="M273" i="4"/>
  <c r="M262" i="4"/>
  <c r="M251" i="4"/>
  <c r="M240" i="4"/>
  <c r="M229" i="4"/>
  <c r="M218" i="4"/>
  <c r="M207" i="4"/>
  <c r="M293" i="4"/>
  <c r="M267" i="4"/>
  <c r="M255" i="4"/>
  <c r="M238" i="4"/>
  <c r="M196" i="4"/>
  <c r="M185" i="4"/>
  <c r="M174" i="4"/>
  <c r="M301" i="4"/>
  <c r="M291" i="4"/>
  <c r="M253" i="4"/>
  <c r="M224" i="4"/>
  <c r="M299" i="4"/>
  <c r="M297" i="4"/>
  <c r="M289" i="4"/>
  <c r="M249" i="4"/>
  <c r="M345" i="4"/>
  <c r="M307" i="4"/>
  <c r="M305" i="4"/>
  <c r="M236" i="4"/>
  <c r="M217" i="4"/>
  <c r="M212" i="4"/>
  <c r="M343" i="4"/>
  <c r="M341" i="4"/>
  <c r="M315" i="4"/>
  <c r="M202" i="4"/>
  <c r="M351" i="4"/>
  <c r="M349" i="4"/>
  <c r="M337" i="4"/>
  <c r="M323" i="4"/>
  <c r="M313" i="4"/>
  <c r="M335" i="4"/>
  <c r="M321" i="4"/>
  <c r="M319" i="4"/>
  <c r="M311" i="4"/>
  <c r="M234" i="4"/>
  <c r="M227" i="4"/>
  <c r="M210" i="4"/>
  <c r="M205" i="4"/>
  <c r="M194" i="4"/>
  <c r="M183" i="4"/>
  <c r="M172" i="4"/>
  <c r="M357" i="4"/>
  <c r="M333" i="4"/>
  <c r="M329" i="4"/>
  <c r="M327" i="4"/>
  <c r="M355" i="4"/>
  <c r="M282" i="4"/>
  <c r="M266" i="4"/>
  <c r="M264" i="4"/>
  <c r="M241" i="4"/>
  <c r="M220" i="4"/>
  <c r="M208" i="4"/>
  <c r="M290" i="4"/>
  <c r="M280" i="4"/>
  <c r="M274" i="4"/>
  <c r="M272" i="4"/>
  <c r="M258" i="4"/>
  <c r="M254" i="4"/>
  <c r="M352" i="4"/>
  <c r="M348" i="4"/>
  <c r="M334" i="4"/>
  <c r="M310" i="4"/>
  <c r="M308" i="4"/>
  <c r="M300" i="4"/>
  <c r="M228" i="4"/>
  <c r="M223" i="4"/>
  <c r="M211" i="4"/>
  <c r="M294" i="4"/>
  <c r="M277" i="4"/>
  <c r="M250" i="4"/>
  <c r="M247" i="4"/>
  <c r="M203" i="4"/>
  <c r="M160" i="4"/>
  <c r="M149" i="4"/>
  <c r="M138" i="4"/>
  <c r="M127" i="4"/>
  <c r="M271" i="4"/>
  <c r="M268" i="4"/>
  <c r="M171" i="4"/>
  <c r="M304" i="4"/>
  <c r="M244" i="4"/>
  <c r="M233" i="4"/>
  <c r="M231" i="4"/>
  <c r="M219" i="4"/>
  <c r="M346" i="4"/>
  <c r="M332" i="4"/>
  <c r="M318" i="4"/>
  <c r="M256" i="4"/>
  <c r="M181" i="4"/>
  <c r="M166" i="4"/>
  <c r="M155" i="4"/>
  <c r="M144" i="4"/>
  <c r="M133" i="4"/>
  <c r="M356" i="4"/>
  <c r="M286" i="4"/>
  <c r="M221" i="4"/>
  <c r="M190" i="4"/>
  <c r="M322" i="4"/>
  <c r="M283" i="4"/>
  <c r="M252" i="4"/>
  <c r="M226" i="4"/>
  <c r="M214" i="4"/>
  <c r="M188" i="4"/>
  <c r="M169" i="4"/>
  <c r="M158" i="4"/>
  <c r="M147" i="4"/>
  <c r="M136" i="4"/>
  <c r="M125" i="4"/>
  <c r="M114" i="4"/>
  <c r="M261" i="4"/>
  <c r="M235" i="4"/>
  <c r="M216" i="4"/>
  <c r="M246" i="4"/>
  <c r="M209" i="4"/>
  <c r="M198" i="4"/>
  <c r="M186" i="4"/>
  <c r="M179" i="4"/>
  <c r="M161" i="4"/>
  <c r="M150" i="4"/>
  <c r="M139" i="4"/>
  <c r="M128" i="4"/>
  <c r="M117" i="4"/>
  <c r="M296" i="4"/>
  <c r="M279" i="4"/>
  <c r="M243" i="4"/>
  <c r="M200" i="4"/>
  <c r="M204" i="4"/>
  <c r="M324" i="4"/>
  <c r="M232" i="4"/>
  <c r="M225" i="4"/>
  <c r="M213" i="4"/>
  <c r="M206" i="4"/>
  <c r="M288" i="4"/>
  <c r="M285" i="4"/>
  <c r="M275" i="4"/>
  <c r="M263" i="4"/>
  <c r="M260" i="4"/>
  <c r="M195" i="4"/>
  <c r="M354" i="4"/>
  <c r="M344" i="4"/>
  <c r="M312" i="4"/>
  <c r="M187" i="4"/>
  <c r="M173" i="4"/>
  <c r="M134" i="4"/>
  <c r="M201" i="4"/>
  <c r="M148" i="4"/>
  <c r="M111" i="4"/>
  <c r="M100" i="4"/>
  <c r="M89" i="4"/>
  <c r="M78" i="4"/>
  <c r="M67" i="4"/>
  <c r="M56" i="4"/>
  <c r="M45" i="4"/>
  <c r="M178" i="4"/>
  <c r="M168" i="4"/>
  <c r="M141" i="4"/>
  <c r="M338" i="4"/>
  <c r="M316" i="4"/>
  <c r="M257" i="4"/>
  <c r="M193" i="4"/>
  <c r="M143" i="4"/>
  <c r="M131" i="4"/>
  <c r="M106" i="4"/>
  <c r="M95" i="4"/>
  <c r="M84" i="4"/>
  <c r="M73" i="4"/>
  <c r="M62" i="4"/>
  <c r="M51" i="4"/>
  <c r="M175" i="4"/>
  <c r="M170" i="4"/>
  <c r="M165" i="4"/>
  <c r="M120" i="4"/>
  <c r="M118" i="4"/>
  <c r="M116" i="4"/>
  <c r="M145" i="4"/>
  <c r="M124" i="4"/>
  <c r="M180" i="4"/>
  <c r="M177" i="4"/>
  <c r="M112" i="4"/>
  <c r="M101" i="4"/>
  <c r="M90" i="4"/>
  <c r="M79" i="4"/>
  <c r="M68" i="4"/>
  <c r="M57" i="4"/>
  <c r="M46" i="4"/>
  <c r="M167" i="4"/>
  <c r="M162" i="4"/>
  <c r="M157" i="4"/>
  <c r="M140" i="4"/>
  <c r="M330" i="4"/>
  <c r="M326" i="4"/>
  <c r="M302" i="4"/>
  <c r="M192" i="4"/>
  <c r="M152" i="4"/>
  <c r="M104" i="4"/>
  <c r="M93" i="4"/>
  <c r="M82" i="4"/>
  <c r="M71" i="4"/>
  <c r="M60" i="4"/>
  <c r="M49" i="4"/>
  <c r="M278" i="4"/>
  <c r="M245" i="4"/>
  <c r="M340" i="4"/>
  <c r="M64" i="4"/>
  <c r="M239" i="4"/>
  <c r="M176" i="4"/>
  <c r="M122" i="4"/>
  <c r="M39" i="4"/>
  <c r="M28" i="4"/>
  <c r="M88" i="4"/>
  <c r="M86" i="4"/>
  <c r="M70" i="4"/>
  <c r="M191" i="4"/>
  <c r="M146" i="4"/>
  <c r="M113" i="4"/>
  <c r="M42" i="4"/>
  <c r="M31" i="4"/>
  <c r="M164" i="4"/>
  <c r="M153" i="4"/>
  <c r="M142" i="4"/>
  <c r="M132" i="4"/>
  <c r="M119" i="4"/>
  <c r="M81" i="4"/>
  <c r="M72" i="4"/>
  <c r="M55" i="4"/>
  <c r="M135" i="4"/>
  <c r="M97" i="4"/>
  <c r="M34" i="4"/>
  <c r="M23" i="4"/>
  <c r="M99" i="4"/>
  <c r="M74" i="4"/>
  <c r="M59" i="4"/>
  <c r="M53" i="4"/>
  <c r="M222" i="4"/>
  <c r="M92" i="4"/>
  <c r="M83" i="4"/>
  <c r="M61" i="4"/>
  <c r="M47" i="4"/>
  <c r="M37" i="4"/>
  <c r="M26" i="4"/>
  <c r="M156" i="4"/>
  <c r="M63" i="4"/>
  <c r="M115" i="4"/>
  <c r="M108" i="4"/>
  <c r="M85" i="4"/>
  <c r="M76" i="4"/>
  <c r="M40" i="4"/>
  <c r="M29" i="4"/>
  <c r="M199" i="4"/>
  <c r="M182" i="4"/>
  <c r="M121" i="4"/>
  <c r="M110" i="4"/>
  <c r="M94" i="4"/>
  <c r="M65" i="4"/>
  <c r="M103" i="4"/>
  <c r="M43" i="4"/>
  <c r="M32" i="4"/>
  <c r="M215" i="4"/>
  <c r="M159" i="4"/>
  <c r="M96" i="4"/>
  <c r="M87" i="4"/>
  <c r="M69" i="4"/>
  <c r="M242" i="4"/>
  <c r="M163" i="4"/>
  <c r="M137" i="4"/>
  <c r="M189" i="4"/>
  <c r="M105" i="4"/>
  <c r="M80" i="4"/>
  <c r="M151" i="4"/>
  <c r="M98" i="4"/>
  <c r="M38" i="4"/>
  <c r="M27" i="4"/>
  <c r="M230" i="4"/>
  <c r="M130" i="4"/>
  <c r="M126" i="4"/>
  <c r="M123" i="4"/>
  <c r="M107" i="4"/>
  <c r="M58" i="4"/>
  <c r="M54" i="4"/>
  <c r="M52" i="4"/>
  <c r="M269" i="4"/>
  <c r="M129" i="4"/>
  <c r="M102" i="4"/>
  <c r="M77" i="4"/>
  <c r="M75" i="4"/>
  <c r="M66" i="4"/>
  <c r="M36" i="4"/>
  <c r="M25" i="4"/>
  <c r="J23" i="4"/>
  <c r="I23" i="4"/>
  <c r="G23" i="4"/>
  <c r="R23" i="4" s="1"/>
  <c r="I74" i="4"/>
  <c r="G74" i="4"/>
  <c r="R74" i="4" s="1"/>
  <c r="G120" i="4"/>
  <c r="R120" i="4" s="1"/>
  <c r="G144" i="4"/>
  <c r="R144" i="4" s="1"/>
  <c r="I310" i="4"/>
  <c r="G310" i="4"/>
  <c r="R310" i="4" s="1"/>
  <c r="I123" i="4"/>
  <c r="G123" i="4"/>
  <c r="R123" i="4" s="1"/>
  <c r="I166" i="4"/>
  <c r="I335" i="4"/>
  <c r="G54" i="4"/>
  <c r="R54" i="4" s="1"/>
  <c r="J56" i="4"/>
  <c r="I56" i="4"/>
  <c r="G166" i="4"/>
  <c r="R166" i="4" s="1"/>
  <c r="G208" i="4"/>
  <c r="R208" i="4" s="1"/>
  <c r="J208" i="4"/>
  <c r="I208" i="4"/>
  <c r="I214" i="4"/>
  <c r="J214" i="4"/>
  <c r="G214" i="4"/>
  <c r="R214" i="4" s="1"/>
  <c r="I240" i="4"/>
  <c r="G240" i="4"/>
  <c r="R240" i="4" s="1"/>
  <c r="G335" i="4"/>
  <c r="R335" i="4" s="1"/>
  <c r="I347" i="4"/>
  <c r="G347" i="4"/>
  <c r="R347" i="4" s="1"/>
  <c r="I134" i="4"/>
  <c r="G134" i="4"/>
  <c r="R134" i="4" s="1"/>
  <c r="G189" i="4"/>
  <c r="R189" i="4" s="1"/>
  <c r="I189" i="4"/>
  <c r="J235" i="4"/>
  <c r="I270" i="4"/>
  <c r="G270" i="4"/>
  <c r="R270" i="4" s="1"/>
  <c r="J67" i="4"/>
  <c r="I67" i="4"/>
  <c r="I78" i="4"/>
  <c r="I94" i="4"/>
  <c r="I155" i="4"/>
  <c r="G155" i="4"/>
  <c r="R155" i="4" s="1"/>
  <c r="I210" i="4"/>
  <c r="G210" i="4"/>
  <c r="R210" i="4" s="1"/>
  <c r="G215" i="4"/>
  <c r="R215" i="4" s="1"/>
  <c r="R48" i="4"/>
  <c r="G67" i="4"/>
  <c r="R67" i="4" s="1"/>
  <c r="G78" i="4"/>
  <c r="R78" i="4" s="1"/>
  <c r="G94" i="4"/>
  <c r="R94" i="4" s="1"/>
  <c r="G103" i="4"/>
  <c r="R103" i="4" s="1"/>
  <c r="G182" i="4"/>
  <c r="R182" i="4" s="1"/>
  <c r="I145" i="4"/>
  <c r="G156" i="4"/>
  <c r="R156" i="4" s="1"/>
  <c r="I45" i="4"/>
  <c r="J61" i="4"/>
  <c r="I61" i="4"/>
  <c r="I83" i="4"/>
  <c r="I103" i="4"/>
  <c r="G108" i="4"/>
  <c r="R108" i="4" s="1"/>
  <c r="I118" i="4"/>
  <c r="G145" i="4"/>
  <c r="R145" i="4" s="1"/>
  <c r="I182" i="4"/>
  <c r="I260" i="4"/>
  <c r="I325" i="4"/>
  <c r="G325" i="4"/>
  <c r="R325" i="4" s="1"/>
  <c r="G356" i="4"/>
  <c r="R356" i="4" s="1"/>
  <c r="I356" i="4"/>
  <c r="B37" i="5"/>
  <c r="B12" i="4"/>
  <c r="G45" i="4"/>
  <c r="R45" i="4" s="1"/>
  <c r="G61" i="4"/>
  <c r="R61" i="4" s="1"/>
  <c r="G83" i="4"/>
  <c r="R83" i="4" s="1"/>
  <c r="G118" i="4"/>
  <c r="R118" i="4" s="1"/>
  <c r="I156" i="4"/>
  <c r="I249" i="4"/>
  <c r="G260" i="4"/>
  <c r="R260" i="4" s="1"/>
  <c r="G298" i="4"/>
  <c r="R298" i="4" s="1"/>
  <c r="I298" i="4"/>
  <c r="G55" i="4"/>
  <c r="R55" i="4" s="1"/>
  <c r="G92" i="4"/>
  <c r="R92" i="4" s="1"/>
  <c r="I108" i="4"/>
  <c r="I152" i="4"/>
  <c r="G152" i="4"/>
  <c r="R152" i="4" s="1"/>
  <c r="J211" i="4"/>
  <c r="G249" i="4"/>
  <c r="R249" i="4" s="1"/>
  <c r="G266" i="4"/>
  <c r="R266" i="4" s="1"/>
  <c r="I266" i="4"/>
  <c r="J59" i="4"/>
  <c r="G59" i="4"/>
  <c r="R59" i="4" s="1"/>
  <c r="I72" i="4"/>
  <c r="I255" i="4"/>
  <c r="G255" i="4"/>
  <c r="R255" i="4" s="1"/>
  <c r="R284" i="4"/>
  <c r="I55" i="4"/>
  <c r="G97" i="4"/>
  <c r="R97" i="4" s="1"/>
  <c r="I175" i="4"/>
  <c r="G175" i="4"/>
  <c r="R175" i="4" s="1"/>
  <c r="I200" i="4"/>
  <c r="G200" i="4"/>
  <c r="R200" i="4" s="1"/>
  <c r="J206" i="4"/>
  <c r="G206" i="4"/>
  <c r="R206" i="4" s="1"/>
  <c r="G320" i="4"/>
  <c r="R320" i="4" s="1"/>
  <c r="I351" i="4"/>
  <c r="G28" i="4"/>
  <c r="R28" i="4" s="1"/>
  <c r="G39" i="4"/>
  <c r="R39" i="4" s="1"/>
  <c r="I59" i="4"/>
  <c r="G81" i="4"/>
  <c r="R81" i="4" s="1"/>
  <c r="I113" i="4"/>
  <c r="G153" i="4"/>
  <c r="R153" i="4" s="1"/>
  <c r="G191" i="4"/>
  <c r="R191" i="4" s="1"/>
  <c r="G195" i="4"/>
  <c r="R195" i="4" s="1"/>
  <c r="I211" i="4"/>
  <c r="I285" i="4"/>
  <c r="G285" i="4"/>
  <c r="R285" i="4" s="1"/>
  <c r="G351" i="4"/>
  <c r="R351" i="4" s="1"/>
  <c r="J9" i="3"/>
  <c r="I90" i="4"/>
  <c r="I97" i="4"/>
  <c r="I206" i="4"/>
  <c r="I223" i="4"/>
  <c r="J223" i="4"/>
  <c r="G223" i="4"/>
  <c r="R223" i="4" s="1"/>
  <c r="G278" i="4"/>
  <c r="R278" i="4" s="1"/>
  <c r="I278" i="4"/>
  <c r="I313" i="4"/>
  <c r="G313" i="4"/>
  <c r="R313" i="4" s="1"/>
  <c r="I320" i="4"/>
  <c r="I28" i="4"/>
  <c r="I39" i="4"/>
  <c r="G70" i="4"/>
  <c r="R70" i="4" s="1"/>
  <c r="I81" i="4"/>
  <c r="G86" i="4"/>
  <c r="R86" i="4" s="1"/>
  <c r="G128" i="4"/>
  <c r="R128" i="4" s="1"/>
  <c r="I153" i="4"/>
  <c r="I191" i="4"/>
  <c r="I286" i="4"/>
  <c r="G286" i="4"/>
  <c r="R286" i="4" s="1"/>
  <c r="I111" i="4"/>
  <c r="R125" i="4"/>
  <c r="R139" i="4"/>
  <c r="R161" i="4"/>
  <c r="G172" i="4"/>
  <c r="R172" i="4" s="1"/>
  <c r="R179" i="4"/>
  <c r="G187" i="4"/>
  <c r="R187" i="4" s="1"/>
  <c r="I187" i="4"/>
  <c r="J187" i="4"/>
  <c r="J218" i="4"/>
  <c r="I218" i="4"/>
  <c r="G218" i="4"/>
  <c r="R218" i="4" s="1"/>
  <c r="I245" i="4"/>
  <c r="I95" i="4"/>
  <c r="G95" i="4"/>
  <c r="R95" i="4" s="1"/>
  <c r="G116" i="4"/>
  <c r="R116" i="4" s="1"/>
  <c r="I122" i="4"/>
  <c r="G122" i="4"/>
  <c r="R122" i="4" s="1"/>
  <c r="I165" i="4"/>
  <c r="G165" i="4"/>
  <c r="R165" i="4" s="1"/>
  <c r="G75" i="4"/>
  <c r="R75" i="4" s="1"/>
  <c r="G136" i="4"/>
  <c r="R136" i="4" s="1"/>
  <c r="I22" i="4"/>
  <c r="I33" i="4"/>
  <c r="I44" i="4"/>
  <c r="J64" i="4"/>
  <c r="I116" i="4"/>
  <c r="I150" i="4"/>
  <c r="G150" i="4"/>
  <c r="R150" i="4" s="1"/>
  <c r="G202" i="4"/>
  <c r="R202" i="4" s="1"/>
  <c r="I263" i="4"/>
  <c r="G263" i="4"/>
  <c r="R263" i="4" s="1"/>
  <c r="G50" i="4"/>
  <c r="R50" i="4" s="1"/>
  <c r="I75" i="4"/>
  <c r="I100" i="4"/>
  <c r="I136" i="4"/>
  <c r="I158" i="4"/>
  <c r="G180" i="4"/>
  <c r="R180" i="4" s="1"/>
  <c r="J180" i="4"/>
  <c r="I180" i="4"/>
  <c r="I184" i="4"/>
  <c r="G184" i="4"/>
  <c r="R184" i="4" s="1"/>
  <c r="J192" i="4"/>
  <c r="I192" i="4"/>
  <c r="G192" i="4"/>
  <c r="R192" i="4" s="1"/>
  <c r="G246" i="4"/>
  <c r="R246" i="4" s="1"/>
  <c r="I246" i="4"/>
  <c r="I274" i="4"/>
  <c r="G274" i="4"/>
  <c r="R274" i="4" s="1"/>
  <c r="I284" i="4"/>
  <c r="I296" i="4"/>
  <c r="R302" i="4"/>
  <c r="I314" i="4"/>
  <c r="R232" i="4"/>
  <c r="J337" i="4"/>
  <c r="I337" i="4"/>
  <c r="I321" i="4"/>
  <c r="G348" i="4"/>
  <c r="R348" i="4" s="1"/>
  <c r="J237" i="4"/>
  <c r="I237" i="4"/>
  <c r="G321" i="4"/>
  <c r="R321" i="4" s="1"/>
  <c r="I196" i="4"/>
  <c r="G196" i="4"/>
  <c r="R196" i="4" s="1"/>
  <c r="G204" i="4"/>
  <c r="R204" i="4" s="1"/>
  <c r="I292" i="4"/>
  <c r="G292" i="4"/>
  <c r="R292" i="4" s="1"/>
  <c r="I304" i="4"/>
  <c r="G304" i="4"/>
  <c r="R304" i="4" s="1"/>
  <c r="I342" i="4"/>
  <c r="G342" i="4"/>
  <c r="R342" i="4" s="1"/>
  <c r="G148" i="4"/>
  <c r="R148" i="4" s="1"/>
  <c r="J168" i="4"/>
  <c r="I163" i="4"/>
  <c r="G163" i="4"/>
  <c r="R163" i="4" s="1"/>
  <c r="J217" i="4"/>
  <c r="G217" i="4"/>
  <c r="R217" i="4" s="1"/>
  <c r="I217" i="4"/>
  <c r="G332" i="4"/>
  <c r="R332" i="4" s="1"/>
  <c r="I332" i="4"/>
  <c r="I141" i="4"/>
  <c r="G141" i="4"/>
  <c r="R141" i="4" s="1"/>
  <c r="I190" i="4"/>
  <c r="J190" i="4"/>
  <c r="I238" i="4"/>
  <c r="G238" i="4"/>
  <c r="R238" i="4" s="1"/>
  <c r="I252" i="4"/>
  <c r="I293" i="4"/>
  <c r="G293" i="4"/>
  <c r="R293" i="4" s="1"/>
  <c r="I213" i="4"/>
  <c r="G213" i="4"/>
  <c r="R213" i="4" s="1"/>
  <c r="I288" i="4"/>
  <c r="I299" i="4"/>
  <c r="G299" i="4"/>
  <c r="R299" i="4" s="1"/>
  <c r="J205" i="4"/>
  <c r="I205" i="4"/>
  <c r="G205" i="4"/>
  <c r="R205" i="4" s="1"/>
  <c r="G248" i="4"/>
  <c r="R248" i="4" s="1"/>
  <c r="I262" i="4"/>
  <c r="G262" i="4"/>
  <c r="R262" i="4" s="1"/>
  <c r="G282" i="4"/>
  <c r="R282" i="4" s="1"/>
  <c r="I282" i="4"/>
  <c r="G288" i="4"/>
  <c r="R288" i="4" s="1"/>
  <c r="G344" i="4"/>
  <c r="R344" i="4" s="1"/>
  <c r="I344" i="4"/>
  <c r="J213" i="4"/>
  <c r="I258" i="4"/>
  <c r="G258" i="4"/>
  <c r="R258" i="4" s="1"/>
  <c r="G334" i="4"/>
  <c r="R334" i="4" s="1"/>
  <c r="I350" i="4"/>
  <c r="G350" i="4"/>
  <c r="R350" i="4" s="1"/>
  <c r="I119" i="4"/>
  <c r="G119" i="4"/>
  <c r="R119" i="4" s="1"/>
  <c r="I151" i="4"/>
  <c r="G234" i="4"/>
  <c r="R234" i="4" s="1"/>
  <c r="I248" i="4"/>
  <c r="G300" i="4"/>
  <c r="R300" i="4" s="1"/>
  <c r="I300" i="4"/>
  <c r="I306" i="4"/>
  <c r="J193" i="4"/>
  <c r="G193" i="4"/>
  <c r="R193" i="4" s="1"/>
  <c r="I251" i="4"/>
  <c r="R327" i="4"/>
  <c r="I279" i="4"/>
  <c r="G279" i="4"/>
  <c r="R279" i="4" s="1"/>
  <c r="I345" i="4"/>
  <c r="G345" i="4"/>
  <c r="R345" i="4" s="1"/>
  <c r="G209" i="4"/>
  <c r="R209" i="4" s="1"/>
  <c r="I209" i="4"/>
  <c r="G235" i="4"/>
  <c r="R235" i="4" s="1"/>
  <c r="G243" i="4"/>
  <c r="R243" i="4" s="1"/>
  <c r="I273" i="4"/>
  <c r="G273" i="4"/>
  <c r="R273" i="4" s="1"/>
  <c r="I303" i="4"/>
  <c r="G303" i="4"/>
  <c r="R303" i="4" s="1"/>
  <c r="I317" i="4"/>
  <c r="G317" i="4"/>
  <c r="R317" i="4" s="1"/>
  <c r="I331" i="4"/>
  <c r="G331" i="4"/>
  <c r="R331" i="4" s="1"/>
  <c r="J188" i="4"/>
  <c r="J226" i="4"/>
  <c r="I226" i="4"/>
  <c r="G226" i="4"/>
  <c r="R226" i="4" s="1"/>
  <c r="I307" i="4"/>
  <c r="G307" i="4"/>
  <c r="R307" i="4" s="1"/>
  <c r="I276" i="4"/>
  <c r="J207" i="4"/>
  <c r="I207" i="4"/>
  <c r="G207" i="4"/>
  <c r="R207" i="4" s="1"/>
  <c r="I244" i="4"/>
  <c r="G244" i="4"/>
  <c r="R244" i="4" s="1"/>
  <c r="I256" i="4"/>
  <c r="G256" i="4"/>
  <c r="R256" i="4" s="1"/>
  <c r="G276" i="4"/>
  <c r="R276" i="4" s="1"/>
  <c r="G290" i="4"/>
  <c r="R290" i="4" s="1"/>
  <c r="I336" i="4"/>
  <c r="G127" i="4"/>
  <c r="R127" i="4" s="1"/>
  <c r="G138" i="4"/>
  <c r="R138" i="4" s="1"/>
  <c r="G149" i="4"/>
  <c r="R149" i="4" s="1"/>
  <c r="G160" i="4"/>
  <c r="R160" i="4" s="1"/>
  <c r="G171" i="4"/>
  <c r="R171" i="4" s="1"/>
  <c r="I176" i="4"/>
  <c r="G183" i="4"/>
  <c r="R183" i="4" s="1"/>
  <c r="G219" i="4"/>
  <c r="R219" i="4" s="1"/>
  <c r="G280" i="4"/>
  <c r="R280" i="4" s="1"/>
  <c r="I308" i="4"/>
  <c r="G308" i="4"/>
  <c r="R308" i="4" s="1"/>
  <c r="G329" i="4"/>
  <c r="R329" i="4" s="1"/>
  <c r="G336" i="4"/>
  <c r="R336" i="4" s="1"/>
  <c r="I339" i="4"/>
  <c r="G339" i="4"/>
  <c r="R339" i="4" s="1"/>
  <c r="G231" i="4"/>
  <c r="R231" i="4" s="1"/>
  <c r="J231" i="4"/>
  <c r="I231" i="4"/>
  <c r="I290" i="4"/>
  <c r="I127" i="4"/>
  <c r="I138" i="4"/>
  <c r="G157" i="4"/>
  <c r="R157" i="4" s="1"/>
  <c r="I160" i="4"/>
  <c r="G168" i="4"/>
  <c r="R168" i="4" s="1"/>
  <c r="I171" i="4"/>
  <c r="G178" i="4"/>
  <c r="R178" i="4" s="1"/>
  <c r="I183" i="4"/>
  <c r="G201" i="4"/>
  <c r="R201" i="4" s="1"/>
  <c r="J219" i="4"/>
  <c r="J224" i="4"/>
  <c r="I280" i="4"/>
  <c r="I287" i="4"/>
  <c r="G287" i="4"/>
  <c r="R287" i="4" s="1"/>
  <c r="I315" i="4"/>
  <c r="G315" i="4"/>
  <c r="R315" i="4" s="1"/>
  <c r="I329" i="4"/>
  <c r="J236" i="4"/>
  <c r="G236" i="4"/>
  <c r="R236" i="4" s="1"/>
  <c r="G239" i="4"/>
  <c r="R239" i="4" s="1"/>
  <c r="I239" i="4"/>
  <c r="I343" i="4"/>
  <c r="G343" i="4"/>
  <c r="R343" i="4" s="1"/>
  <c r="J178" i="4"/>
  <c r="I224" i="4"/>
  <c r="J229" i="4"/>
  <c r="I236" i="4"/>
  <c r="R197" i="4"/>
  <c r="J227" i="4"/>
  <c r="I257" i="4"/>
  <c r="G257" i="4"/>
  <c r="R257" i="4" s="1"/>
  <c r="I281" i="4"/>
  <c r="G281" i="4"/>
  <c r="R281" i="4" s="1"/>
  <c r="I319" i="4"/>
  <c r="G319" i="4"/>
  <c r="R319" i="4" s="1"/>
  <c r="I323" i="4"/>
  <c r="I354" i="4"/>
  <c r="G333" i="4"/>
  <c r="R333" i="4" s="1"/>
  <c r="I333" i="4"/>
  <c r="G355" i="4"/>
  <c r="R355" i="4" s="1"/>
  <c r="I355" i="4"/>
  <c r="G311" i="4"/>
  <c r="R311" i="4" s="1"/>
  <c r="I311" i="4"/>
  <c r="G291" i="4"/>
  <c r="R291" i="4" s="1"/>
  <c r="I297" i="4"/>
  <c r="G297" i="4"/>
  <c r="R297" i="4" s="1"/>
  <c r="G301" i="4"/>
  <c r="R301" i="4" s="1"/>
  <c r="G309" i="4"/>
  <c r="R309" i="4" s="1"/>
  <c r="G353" i="4"/>
  <c r="R353" i="4" s="1"/>
  <c r="J212" i="4"/>
  <c r="I253" i="4"/>
  <c r="G253" i="4"/>
  <c r="R253" i="4" s="1"/>
  <c r="G289" i="4"/>
  <c r="R289" i="4" s="1"/>
  <c r="I289" i="4"/>
  <c r="I291" i="4"/>
  <c r="I301" i="4"/>
  <c r="I309" i="4"/>
  <c r="I353" i="4"/>
  <c r="I242" i="4"/>
  <c r="G242" i="4"/>
  <c r="R242" i="4" s="1"/>
  <c r="G271" i="4"/>
  <c r="R271" i="4" s="1"/>
  <c r="G277" i="4"/>
  <c r="R277" i="4" s="1"/>
  <c r="G295" i="4"/>
  <c r="R295" i="4" s="1"/>
  <c r="G267" i="4"/>
  <c r="R267" i="4" s="1"/>
  <c r="I267" i="4"/>
  <c r="I271" i="4"/>
  <c r="I277" i="4"/>
  <c r="I295" i="4"/>
  <c r="G324" i="4"/>
  <c r="R324" i="4" s="1"/>
  <c r="I259" i="4"/>
  <c r="G322" i="4"/>
  <c r="R322" i="4" s="1"/>
  <c r="I322" i="4"/>
  <c r="B399" i="4"/>
  <c r="B401" i="4" s="1"/>
  <c r="B403" i="4" s="1"/>
  <c r="J63" i="4" l="1"/>
  <c r="J343" i="4"/>
  <c r="J336" i="4"/>
  <c r="J355" i="4"/>
  <c r="J171" i="4"/>
  <c r="J353" i="4"/>
  <c r="J335" i="4"/>
  <c r="J174" i="4"/>
  <c r="J175" i="4"/>
  <c r="J200" i="4"/>
  <c r="J42" i="4"/>
  <c r="J339" i="4"/>
  <c r="J209" i="4"/>
  <c r="J36" i="4"/>
  <c r="J204" i="4"/>
  <c r="J39" i="4"/>
  <c r="J45" i="4"/>
  <c r="J40" i="4"/>
  <c r="J194" i="4"/>
  <c r="J345" i="4"/>
  <c r="J230" i="4"/>
  <c r="J34" i="4"/>
  <c r="J33" i="4"/>
  <c r="J138" i="4"/>
  <c r="J340" i="4"/>
  <c r="J348" i="4"/>
  <c r="J356" i="4"/>
  <c r="J170" i="4"/>
  <c r="J251" i="4"/>
  <c r="J344" i="4"/>
  <c r="J258" i="4"/>
  <c r="J239" i="4"/>
  <c r="J79" i="4"/>
  <c r="J124" i="4"/>
  <c r="J189" i="4"/>
  <c r="J166" i="4"/>
  <c r="J35" i="4"/>
  <c r="J347" i="4"/>
  <c r="J183" i="4"/>
  <c r="J342" i="4"/>
  <c r="J351" i="4"/>
  <c r="J181" i="4"/>
  <c r="J350" i="4"/>
  <c r="J248" i="4"/>
  <c r="J334" i="4"/>
  <c r="J172" i="4"/>
  <c r="J163" i="4"/>
  <c r="J320" i="4"/>
  <c r="J310" i="4"/>
  <c r="J128" i="4"/>
  <c r="J303" i="4"/>
  <c r="J155" i="4"/>
  <c r="J169" i="4"/>
  <c r="J43" i="4"/>
  <c r="J26" i="4"/>
  <c r="J287" i="4"/>
  <c r="J150" i="4"/>
  <c r="J22" i="4"/>
  <c r="J244" i="4"/>
  <c r="J95" i="4"/>
  <c r="J113" i="4"/>
  <c r="J71" i="4"/>
  <c r="J271" i="4"/>
  <c r="J125" i="4"/>
  <c r="J266" i="4"/>
  <c r="J90" i="4"/>
  <c r="J300" i="4"/>
  <c r="J252" i="4"/>
  <c r="J74" i="4"/>
  <c r="J282" i="4"/>
  <c r="J139" i="4"/>
  <c r="J84" i="4"/>
  <c r="J301" i="4"/>
  <c r="J70" i="4"/>
  <c r="J156" i="4"/>
  <c r="J142" i="4"/>
  <c r="J277" i="4"/>
  <c r="J158" i="4"/>
  <c r="J285" i="4"/>
  <c r="J152" i="4"/>
  <c r="J147" i="4"/>
  <c r="J238" i="4"/>
  <c r="J304" i="4"/>
  <c r="J154" i="4"/>
  <c r="J135" i="4"/>
  <c r="J307" i="4"/>
  <c r="J157" i="4"/>
  <c r="J270" i="4"/>
  <c r="J114" i="4"/>
  <c r="J96" i="4"/>
  <c r="J291" i="4"/>
  <c r="J165" i="4"/>
  <c r="J325" i="4"/>
  <c r="J144" i="4"/>
  <c r="J105" i="4"/>
  <c r="J292" i="4"/>
  <c r="J100" i="4"/>
  <c r="J92" i="4"/>
  <c r="J82" i="4"/>
  <c r="J119" i="4"/>
  <c r="J313" i="4"/>
  <c r="J97" i="4"/>
  <c r="J120" i="4"/>
  <c r="J101" i="4"/>
  <c r="J241" i="4"/>
  <c r="J281" i="4"/>
  <c r="J141" i="4"/>
  <c r="J149" i="4"/>
  <c r="J73" i="4"/>
  <c r="J279" i="4"/>
  <c r="J127" i="4"/>
  <c r="J278" i="4"/>
  <c r="J298" i="4"/>
  <c r="J133" i="4"/>
  <c r="J259" i="4"/>
  <c r="J243" i="4"/>
  <c r="J332" i="4"/>
  <c r="J28" i="4"/>
  <c r="J44" i="4"/>
  <c r="J257" i="4"/>
  <c r="J315" i="4"/>
  <c r="J331" i="4"/>
  <c r="J328" i="4"/>
  <c r="J196" i="4"/>
  <c r="J274" i="4"/>
  <c r="J263" i="4"/>
  <c r="J116" i="4"/>
  <c r="J286" i="4"/>
  <c r="J81" i="4"/>
  <c r="J118" i="4"/>
  <c r="J121" i="4"/>
  <c r="J83" i="4"/>
  <c r="J240" i="4"/>
  <c r="J333" i="4"/>
  <c r="J273" i="4"/>
  <c r="J86" i="4"/>
  <c r="J78" i="4"/>
  <c r="J289" i="4"/>
  <c r="J314" i="4"/>
  <c r="J110" i="4"/>
  <c r="J103" i="4"/>
  <c r="J111" i="4"/>
  <c r="J308" i="4"/>
  <c r="J299" i="4"/>
  <c r="J246" i="4"/>
  <c r="J255" i="4"/>
  <c r="J249" i="4"/>
  <c r="J115" i="4"/>
  <c r="J85" i="4"/>
  <c r="J164" i="4"/>
  <c r="J37" i="4"/>
  <c r="J104" i="4"/>
  <c r="J41" i="4"/>
  <c r="J159" i="4"/>
  <c r="J112" i="4"/>
  <c r="J297" i="4"/>
  <c r="J306" i="4"/>
  <c r="J94" i="4"/>
  <c r="J295" i="4"/>
  <c r="J293" i="4"/>
  <c r="J321" i="4"/>
  <c r="J322" i="4"/>
  <c r="J276" i="4"/>
  <c r="J323" i="4"/>
  <c r="J136" i="4"/>
  <c r="J76" i="4"/>
  <c r="J319" i="4"/>
  <c r="J98" i="4"/>
  <c r="J75" i="4"/>
  <c r="J145" i="4"/>
  <c r="J262" i="4"/>
  <c r="J160" i="4"/>
  <c r="J146" i="4"/>
  <c r="J134" i="4"/>
  <c r="J131" i="4"/>
  <c r="J296" i="4"/>
  <c r="J153" i="4"/>
  <c r="J260" i="4"/>
  <c r="J267" i="4"/>
  <c r="J329" i="4"/>
  <c r="J284" i="4"/>
  <c r="J122" i="4"/>
  <c r="J106" i="4"/>
  <c r="J311" i="4"/>
  <c r="J290" i="4"/>
  <c r="J256" i="4"/>
  <c r="J309" i="4"/>
  <c r="J288" i="4"/>
  <c r="J280" i="4"/>
  <c r="J264" i="4"/>
  <c r="J109" i="4"/>
  <c r="J245" i="4"/>
  <c r="J72" i="4"/>
  <c r="C13" i="5"/>
  <c r="B383" i="4"/>
  <c r="B384" i="4" s="1"/>
  <c r="E13" i="5" s="1"/>
  <c r="B29" i="3"/>
  <c r="O356" i="4"/>
  <c r="O345" i="4"/>
  <c r="O334" i="4"/>
  <c r="O323" i="4"/>
  <c r="O312" i="4"/>
  <c r="O301" i="4"/>
  <c r="O290" i="4"/>
  <c r="O279" i="4"/>
  <c r="O268" i="4"/>
  <c r="O350" i="4"/>
  <c r="O339" i="4"/>
  <c r="O328" i="4"/>
  <c r="O317" i="4"/>
  <c r="O306" i="4"/>
  <c r="O295" i="4"/>
  <c r="O284" i="4"/>
  <c r="O273" i="4"/>
  <c r="O262" i="4"/>
  <c r="O251" i="4"/>
  <c r="O240" i="4"/>
  <c r="O353" i="4"/>
  <c r="O342" i="4"/>
  <c r="O331" i="4"/>
  <c r="O320" i="4"/>
  <c r="O309" i="4"/>
  <c r="O298" i="4"/>
  <c r="O287" i="4"/>
  <c r="O276" i="4"/>
  <c r="O265" i="4"/>
  <c r="O254" i="4"/>
  <c r="O243" i="4"/>
  <c r="O232" i="4"/>
  <c r="O221" i="4"/>
  <c r="O210" i="4"/>
  <c r="O299" i="4"/>
  <c r="O297" i="4"/>
  <c r="O289" i="4"/>
  <c r="O249" i="4"/>
  <c r="O224" i="4"/>
  <c r="O199" i="4"/>
  <c r="O188" i="4"/>
  <c r="O177" i="4"/>
  <c r="O307" i="4"/>
  <c r="O305" i="4"/>
  <c r="O236" i="4"/>
  <c r="O229" i="4"/>
  <c r="O217" i="4"/>
  <c r="O212" i="4"/>
  <c r="O343" i="4"/>
  <c r="O341" i="4"/>
  <c r="O315" i="4"/>
  <c r="O351" i="4"/>
  <c r="O349" i="4"/>
  <c r="O337" i="4"/>
  <c r="O313" i="4"/>
  <c r="O303" i="4"/>
  <c r="O247" i="4"/>
  <c r="O222" i="4"/>
  <c r="O335" i="4"/>
  <c r="O321" i="4"/>
  <c r="O319" i="4"/>
  <c r="O311" i="4"/>
  <c r="O234" i="4"/>
  <c r="O227" i="4"/>
  <c r="O205" i="4"/>
  <c r="O194" i="4"/>
  <c r="O357" i="4"/>
  <c r="O347" i="4"/>
  <c r="O333" i="4"/>
  <c r="O329" i="4"/>
  <c r="O327" i="4"/>
  <c r="O355" i="4"/>
  <c r="O260" i="4"/>
  <c r="O245" i="4"/>
  <c r="O215" i="4"/>
  <c r="O197" i="4"/>
  <c r="O186" i="4"/>
  <c r="O175" i="4"/>
  <c r="O325" i="4"/>
  <c r="O282" i="4"/>
  <c r="O266" i="4"/>
  <c r="O264" i="4"/>
  <c r="O280" i="4"/>
  <c r="O288" i="4"/>
  <c r="O286" i="4"/>
  <c r="O278" i="4"/>
  <c r="O252" i="4"/>
  <c r="O239" i="4"/>
  <c r="O230" i="4"/>
  <c r="O225" i="4"/>
  <c r="O296" i="4"/>
  <c r="O294" i="4"/>
  <c r="O270" i="4"/>
  <c r="O256" i="4"/>
  <c r="O344" i="4"/>
  <c r="O340" i="4"/>
  <c r="O338" i="4"/>
  <c r="O326" i="4"/>
  <c r="O246" i="4"/>
  <c r="O233" i="4"/>
  <c r="O308" i="4"/>
  <c r="O192" i="4"/>
  <c r="O183" i="4"/>
  <c r="O176" i="4"/>
  <c r="O163" i="4"/>
  <c r="O152" i="4"/>
  <c r="O141" i="4"/>
  <c r="O130" i="4"/>
  <c r="O304" i="4"/>
  <c r="O244" i="4"/>
  <c r="O231" i="4"/>
  <c r="O219" i="4"/>
  <c r="O346" i="4"/>
  <c r="O336" i="4"/>
  <c r="O332" i="4"/>
  <c r="O318" i="4"/>
  <c r="O190" i="4"/>
  <c r="O322" i="4"/>
  <c r="O283" i="4"/>
  <c r="O226" i="4"/>
  <c r="O214" i="4"/>
  <c r="O207" i="4"/>
  <c r="O174" i="4"/>
  <c r="O169" i="4"/>
  <c r="O158" i="4"/>
  <c r="O147" i="4"/>
  <c r="O136" i="4"/>
  <c r="O125" i="4"/>
  <c r="O261" i="4"/>
  <c r="O196" i="4"/>
  <c r="O238" i="4"/>
  <c r="O235" i="4"/>
  <c r="O228" i="4"/>
  <c r="O216" i="4"/>
  <c r="O209" i="4"/>
  <c r="O179" i="4"/>
  <c r="O161" i="4"/>
  <c r="O150" i="4"/>
  <c r="O139" i="4"/>
  <c r="O128" i="4"/>
  <c r="O117" i="4"/>
  <c r="O300" i="4"/>
  <c r="O293" i="4"/>
  <c r="O198" i="4"/>
  <c r="O314" i="4"/>
  <c r="O310" i="4"/>
  <c r="O200" i="4"/>
  <c r="O184" i="4"/>
  <c r="O172" i="4"/>
  <c r="O164" i="4"/>
  <c r="O153" i="4"/>
  <c r="O142" i="4"/>
  <c r="O131" i="4"/>
  <c r="O120" i="4"/>
  <c r="O352" i="4"/>
  <c r="O258" i="4"/>
  <c r="O223" i="4"/>
  <c r="O211" i="4"/>
  <c r="O202" i="4"/>
  <c r="O292" i="4"/>
  <c r="O213" i="4"/>
  <c r="O193" i="4"/>
  <c r="O191" i="4"/>
  <c r="O285" i="4"/>
  <c r="O275" i="4"/>
  <c r="O272" i="4"/>
  <c r="O263" i="4"/>
  <c r="O237" i="4"/>
  <c r="O220" i="4"/>
  <c r="O269" i="4"/>
  <c r="O248" i="4"/>
  <c r="O189" i="4"/>
  <c r="O180" i="4"/>
  <c r="O257" i="4"/>
  <c r="O242" i="4"/>
  <c r="O267" i="4"/>
  <c r="O178" i="4"/>
  <c r="O168" i="4"/>
  <c r="O354" i="4"/>
  <c r="O181" i="4"/>
  <c r="O129" i="4"/>
  <c r="O103" i="4"/>
  <c r="O92" i="4"/>
  <c r="O81" i="4"/>
  <c r="O70" i="4"/>
  <c r="O59" i="4"/>
  <c r="O48" i="4"/>
  <c r="O316" i="4"/>
  <c r="O271" i="4"/>
  <c r="O208" i="4"/>
  <c r="O204" i="4"/>
  <c r="O170" i="4"/>
  <c r="O165" i="4"/>
  <c r="O160" i="4"/>
  <c r="O118" i="4"/>
  <c r="O116" i="4"/>
  <c r="O114" i="4"/>
  <c r="O281" i="4"/>
  <c r="O155" i="4"/>
  <c r="O145" i="4"/>
  <c r="O138" i="4"/>
  <c r="O124" i="4"/>
  <c r="O109" i="4"/>
  <c r="O98" i="4"/>
  <c r="O87" i="4"/>
  <c r="O76" i="4"/>
  <c r="O65" i="4"/>
  <c r="O54" i="4"/>
  <c r="O348" i="4"/>
  <c r="O126" i="4"/>
  <c r="O122" i="4"/>
  <c r="O195" i="4"/>
  <c r="O162" i="4"/>
  <c r="O104" i="4"/>
  <c r="O93" i="4"/>
  <c r="O82" i="4"/>
  <c r="O71" i="4"/>
  <c r="O60" i="4"/>
  <c r="O49" i="4"/>
  <c r="O330" i="4"/>
  <c r="O302" i="4"/>
  <c r="O291" i="4"/>
  <c r="O250" i="4"/>
  <c r="O203" i="4"/>
  <c r="O133" i="4"/>
  <c r="O241" i="4"/>
  <c r="O135" i="4"/>
  <c r="O107" i="4"/>
  <c r="O96" i="4"/>
  <c r="O85" i="4"/>
  <c r="O74" i="4"/>
  <c r="O63" i="4"/>
  <c r="O52" i="4"/>
  <c r="O259" i="4"/>
  <c r="O274" i="4"/>
  <c r="O187" i="4"/>
  <c r="O111" i="4"/>
  <c r="O88" i="4"/>
  <c r="O86" i="4"/>
  <c r="O218" i="4"/>
  <c r="O157" i="4"/>
  <c r="O146" i="4"/>
  <c r="O113" i="4"/>
  <c r="O42" i="4"/>
  <c r="O31" i="4"/>
  <c r="O149" i="4"/>
  <c r="O132" i="4"/>
  <c r="O90" i="4"/>
  <c r="O72" i="4"/>
  <c r="O57" i="4"/>
  <c r="O55" i="4"/>
  <c r="O119" i="4"/>
  <c r="O106" i="4"/>
  <c r="O97" i="4"/>
  <c r="O34" i="4"/>
  <c r="O23" i="4"/>
  <c r="O206" i="4"/>
  <c r="O201" i="4"/>
  <c r="O99" i="4"/>
  <c r="O53" i="4"/>
  <c r="O83" i="4"/>
  <c r="O61" i="4"/>
  <c r="O51" i="4"/>
  <c r="O47" i="4"/>
  <c r="O37" i="4"/>
  <c r="O26" i="4"/>
  <c r="O156" i="4"/>
  <c r="O101" i="4"/>
  <c r="O45" i="4"/>
  <c r="O255" i="4"/>
  <c r="O115" i="4"/>
  <c r="O108" i="4"/>
  <c r="O40" i="4"/>
  <c r="O29" i="4"/>
  <c r="O277" i="4"/>
  <c r="O182" i="4"/>
  <c r="O121" i="4"/>
  <c r="O110" i="4"/>
  <c r="O94" i="4"/>
  <c r="O171" i="4"/>
  <c r="O43" i="4"/>
  <c r="O32" i="4"/>
  <c r="O167" i="4"/>
  <c r="O159" i="4"/>
  <c r="O112" i="4"/>
  <c r="O69" i="4"/>
  <c r="O67" i="4"/>
  <c r="B13" i="4"/>
  <c r="O148" i="4"/>
  <c r="O137" i="4"/>
  <c r="O127" i="4"/>
  <c r="O78" i="4"/>
  <c r="O35" i="4"/>
  <c r="O24" i="4"/>
  <c r="O185" i="4"/>
  <c r="O134" i="4"/>
  <c r="O105" i="4"/>
  <c r="O80" i="4"/>
  <c r="O324" i="4"/>
  <c r="O151" i="4"/>
  <c r="O123" i="4"/>
  <c r="O89" i="4"/>
  <c r="O58" i="4"/>
  <c r="O56" i="4"/>
  <c r="O253" i="4"/>
  <c r="O91" i="4"/>
  <c r="O73" i="4"/>
  <c r="O50" i="4"/>
  <c r="O41" i="4"/>
  <c r="O30" i="4"/>
  <c r="O173" i="4"/>
  <c r="O144" i="4"/>
  <c r="O140" i="4"/>
  <c r="O46" i="4"/>
  <c r="O68" i="4"/>
  <c r="O64" i="4"/>
  <c r="O143" i="4"/>
  <c r="O95" i="4"/>
  <c r="O79" i="4"/>
  <c r="O39" i="4"/>
  <c r="O28" i="4"/>
  <c r="O84" i="4"/>
  <c r="O27" i="4"/>
  <c r="O22" i="4"/>
  <c r="O62" i="4"/>
  <c r="O75" i="4"/>
  <c r="O38" i="4"/>
  <c r="O33" i="4"/>
  <c r="O25" i="4"/>
  <c r="O154" i="4"/>
  <c r="O77" i="4"/>
  <c r="O36" i="4"/>
  <c r="O66" i="4"/>
  <c r="O102" i="4"/>
  <c r="O44" i="4"/>
  <c r="O166" i="4"/>
  <c r="O100" i="4"/>
  <c r="J352" i="4"/>
  <c r="J341" i="4"/>
  <c r="J349" i="4"/>
  <c r="J357" i="4"/>
  <c r="J176" i="4"/>
  <c r="J346" i="4"/>
  <c r="J354" i="4"/>
  <c r="J338" i="4"/>
  <c r="J186" i="4"/>
  <c r="J179" i="4"/>
  <c r="J184" i="4"/>
  <c r="J173" i="4"/>
  <c r="AN39" i="2"/>
  <c r="AM32" i="2"/>
  <c r="AL25" i="2"/>
  <c r="AM39" i="2"/>
  <c r="AL32" i="2"/>
  <c r="AN24" i="2"/>
  <c r="AL39" i="2"/>
  <c r="AN31" i="2"/>
  <c r="AM24" i="2"/>
  <c r="AN38" i="2"/>
  <c r="AM31" i="2"/>
  <c r="AL24" i="2"/>
  <c r="AM38" i="2"/>
  <c r="AL31" i="2"/>
  <c r="AN23" i="2"/>
  <c r="AL38" i="2"/>
  <c r="AN30" i="2"/>
  <c r="AM23" i="2"/>
  <c r="AN37" i="2"/>
  <c r="AM30" i="2"/>
  <c r="AL23" i="2"/>
  <c r="AM37" i="2"/>
  <c r="AL30" i="2"/>
  <c r="AN22" i="2"/>
  <c r="AL37" i="2"/>
  <c r="AN29" i="2"/>
  <c r="AM22" i="2"/>
  <c r="AN36" i="2"/>
  <c r="AM29" i="2"/>
  <c r="AL22" i="2"/>
  <c r="AM36" i="2"/>
  <c r="AL29" i="2"/>
  <c r="AN21" i="2"/>
  <c r="AL36" i="2"/>
  <c r="AN28" i="2"/>
  <c r="AM21" i="2"/>
  <c r="AN35" i="2"/>
  <c r="AM28" i="2"/>
  <c r="AL21" i="2"/>
  <c r="AM42" i="2"/>
  <c r="AL35" i="2"/>
  <c r="AN27" i="2"/>
  <c r="AM20" i="2"/>
  <c r="AL42" i="2"/>
  <c r="AN34" i="2"/>
  <c r="AM27" i="2"/>
  <c r="AL20" i="2"/>
  <c r="AN41" i="2"/>
  <c r="AM34" i="2"/>
  <c r="AL27" i="2"/>
  <c r="AN19" i="2"/>
  <c r="AM40" i="2"/>
  <c r="AL33" i="2"/>
  <c r="AN25" i="2"/>
  <c r="AL40" i="2"/>
  <c r="AN32" i="2"/>
  <c r="AM25" i="2"/>
  <c r="AM19" i="2"/>
  <c r="AN42" i="2"/>
  <c r="AM41" i="2"/>
  <c r="AL41" i="2"/>
  <c r="AN40" i="2"/>
  <c r="AM35" i="2"/>
  <c r="AL34" i="2"/>
  <c r="AN33" i="2"/>
  <c r="AM33" i="2"/>
  <c r="AL28" i="2"/>
  <c r="AN26" i="2"/>
  <c r="AM26" i="2"/>
  <c r="AN20" i="2"/>
  <c r="AL19" i="2"/>
  <c r="AL26" i="2"/>
  <c r="B404" i="4"/>
  <c r="B408" i="4" s="1"/>
  <c r="B409" i="4" s="1"/>
  <c r="E15" i="5" s="1"/>
  <c r="B15" i="5" s="1"/>
  <c r="B406" i="4"/>
  <c r="B407" i="4" s="1"/>
  <c r="J199" i="4"/>
  <c r="J197" i="4"/>
  <c r="J201" i="4"/>
  <c r="J210" i="4"/>
  <c r="I61" i="2"/>
  <c r="B13" i="2"/>
  <c r="C13" i="2" s="1"/>
  <c r="J202" i="4"/>
  <c r="J38" i="4"/>
  <c r="J27" i="4"/>
  <c r="B78" i="1"/>
  <c r="B65" i="1"/>
  <c r="B66" i="1" s="1"/>
  <c r="J233" i="4"/>
  <c r="J221" i="4"/>
  <c r="J216" i="4"/>
  <c r="J232" i="4"/>
  <c r="J228" i="4"/>
  <c r="J66" i="4"/>
  <c r="J222" i="4"/>
  <c r="J215" i="4"/>
  <c r="J50" i="4"/>
  <c r="J48" i="4"/>
  <c r="J46" i="4"/>
  <c r="J234" i="4"/>
  <c r="J58" i="4"/>
  <c r="J54" i="4"/>
  <c r="J30" i="4"/>
  <c r="J261" i="4"/>
  <c r="J242" i="4"/>
  <c r="J253" i="4"/>
  <c r="J247" i="4"/>
  <c r="J77" i="4"/>
  <c r="J250" i="4"/>
  <c r="J88" i="4"/>
  <c r="J91" i="4"/>
  <c r="J93" i="4"/>
  <c r="J80" i="4"/>
  <c r="J275" i="4"/>
  <c r="J283" i="4"/>
  <c r="J269" i="4"/>
  <c r="J265" i="4"/>
  <c r="J268" i="4"/>
  <c r="J102" i="4"/>
  <c r="J272" i="4"/>
  <c r="J117" i="4"/>
  <c r="C16" i="5"/>
  <c r="B391" i="4"/>
  <c r="E16" i="5" s="1"/>
  <c r="J305" i="4"/>
  <c r="J294" i="4"/>
  <c r="J302" i="4"/>
  <c r="J132" i="4"/>
  <c r="J129" i="4"/>
  <c r="J137" i="4"/>
  <c r="J123" i="4"/>
  <c r="J140" i="4"/>
  <c r="J327" i="4"/>
  <c r="J326" i="4"/>
  <c r="J316" i="4"/>
  <c r="J143" i="4"/>
  <c r="J161" i="4"/>
  <c r="J312" i="4"/>
  <c r="J148" i="4"/>
  <c r="J324" i="4"/>
  <c r="J162" i="4"/>
  <c r="J330" i="4"/>
  <c r="J151" i="4"/>
  <c r="J25" i="4"/>
  <c r="J130" i="4"/>
  <c r="J32" i="4"/>
  <c r="J182" i="4"/>
  <c r="J89" i="4"/>
  <c r="J99" i="4"/>
  <c r="J318" i="4"/>
  <c r="J254" i="4"/>
  <c r="J225" i="4"/>
  <c r="J107" i="4"/>
  <c r="B405" i="4" l="1"/>
  <c r="K357" i="4"/>
  <c r="L357" i="4" s="1"/>
  <c r="N357" i="4" s="1"/>
  <c r="P357" i="4" s="1"/>
  <c r="K189" i="4"/>
  <c r="L189" i="4" s="1"/>
  <c r="N189" i="4" s="1"/>
  <c r="P189" i="4" s="1"/>
  <c r="K350" i="4"/>
  <c r="L350" i="4" s="1"/>
  <c r="N350" i="4" s="1"/>
  <c r="P350" i="4" s="1"/>
  <c r="K182" i="4"/>
  <c r="L182" i="4" s="1"/>
  <c r="N182" i="4" s="1"/>
  <c r="P182" i="4" s="1"/>
  <c r="K338" i="4"/>
  <c r="L338" i="4" s="1"/>
  <c r="N338" i="4" s="1"/>
  <c r="P338" i="4" s="1"/>
  <c r="K170" i="4"/>
  <c r="L170" i="4" s="1"/>
  <c r="N170" i="4" s="1"/>
  <c r="P170" i="4" s="1"/>
  <c r="K194" i="4"/>
  <c r="L194" i="4" s="1"/>
  <c r="N194" i="4" s="1"/>
  <c r="P194" i="4" s="1"/>
  <c r="K50" i="4"/>
  <c r="L50" i="4" s="1"/>
  <c r="N50" i="4" s="1"/>
  <c r="P50" i="4" s="1"/>
  <c r="K98" i="4"/>
  <c r="L98" i="4" s="1"/>
  <c r="N98" i="4" s="1"/>
  <c r="P98" i="4" s="1"/>
  <c r="K242" i="4"/>
  <c r="L242" i="4" s="1"/>
  <c r="N242" i="4" s="1"/>
  <c r="P242" i="4" s="1"/>
  <c r="K218" i="4"/>
  <c r="L218" i="4" s="1"/>
  <c r="N218" i="4" s="1"/>
  <c r="P218" i="4" s="1"/>
  <c r="K122" i="4"/>
  <c r="L122" i="4" s="1"/>
  <c r="N122" i="4" s="1"/>
  <c r="P122" i="4" s="1"/>
  <c r="K74" i="4"/>
  <c r="L74" i="4" s="1"/>
  <c r="N74" i="4" s="1"/>
  <c r="P74" i="4" s="1"/>
  <c r="K290" i="4"/>
  <c r="L290" i="4" s="1"/>
  <c r="N290" i="4" s="1"/>
  <c r="P290" i="4" s="1"/>
  <c r="K266" i="4"/>
  <c r="L266" i="4" s="1"/>
  <c r="N266" i="4" s="1"/>
  <c r="P266" i="4" s="1"/>
  <c r="K26" i="4"/>
  <c r="L26" i="4" s="1"/>
  <c r="N26" i="4" s="1"/>
  <c r="P26" i="4" s="1"/>
  <c r="K321" i="4"/>
  <c r="L321" i="4" s="1"/>
  <c r="N321" i="4" s="1"/>
  <c r="P321" i="4" s="1"/>
  <c r="K153" i="4"/>
  <c r="L153" i="4" s="1"/>
  <c r="N153" i="4" s="1"/>
  <c r="P153" i="4" s="1"/>
  <c r="K345" i="4"/>
  <c r="L345" i="4" s="1"/>
  <c r="N345" i="4" s="1"/>
  <c r="P345" i="4" s="1"/>
  <c r="K177" i="4"/>
  <c r="L177" i="4" s="1"/>
  <c r="N177" i="4" s="1"/>
  <c r="P177" i="4" s="1"/>
  <c r="K58" i="4"/>
  <c r="L58" i="4" s="1"/>
  <c r="N58" i="4" s="1"/>
  <c r="P58" i="4" s="1"/>
  <c r="K202" i="4"/>
  <c r="L202" i="4" s="1"/>
  <c r="N202" i="4" s="1"/>
  <c r="P202" i="4" s="1"/>
  <c r="K130" i="4"/>
  <c r="L130" i="4" s="1"/>
  <c r="N130" i="4" s="1"/>
  <c r="P130" i="4" s="1"/>
  <c r="K250" i="4"/>
  <c r="L250" i="4" s="1"/>
  <c r="N250" i="4" s="1"/>
  <c r="P250" i="4" s="1"/>
  <c r="K34" i="4"/>
  <c r="L34" i="4" s="1"/>
  <c r="N34" i="4" s="1"/>
  <c r="P34" i="4" s="1"/>
  <c r="K298" i="4"/>
  <c r="L298" i="4" s="1"/>
  <c r="N298" i="4" s="1"/>
  <c r="P298" i="4" s="1"/>
  <c r="K226" i="4"/>
  <c r="L226" i="4" s="1"/>
  <c r="N226" i="4" s="1"/>
  <c r="P226" i="4" s="1"/>
  <c r="K106" i="4"/>
  <c r="L106" i="4" s="1"/>
  <c r="N106" i="4" s="1"/>
  <c r="P106" i="4" s="1"/>
  <c r="K82" i="4"/>
  <c r="L82" i="4" s="1"/>
  <c r="N82" i="4" s="1"/>
  <c r="P82" i="4" s="1"/>
  <c r="K274" i="4"/>
  <c r="L274" i="4" s="1"/>
  <c r="N274" i="4" s="1"/>
  <c r="P274" i="4" s="1"/>
  <c r="K148" i="4"/>
  <c r="L148" i="4" s="1"/>
  <c r="N148" i="4" s="1"/>
  <c r="P148" i="4" s="1"/>
  <c r="K316" i="4"/>
  <c r="L316" i="4" s="1"/>
  <c r="N316" i="4" s="1"/>
  <c r="P316" i="4" s="1"/>
  <c r="K343" i="4"/>
  <c r="L343" i="4" s="1"/>
  <c r="N343" i="4" s="1"/>
  <c r="P343" i="4" s="1"/>
  <c r="K175" i="4"/>
  <c r="L175" i="4" s="1"/>
  <c r="N175" i="4" s="1"/>
  <c r="P175" i="4" s="1"/>
  <c r="K329" i="4"/>
  <c r="L329" i="4" s="1"/>
  <c r="N329" i="4" s="1"/>
  <c r="P329" i="4" s="1"/>
  <c r="K161" i="4"/>
  <c r="L161" i="4" s="1"/>
  <c r="N161" i="4" s="1"/>
  <c r="P161" i="4" s="1"/>
  <c r="K253" i="4"/>
  <c r="L253" i="4" s="1"/>
  <c r="N253" i="4" s="1"/>
  <c r="P253" i="4" s="1"/>
  <c r="K277" i="4"/>
  <c r="L277" i="4" s="1"/>
  <c r="N277" i="4" s="1"/>
  <c r="P277" i="4" s="1"/>
  <c r="K229" i="4"/>
  <c r="L229" i="4" s="1"/>
  <c r="N229" i="4" s="1"/>
  <c r="P229" i="4" s="1"/>
  <c r="K301" i="4"/>
  <c r="L301" i="4" s="1"/>
  <c r="N301" i="4" s="1"/>
  <c r="P301" i="4" s="1"/>
  <c r="K37" i="4"/>
  <c r="L37" i="4" s="1"/>
  <c r="N37" i="4" s="1"/>
  <c r="P37" i="4" s="1"/>
  <c r="K109" i="4"/>
  <c r="L109" i="4" s="1"/>
  <c r="N109" i="4" s="1"/>
  <c r="P109" i="4" s="1"/>
  <c r="K61" i="4"/>
  <c r="L61" i="4" s="1"/>
  <c r="N61" i="4" s="1"/>
  <c r="P61" i="4" s="1"/>
  <c r="K85" i="4"/>
  <c r="L85" i="4" s="1"/>
  <c r="N85" i="4" s="1"/>
  <c r="P85" i="4" s="1"/>
  <c r="K205" i="4"/>
  <c r="L205" i="4" s="1"/>
  <c r="N205" i="4" s="1"/>
  <c r="P205" i="4" s="1"/>
  <c r="K133" i="4"/>
  <c r="L133" i="4" s="1"/>
  <c r="N133" i="4" s="1"/>
  <c r="P133" i="4" s="1"/>
  <c r="K151" i="4"/>
  <c r="L151" i="4" s="1"/>
  <c r="N151" i="4" s="1"/>
  <c r="P151" i="4" s="1"/>
  <c r="K319" i="4"/>
  <c r="L319" i="4" s="1"/>
  <c r="N319" i="4" s="1"/>
  <c r="P319" i="4" s="1"/>
  <c r="K179" i="4"/>
  <c r="L179" i="4" s="1"/>
  <c r="N179" i="4" s="1"/>
  <c r="P179" i="4" s="1"/>
  <c r="K347" i="4"/>
  <c r="L347" i="4" s="1"/>
  <c r="N347" i="4" s="1"/>
  <c r="P347" i="4" s="1"/>
  <c r="K135" i="4"/>
  <c r="L135" i="4" s="1"/>
  <c r="N135" i="4" s="1"/>
  <c r="P135" i="4" s="1"/>
  <c r="K279" i="4"/>
  <c r="L279" i="4" s="1"/>
  <c r="N279" i="4" s="1"/>
  <c r="P279" i="4" s="1"/>
  <c r="K87" i="4"/>
  <c r="L87" i="4" s="1"/>
  <c r="N87" i="4" s="1"/>
  <c r="P87" i="4" s="1"/>
  <c r="K111" i="4"/>
  <c r="L111" i="4" s="1"/>
  <c r="N111" i="4" s="1"/>
  <c r="P111" i="4" s="1"/>
  <c r="K303" i="4"/>
  <c r="L303" i="4" s="1"/>
  <c r="N303" i="4" s="1"/>
  <c r="P303" i="4" s="1"/>
  <c r="K255" i="4"/>
  <c r="L255" i="4" s="1"/>
  <c r="N255" i="4" s="1"/>
  <c r="P255" i="4" s="1"/>
  <c r="K63" i="4"/>
  <c r="L63" i="4" s="1"/>
  <c r="N63" i="4" s="1"/>
  <c r="P63" i="4" s="1"/>
  <c r="K207" i="4"/>
  <c r="L207" i="4" s="1"/>
  <c r="N207" i="4" s="1"/>
  <c r="P207" i="4" s="1"/>
  <c r="K231" i="4"/>
  <c r="L231" i="4" s="1"/>
  <c r="N231" i="4" s="1"/>
  <c r="P231" i="4" s="1"/>
  <c r="K39" i="4"/>
  <c r="L39" i="4" s="1"/>
  <c r="N39" i="4" s="1"/>
  <c r="P39" i="4" s="1"/>
  <c r="K123" i="4"/>
  <c r="L123" i="4" s="1"/>
  <c r="N123" i="4" s="1"/>
  <c r="P123" i="4" s="1"/>
  <c r="K219" i="4"/>
  <c r="L219" i="4" s="1"/>
  <c r="N219" i="4" s="1"/>
  <c r="P219" i="4" s="1"/>
  <c r="K267" i="4"/>
  <c r="L267" i="4" s="1"/>
  <c r="N267" i="4" s="1"/>
  <c r="P267" i="4" s="1"/>
  <c r="K99" i="4"/>
  <c r="L99" i="4" s="1"/>
  <c r="N99" i="4" s="1"/>
  <c r="P99" i="4" s="1"/>
  <c r="K195" i="4"/>
  <c r="L195" i="4" s="1"/>
  <c r="N195" i="4" s="1"/>
  <c r="P195" i="4" s="1"/>
  <c r="K75" i="4"/>
  <c r="L75" i="4" s="1"/>
  <c r="N75" i="4" s="1"/>
  <c r="P75" i="4" s="1"/>
  <c r="K291" i="4"/>
  <c r="L291" i="4" s="1"/>
  <c r="N291" i="4" s="1"/>
  <c r="P291" i="4" s="1"/>
  <c r="K243" i="4"/>
  <c r="L243" i="4" s="1"/>
  <c r="N243" i="4" s="1"/>
  <c r="P243" i="4" s="1"/>
  <c r="K51" i="4"/>
  <c r="L51" i="4" s="1"/>
  <c r="N51" i="4" s="1"/>
  <c r="P51" i="4" s="1"/>
  <c r="K27" i="4"/>
  <c r="L27" i="4" s="1"/>
  <c r="N27" i="4" s="1"/>
  <c r="P27" i="4" s="1"/>
  <c r="K302" i="4"/>
  <c r="L302" i="4" s="1"/>
  <c r="N302" i="4" s="1"/>
  <c r="P302" i="4" s="1"/>
  <c r="K62" i="4"/>
  <c r="L62" i="4" s="1"/>
  <c r="N62" i="4" s="1"/>
  <c r="P62" i="4" s="1"/>
  <c r="K38" i="4"/>
  <c r="L38" i="4" s="1"/>
  <c r="N38" i="4" s="1"/>
  <c r="P38" i="4" s="1"/>
  <c r="K134" i="4"/>
  <c r="L134" i="4" s="1"/>
  <c r="N134" i="4" s="1"/>
  <c r="P134" i="4" s="1"/>
  <c r="K254" i="4"/>
  <c r="L254" i="4" s="1"/>
  <c r="N254" i="4" s="1"/>
  <c r="P254" i="4" s="1"/>
  <c r="K110" i="4"/>
  <c r="L110" i="4" s="1"/>
  <c r="N110" i="4" s="1"/>
  <c r="P110" i="4" s="1"/>
  <c r="K278" i="4"/>
  <c r="L278" i="4" s="1"/>
  <c r="N278" i="4" s="1"/>
  <c r="P278" i="4" s="1"/>
  <c r="K230" i="4"/>
  <c r="L230" i="4" s="1"/>
  <c r="N230" i="4" s="1"/>
  <c r="P230" i="4" s="1"/>
  <c r="K206" i="4"/>
  <c r="L206" i="4" s="1"/>
  <c r="N206" i="4" s="1"/>
  <c r="P206" i="4" s="1"/>
  <c r="K86" i="4"/>
  <c r="L86" i="4" s="1"/>
  <c r="N86" i="4" s="1"/>
  <c r="P86" i="4" s="1"/>
  <c r="B11" i="2"/>
  <c r="C11" i="2" s="1"/>
  <c r="AM43" i="2"/>
  <c r="K310" i="4"/>
  <c r="L310" i="4" s="1"/>
  <c r="N310" i="4" s="1"/>
  <c r="P310" i="4" s="1"/>
  <c r="K142" i="4"/>
  <c r="L142" i="4" s="1"/>
  <c r="N142" i="4" s="1"/>
  <c r="P142" i="4" s="1"/>
  <c r="K91" i="4"/>
  <c r="L91" i="4" s="1"/>
  <c r="N91" i="4" s="1"/>
  <c r="P91" i="4" s="1"/>
  <c r="K259" i="4"/>
  <c r="L259" i="4" s="1"/>
  <c r="N259" i="4" s="1"/>
  <c r="P259" i="4" s="1"/>
  <c r="K43" i="4"/>
  <c r="L43" i="4" s="1"/>
  <c r="N43" i="4" s="1"/>
  <c r="P43" i="4" s="1"/>
  <c r="K139" i="4"/>
  <c r="L139" i="4" s="1"/>
  <c r="N139" i="4" s="1"/>
  <c r="P139" i="4" s="1"/>
  <c r="K211" i="4"/>
  <c r="L211" i="4" s="1"/>
  <c r="N211" i="4" s="1"/>
  <c r="P211" i="4" s="1"/>
  <c r="K283" i="4"/>
  <c r="L283" i="4" s="1"/>
  <c r="N283" i="4" s="1"/>
  <c r="P283" i="4" s="1"/>
  <c r="K307" i="4"/>
  <c r="L307" i="4" s="1"/>
  <c r="N307" i="4" s="1"/>
  <c r="P307" i="4" s="1"/>
  <c r="K67" i="4"/>
  <c r="L67" i="4" s="1"/>
  <c r="N67" i="4" s="1"/>
  <c r="P67" i="4" s="1"/>
  <c r="K235" i="4"/>
  <c r="L235" i="4" s="1"/>
  <c r="N235" i="4" s="1"/>
  <c r="P235" i="4" s="1"/>
  <c r="K115" i="4"/>
  <c r="L115" i="4" s="1"/>
  <c r="N115" i="4" s="1"/>
  <c r="P115" i="4" s="1"/>
  <c r="K168" i="4"/>
  <c r="L168" i="4" s="1"/>
  <c r="N168" i="4" s="1"/>
  <c r="P168" i="4" s="1"/>
  <c r="K336" i="4"/>
  <c r="L336" i="4" s="1"/>
  <c r="N336" i="4" s="1"/>
  <c r="P336" i="4" s="1"/>
  <c r="K154" i="4"/>
  <c r="L154" i="4" s="1"/>
  <c r="N154" i="4" s="1"/>
  <c r="P154" i="4" s="1"/>
  <c r="K322" i="4"/>
  <c r="L322" i="4" s="1"/>
  <c r="N322" i="4" s="1"/>
  <c r="P322" i="4" s="1"/>
  <c r="K187" i="4"/>
  <c r="L187" i="4" s="1"/>
  <c r="N187" i="4" s="1"/>
  <c r="P187" i="4" s="1"/>
  <c r="K355" i="4"/>
  <c r="L355" i="4" s="1"/>
  <c r="N355" i="4" s="1"/>
  <c r="P355" i="4" s="1"/>
  <c r="K312" i="4"/>
  <c r="L312" i="4" s="1"/>
  <c r="N312" i="4" s="1"/>
  <c r="P312" i="4" s="1"/>
  <c r="K144" i="4"/>
  <c r="L144" i="4" s="1"/>
  <c r="N144" i="4" s="1"/>
  <c r="P144" i="4" s="1"/>
  <c r="B17" i="5"/>
  <c r="C15" i="5"/>
  <c r="K60" i="4"/>
  <c r="L60" i="4" s="1"/>
  <c r="N60" i="4" s="1"/>
  <c r="P60" i="4" s="1"/>
  <c r="K300" i="4"/>
  <c r="L300" i="4" s="1"/>
  <c r="N300" i="4" s="1"/>
  <c r="P300" i="4" s="1"/>
  <c r="K84" i="4"/>
  <c r="L84" i="4" s="1"/>
  <c r="N84" i="4" s="1"/>
  <c r="P84" i="4" s="1"/>
  <c r="K228" i="4"/>
  <c r="L228" i="4" s="1"/>
  <c r="N228" i="4" s="1"/>
  <c r="P228" i="4" s="1"/>
  <c r="K252" i="4"/>
  <c r="L252" i="4" s="1"/>
  <c r="N252" i="4" s="1"/>
  <c r="P252" i="4" s="1"/>
  <c r="K204" i="4"/>
  <c r="L204" i="4" s="1"/>
  <c r="N204" i="4" s="1"/>
  <c r="P204" i="4" s="1"/>
  <c r="K132" i="4"/>
  <c r="L132" i="4" s="1"/>
  <c r="N132" i="4" s="1"/>
  <c r="P132" i="4" s="1"/>
  <c r="K108" i="4"/>
  <c r="L108" i="4" s="1"/>
  <c r="N108" i="4" s="1"/>
  <c r="P108" i="4" s="1"/>
  <c r="K276" i="4"/>
  <c r="L276" i="4" s="1"/>
  <c r="N276" i="4" s="1"/>
  <c r="P276" i="4" s="1"/>
  <c r="K36" i="4"/>
  <c r="L36" i="4" s="1"/>
  <c r="N36" i="4" s="1"/>
  <c r="P36" i="4" s="1"/>
  <c r="K327" i="4"/>
  <c r="L327" i="4" s="1"/>
  <c r="N327" i="4" s="1"/>
  <c r="P327" i="4" s="1"/>
  <c r="K159" i="4"/>
  <c r="L159" i="4" s="1"/>
  <c r="N159" i="4" s="1"/>
  <c r="P159" i="4" s="1"/>
  <c r="K147" i="4"/>
  <c r="L147" i="4" s="1"/>
  <c r="N147" i="4" s="1"/>
  <c r="P147" i="4" s="1"/>
  <c r="K315" i="4"/>
  <c r="L315" i="4" s="1"/>
  <c r="N315" i="4" s="1"/>
  <c r="P315" i="4" s="1"/>
  <c r="K163" i="4"/>
  <c r="L163" i="4" s="1"/>
  <c r="N163" i="4" s="1"/>
  <c r="P163" i="4" s="1"/>
  <c r="K331" i="4"/>
  <c r="L331" i="4" s="1"/>
  <c r="N331" i="4" s="1"/>
  <c r="P331" i="4" s="1"/>
  <c r="K158" i="4"/>
  <c r="L158" i="4" s="1"/>
  <c r="N158" i="4" s="1"/>
  <c r="P158" i="4" s="1"/>
  <c r="K326" i="4"/>
  <c r="L326" i="4" s="1"/>
  <c r="N326" i="4" s="1"/>
  <c r="P326" i="4" s="1"/>
  <c r="K272" i="4"/>
  <c r="L272" i="4" s="1"/>
  <c r="N272" i="4" s="1"/>
  <c r="P272" i="4" s="1"/>
  <c r="K296" i="4"/>
  <c r="L296" i="4" s="1"/>
  <c r="N296" i="4" s="1"/>
  <c r="P296" i="4" s="1"/>
  <c r="K80" i="4"/>
  <c r="L80" i="4" s="1"/>
  <c r="N80" i="4" s="1"/>
  <c r="P80" i="4" s="1"/>
  <c r="K56" i="4"/>
  <c r="L56" i="4" s="1"/>
  <c r="N56" i="4" s="1"/>
  <c r="P56" i="4" s="1"/>
  <c r="K128" i="4"/>
  <c r="L128" i="4" s="1"/>
  <c r="N128" i="4" s="1"/>
  <c r="P128" i="4" s="1"/>
  <c r="K224" i="4"/>
  <c r="L224" i="4" s="1"/>
  <c r="N224" i="4" s="1"/>
  <c r="P224" i="4" s="1"/>
  <c r="K32" i="4"/>
  <c r="L32" i="4" s="1"/>
  <c r="N32" i="4" s="1"/>
  <c r="P32" i="4" s="1"/>
  <c r="K104" i="4"/>
  <c r="L104" i="4" s="1"/>
  <c r="N104" i="4" s="1"/>
  <c r="P104" i="4" s="1"/>
  <c r="K200" i="4"/>
  <c r="L200" i="4" s="1"/>
  <c r="N200" i="4" s="1"/>
  <c r="P200" i="4" s="1"/>
  <c r="K248" i="4"/>
  <c r="L248" i="4" s="1"/>
  <c r="N248" i="4" s="1"/>
  <c r="P248" i="4" s="1"/>
  <c r="K265" i="4"/>
  <c r="L265" i="4" s="1"/>
  <c r="N265" i="4" s="1"/>
  <c r="P265" i="4" s="1"/>
  <c r="K217" i="4"/>
  <c r="L217" i="4" s="1"/>
  <c r="N217" i="4" s="1"/>
  <c r="P217" i="4" s="1"/>
  <c r="K121" i="4"/>
  <c r="L121" i="4" s="1"/>
  <c r="N121" i="4" s="1"/>
  <c r="P121" i="4" s="1"/>
  <c r="K97" i="4"/>
  <c r="L97" i="4" s="1"/>
  <c r="N97" i="4" s="1"/>
  <c r="P97" i="4" s="1"/>
  <c r="K49" i="4"/>
  <c r="L49" i="4" s="1"/>
  <c r="N49" i="4" s="1"/>
  <c r="P49" i="4" s="1"/>
  <c r="K289" i="4"/>
  <c r="L289" i="4" s="1"/>
  <c r="N289" i="4" s="1"/>
  <c r="P289" i="4" s="1"/>
  <c r="K73" i="4"/>
  <c r="L73" i="4" s="1"/>
  <c r="N73" i="4" s="1"/>
  <c r="P73" i="4" s="1"/>
  <c r="K193" i="4"/>
  <c r="L193" i="4" s="1"/>
  <c r="N193" i="4" s="1"/>
  <c r="P193" i="4" s="1"/>
  <c r="K25" i="4"/>
  <c r="L25" i="4" s="1"/>
  <c r="N25" i="4" s="1"/>
  <c r="P25" i="4" s="1"/>
  <c r="K241" i="4"/>
  <c r="L241" i="4" s="1"/>
  <c r="N241" i="4" s="1"/>
  <c r="P241" i="4" s="1"/>
  <c r="B12" i="2"/>
  <c r="C12" i="2" s="1"/>
  <c r="K334" i="4"/>
  <c r="L334" i="4" s="1"/>
  <c r="N334" i="4" s="1"/>
  <c r="P334" i="4" s="1"/>
  <c r="AN43" i="2"/>
  <c r="K166" i="4"/>
  <c r="L166" i="4" s="1"/>
  <c r="N166" i="4" s="1"/>
  <c r="P166" i="4" s="1"/>
  <c r="K320" i="4"/>
  <c r="L320" i="4" s="1"/>
  <c r="N320" i="4" s="1"/>
  <c r="P320" i="4" s="1"/>
  <c r="K152" i="4"/>
  <c r="L152" i="4" s="1"/>
  <c r="N152" i="4" s="1"/>
  <c r="P152" i="4" s="1"/>
  <c r="K138" i="4"/>
  <c r="L138" i="4" s="1"/>
  <c r="N138" i="4" s="1"/>
  <c r="P138" i="4" s="1"/>
  <c r="K258" i="4"/>
  <c r="L258" i="4" s="1"/>
  <c r="N258" i="4" s="1"/>
  <c r="P258" i="4" s="1"/>
  <c r="K234" i="4"/>
  <c r="L234" i="4" s="1"/>
  <c r="N234" i="4" s="1"/>
  <c r="P234" i="4" s="1"/>
  <c r="K210" i="4"/>
  <c r="L210" i="4" s="1"/>
  <c r="N210" i="4" s="1"/>
  <c r="P210" i="4" s="1"/>
  <c r="K90" i="4"/>
  <c r="L90" i="4" s="1"/>
  <c r="N90" i="4" s="1"/>
  <c r="P90" i="4" s="1"/>
  <c r="K42" i="4"/>
  <c r="L42" i="4" s="1"/>
  <c r="N42" i="4" s="1"/>
  <c r="P42" i="4" s="1"/>
  <c r="K306" i="4"/>
  <c r="L306" i="4" s="1"/>
  <c r="N306" i="4" s="1"/>
  <c r="P306" i="4" s="1"/>
  <c r="K114" i="4"/>
  <c r="L114" i="4" s="1"/>
  <c r="N114" i="4" s="1"/>
  <c r="P114" i="4" s="1"/>
  <c r="K282" i="4"/>
  <c r="L282" i="4" s="1"/>
  <c r="N282" i="4" s="1"/>
  <c r="P282" i="4" s="1"/>
  <c r="K66" i="4"/>
  <c r="L66" i="4" s="1"/>
  <c r="N66" i="4" s="1"/>
  <c r="P66" i="4" s="1"/>
  <c r="K143" i="4"/>
  <c r="L143" i="4" s="1"/>
  <c r="N143" i="4" s="1"/>
  <c r="P143" i="4" s="1"/>
  <c r="K311" i="4"/>
  <c r="L311" i="4" s="1"/>
  <c r="N311" i="4" s="1"/>
  <c r="P311" i="4" s="1"/>
  <c r="B68" i="1"/>
  <c r="K146" i="4"/>
  <c r="L146" i="4" s="1"/>
  <c r="N146" i="4" s="1"/>
  <c r="P146" i="4" s="1"/>
  <c r="K314" i="4"/>
  <c r="L314" i="4" s="1"/>
  <c r="N314" i="4" s="1"/>
  <c r="P314" i="4" s="1"/>
  <c r="K185" i="4"/>
  <c r="L185" i="4" s="1"/>
  <c r="N185" i="4" s="1"/>
  <c r="P185" i="4" s="1"/>
  <c r="K353" i="4"/>
  <c r="L353" i="4" s="1"/>
  <c r="N353" i="4" s="1"/>
  <c r="P353" i="4" s="1"/>
  <c r="K178" i="4"/>
  <c r="L178" i="4" s="1"/>
  <c r="N178" i="4" s="1"/>
  <c r="P178" i="4" s="1"/>
  <c r="K346" i="4"/>
  <c r="L346" i="4" s="1"/>
  <c r="N346" i="4" s="1"/>
  <c r="P346" i="4" s="1"/>
  <c r="K269" i="4"/>
  <c r="L269" i="4" s="1"/>
  <c r="N269" i="4" s="1"/>
  <c r="P269" i="4" s="1"/>
  <c r="K221" i="4"/>
  <c r="L221" i="4" s="1"/>
  <c r="N221" i="4" s="1"/>
  <c r="P221" i="4" s="1"/>
  <c r="K101" i="4"/>
  <c r="L101" i="4" s="1"/>
  <c r="N101" i="4" s="1"/>
  <c r="P101" i="4" s="1"/>
  <c r="K29" i="4"/>
  <c r="L29" i="4" s="1"/>
  <c r="N29" i="4" s="1"/>
  <c r="P29" i="4" s="1"/>
  <c r="K197" i="4"/>
  <c r="L197" i="4" s="1"/>
  <c r="N197" i="4" s="1"/>
  <c r="P197" i="4" s="1"/>
  <c r="K293" i="4"/>
  <c r="L293" i="4" s="1"/>
  <c r="N293" i="4" s="1"/>
  <c r="P293" i="4" s="1"/>
  <c r="K125" i="4"/>
  <c r="L125" i="4" s="1"/>
  <c r="N125" i="4" s="1"/>
  <c r="P125" i="4" s="1"/>
  <c r="K77" i="4"/>
  <c r="L77" i="4" s="1"/>
  <c r="N77" i="4" s="1"/>
  <c r="P77" i="4" s="1"/>
  <c r="K53" i="4"/>
  <c r="L53" i="4" s="1"/>
  <c r="N53" i="4" s="1"/>
  <c r="P53" i="4" s="1"/>
  <c r="K245" i="4"/>
  <c r="L245" i="4" s="1"/>
  <c r="N245" i="4" s="1"/>
  <c r="P245" i="4" s="1"/>
  <c r="K294" i="4"/>
  <c r="L294" i="4" s="1"/>
  <c r="N294" i="4" s="1"/>
  <c r="P294" i="4" s="1"/>
  <c r="K30" i="4"/>
  <c r="L30" i="4" s="1"/>
  <c r="N30" i="4" s="1"/>
  <c r="P30" i="4" s="1"/>
  <c r="K102" i="4"/>
  <c r="L102" i="4" s="1"/>
  <c r="N102" i="4" s="1"/>
  <c r="P102" i="4" s="1"/>
  <c r="K270" i="4"/>
  <c r="L270" i="4" s="1"/>
  <c r="N270" i="4" s="1"/>
  <c r="P270" i="4" s="1"/>
  <c r="K54" i="4"/>
  <c r="L54" i="4" s="1"/>
  <c r="N54" i="4" s="1"/>
  <c r="P54" i="4" s="1"/>
  <c r="K198" i="4"/>
  <c r="L198" i="4" s="1"/>
  <c r="N198" i="4" s="1"/>
  <c r="P198" i="4" s="1"/>
  <c r="K126" i="4"/>
  <c r="L126" i="4" s="1"/>
  <c r="N126" i="4" s="1"/>
  <c r="P126" i="4" s="1"/>
  <c r="K246" i="4"/>
  <c r="L246" i="4" s="1"/>
  <c r="N246" i="4" s="1"/>
  <c r="P246" i="4" s="1"/>
  <c r="K222" i="4"/>
  <c r="L222" i="4" s="1"/>
  <c r="N222" i="4" s="1"/>
  <c r="P222" i="4" s="1"/>
  <c r="K78" i="4"/>
  <c r="L78" i="4" s="1"/>
  <c r="N78" i="4" s="1"/>
  <c r="P78" i="4" s="1"/>
  <c r="K183" i="4"/>
  <c r="L183" i="4" s="1"/>
  <c r="N183" i="4" s="1"/>
  <c r="P183" i="4" s="1"/>
  <c r="K351" i="4"/>
  <c r="L351" i="4" s="1"/>
  <c r="N351" i="4" s="1"/>
  <c r="P351" i="4" s="1"/>
  <c r="K171" i="4"/>
  <c r="L171" i="4" s="1"/>
  <c r="N171" i="4" s="1"/>
  <c r="P171" i="4" s="1"/>
  <c r="K339" i="4"/>
  <c r="L339" i="4" s="1"/>
  <c r="N339" i="4" s="1"/>
  <c r="P339" i="4" s="1"/>
  <c r="K212" i="4"/>
  <c r="L212" i="4" s="1"/>
  <c r="N212" i="4" s="1"/>
  <c r="P212" i="4" s="1"/>
  <c r="K44" i="4"/>
  <c r="L44" i="4" s="1"/>
  <c r="N44" i="4" s="1"/>
  <c r="P44" i="4" s="1"/>
  <c r="K140" i="4"/>
  <c r="L140" i="4" s="1"/>
  <c r="N140" i="4" s="1"/>
  <c r="P140" i="4" s="1"/>
  <c r="K308" i="4"/>
  <c r="L308" i="4" s="1"/>
  <c r="N308" i="4" s="1"/>
  <c r="P308" i="4" s="1"/>
  <c r="K116" i="4"/>
  <c r="L116" i="4" s="1"/>
  <c r="N116" i="4" s="1"/>
  <c r="P116" i="4" s="1"/>
  <c r="K236" i="4"/>
  <c r="L236" i="4" s="1"/>
  <c r="N236" i="4" s="1"/>
  <c r="P236" i="4" s="1"/>
  <c r="K92" i="4"/>
  <c r="L92" i="4" s="1"/>
  <c r="N92" i="4" s="1"/>
  <c r="P92" i="4" s="1"/>
  <c r="K68" i="4"/>
  <c r="L68" i="4" s="1"/>
  <c r="N68" i="4" s="1"/>
  <c r="P68" i="4" s="1"/>
  <c r="K284" i="4"/>
  <c r="L284" i="4" s="1"/>
  <c r="N284" i="4" s="1"/>
  <c r="P284" i="4" s="1"/>
  <c r="K260" i="4"/>
  <c r="L260" i="4" s="1"/>
  <c r="N260" i="4" s="1"/>
  <c r="P260" i="4" s="1"/>
  <c r="B10" i="2"/>
  <c r="AL43" i="2"/>
  <c r="K22" i="4"/>
  <c r="L22" i="4" s="1"/>
  <c r="N22" i="4" s="1"/>
  <c r="P22" i="4" s="1"/>
  <c r="Q22" i="4" s="1"/>
  <c r="K238" i="4"/>
  <c r="L238" i="4" s="1"/>
  <c r="N238" i="4" s="1"/>
  <c r="P238" i="4" s="1"/>
  <c r="K214" i="4"/>
  <c r="L214" i="4" s="1"/>
  <c r="N214" i="4" s="1"/>
  <c r="P214" i="4" s="1"/>
  <c r="K190" i="4"/>
  <c r="L190" i="4" s="1"/>
  <c r="K118" i="4"/>
  <c r="L118" i="4" s="1"/>
  <c r="N118" i="4" s="1"/>
  <c r="P118" i="4" s="1"/>
  <c r="K70" i="4"/>
  <c r="L70" i="4" s="1"/>
  <c r="N70" i="4" s="1"/>
  <c r="P70" i="4" s="1"/>
  <c r="K286" i="4"/>
  <c r="L286" i="4" s="1"/>
  <c r="N286" i="4" s="1"/>
  <c r="P286" i="4" s="1"/>
  <c r="K262" i="4"/>
  <c r="L262" i="4" s="1"/>
  <c r="N262" i="4" s="1"/>
  <c r="P262" i="4" s="1"/>
  <c r="K46" i="4"/>
  <c r="L46" i="4" s="1"/>
  <c r="N46" i="4" s="1"/>
  <c r="P46" i="4" s="1"/>
  <c r="K94" i="4"/>
  <c r="L94" i="4" s="1"/>
  <c r="N94" i="4" s="1"/>
  <c r="P94" i="4" s="1"/>
  <c r="K157" i="4"/>
  <c r="L157" i="4" s="1"/>
  <c r="N157" i="4" s="1"/>
  <c r="P157" i="4" s="1"/>
  <c r="K325" i="4"/>
  <c r="L325" i="4" s="1"/>
  <c r="N325" i="4" s="1"/>
  <c r="P325" i="4" s="1"/>
  <c r="K145" i="4"/>
  <c r="L145" i="4" s="1"/>
  <c r="N145" i="4" s="1"/>
  <c r="P145" i="4" s="1"/>
  <c r="K313" i="4"/>
  <c r="L313" i="4" s="1"/>
  <c r="N313" i="4" s="1"/>
  <c r="P313" i="4" s="1"/>
  <c r="K275" i="4"/>
  <c r="L275" i="4" s="1"/>
  <c r="N275" i="4" s="1"/>
  <c r="P275" i="4" s="1"/>
  <c r="K203" i="4"/>
  <c r="L203" i="4" s="1"/>
  <c r="N203" i="4" s="1"/>
  <c r="P203" i="4" s="1"/>
  <c r="K59" i="4"/>
  <c r="L59" i="4" s="1"/>
  <c r="N59" i="4" s="1"/>
  <c r="P59" i="4" s="1"/>
  <c r="K299" i="4"/>
  <c r="L299" i="4" s="1"/>
  <c r="N299" i="4" s="1"/>
  <c r="P299" i="4" s="1"/>
  <c r="K227" i="4"/>
  <c r="L227" i="4" s="1"/>
  <c r="N227" i="4" s="1"/>
  <c r="P227" i="4" s="1"/>
  <c r="K107" i="4"/>
  <c r="L107" i="4" s="1"/>
  <c r="N107" i="4" s="1"/>
  <c r="P107" i="4" s="1"/>
  <c r="K131" i="4"/>
  <c r="L131" i="4" s="1"/>
  <c r="N131" i="4" s="1"/>
  <c r="P131" i="4" s="1"/>
  <c r="K35" i="4"/>
  <c r="L35" i="4" s="1"/>
  <c r="N35" i="4" s="1"/>
  <c r="P35" i="4" s="1"/>
  <c r="K83" i="4"/>
  <c r="L83" i="4" s="1"/>
  <c r="N83" i="4" s="1"/>
  <c r="P83" i="4" s="1"/>
  <c r="K251" i="4"/>
  <c r="L251" i="4" s="1"/>
  <c r="N251" i="4" s="1"/>
  <c r="P251" i="4" s="1"/>
  <c r="K352" i="4"/>
  <c r="L352" i="4" s="1"/>
  <c r="N352" i="4" s="1"/>
  <c r="P352" i="4" s="1"/>
  <c r="K184" i="4"/>
  <c r="L184" i="4" s="1"/>
  <c r="N184" i="4" s="1"/>
  <c r="P184" i="4" s="1"/>
  <c r="K333" i="4"/>
  <c r="L333" i="4" s="1"/>
  <c r="N333" i="4" s="1"/>
  <c r="P333" i="4" s="1"/>
  <c r="K165" i="4"/>
  <c r="L165" i="4" s="1"/>
  <c r="N165" i="4" s="1"/>
  <c r="P165" i="4" s="1"/>
  <c r="K167" i="4"/>
  <c r="L167" i="4" s="1"/>
  <c r="N167" i="4" s="1"/>
  <c r="P167" i="4" s="1"/>
  <c r="K335" i="4"/>
  <c r="L335" i="4" s="1"/>
  <c r="N335" i="4" s="1"/>
  <c r="P335" i="4" s="1"/>
  <c r="K188" i="4"/>
  <c r="L188" i="4" s="1"/>
  <c r="N188" i="4" s="1"/>
  <c r="P188" i="4" s="1"/>
  <c r="K356" i="4"/>
  <c r="L356" i="4" s="1"/>
  <c r="N356" i="4" s="1"/>
  <c r="P356" i="4" s="1"/>
  <c r="K344" i="4"/>
  <c r="L344" i="4" s="1"/>
  <c r="N344" i="4" s="1"/>
  <c r="P344" i="4" s="1"/>
  <c r="K176" i="4"/>
  <c r="L176" i="4" s="1"/>
  <c r="N176" i="4" s="1"/>
  <c r="P176" i="4" s="1"/>
  <c r="K330" i="4"/>
  <c r="L330" i="4" s="1"/>
  <c r="N330" i="4" s="1"/>
  <c r="P330" i="4" s="1"/>
  <c r="K162" i="4"/>
  <c r="L162" i="4" s="1"/>
  <c r="N162" i="4" s="1"/>
  <c r="P162" i="4" s="1"/>
  <c r="B32" i="5"/>
  <c r="B14" i="4"/>
  <c r="K149" i="4"/>
  <c r="L149" i="4" s="1"/>
  <c r="N149" i="4" s="1"/>
  <c r="P149" i="4" s="1"/>
  <c r="K317" i="4"/>
  <c r="L317" i="4" s="1"/>
  <c r="N317" i="4" s="1"/>
  <c r="P317" i="4" s="1"/>
  <c r="K287" i="4"/>
  <c r="L287" i="4" s="1"/>
  <c r="N287" i="4" s="1"/>
  <c r="P287" i="4" s="1"/>
  <c r="K263" i="4"/>
  <c r="L263" i="4" s="1"/>
  <c r="N263" i="4" s="1"/>
  <c r="P263" i="4" s="1"/>
  <c r="K215" i="4"/>
  <c r="L215" i="4" s="1"/>
  <c r="N215" i="4" s="1"/>
  <c r="P215" i="4" s="1"/>
  <c r="K239" i="4"/>
  <c r="L239" i="4" s="1"/>
  <c r="N239" i="4" s="1"/>
  <c r="P239" i="4" s="1"/>
  <c r="K95" i="4"/>
  <c r="L95" i="4" s="1"/>
  <c r="N95" i="4" s="1"/>
  <c r="P95" i="4" s="1"/>
  <c r="K47" i="4"/>
  <c r="L47" i="4" s="1"/>
  <c r="N47" i="4" s="1"/>
  <c r="P47" i="4" s="1"/>
  <c r="K71" i="4"/>
  <c r="L71" i="4" s="1"/>
  <c r="N71" i="4" s="1"/>
  <c r="P71" i="4" s="1"/>
  <c r="K191" i="4"/>
  <c r="L191" i="4" s="1"/>
  <c r="N191" i="4" s="1"/>
  <c r="P191" i="4" s="1"/>
  <c r="K23" i="4"/>
  <c r="L23" i="4" s="1"/>
  <c r="N23" i="4" s="1"/>
  <c r="P23" i="4" s="1"/>
  <c r="K119" i="4"/>
  <c r="L119" i="4" s="1"/>
  <c r="N119" i="4" s="1"/>
  <c r="P119" i="4" s="1"/>
  <c r="K280" i="4"/>
  <c r="L280" i="4" s="1"/>
  <c r="N280" i="4" s="1"/>
  <c r="P280" i="4" s="1"/>
  <c r="K40" i="4"/>
  <c r="L40" i="4" s="1"/>
  <c r="N40" i="4" s="1"/>
  <c r="P40" i="4" s="1"/>
  <c r="K112" i="4"/>
  <c r="L112" i="4" s="1"/>
  <c r="N112" i="4" s="1"/>
  <c r="P112" i="4" s="1"/>
  <c r="K232" i="4"/>
  <c r="L232" i="4" s="1"/>
  <c r="N232" i="4" s="1"/>
  <c r="P232" i="4" s="1"/>
  <c r="K208" i="4"/>
  <c r="L208" i="4" s="1"/>
  <c r="N208" i="4" s="1"/>
  <c r="P208" i="4" s="1"/>
  <c r="K64" i="4"/>
  <c r="L64" i="4" s="1"/>
  <c r="N64" i="4" s="1"/>
  <c r="P64" i="4" s="1"/>
  <c r="K88" i="4"/>
  <c r="L88" i="4" s="1"/>
  <c r="N88" i="4" s="1"/>
  <c r="P88" i="4" s="1"/>
  <c r="K256" i="4"/>
  <c r="L256" i="4" s="1"/>
  <c r="N256" i="4" s="1"/>
  <c r="P256" i="4" s="1"/>
  <c r="K304" i="4"/>
  <c r="L304" i="4" s="1"/>
  <c r="N304" i="4" s="1"/>
  <c r="P304" i="4" s="1"/>
  <c r="K136" i="4"/>
  <c r="L136" i="4" s="1"/>
  <c r="N136" i="4" s="1"/>
  <c r="P136" i="4" s="1"/>
  <c r="K124" i="4"/>
  <c r="L124" i="4" s="1"/>
  <c r="N124" i="4" s="1"/>
  <c r="P124" i="4" s="1"/>
  <c r="K100" i="4"/>
  <c r="L100" i="4" s="1"/>
  <c r="N100" i="4" s="1"/>
  <c r="P100" i="4" s="1"/>
  <c r="K28" i="4"/>
  <c r="L28" i="4" s="1"/>
  <c r="N28" i="4" s="1"/>
  <c r="P28" i="4" s="1"/>
  <c r="K244" i="4"/>
  <c r="L244" i="4" s="1"/>
  <c r="N244" i="4" s="1"/>
  <c r="P244" i="4" s="1"/>
  <c r="K268" i="4"/>
  <c r="L268" i="4" s="1"/>
  <c r="N268" i="4" s="1"/>
  <c r="P268" i="4" s="1"/>
  <c r="K292" i="4"/>
  <c r="L292" i="4" s="1"/>
  <c r="N292" i="4" s="1"/>
  <c r="P292" i="4" s="1"/>
  <c r="K196" i="4"/>
  <c r="L196" i="4" s="1"/>
  <c r="N196" i="4" s="1"/>
  <c r="P196" i="4" s="1"/>
  <c r="K52" i="4"/>
  <c r="L52" i="4" s="1"/>
  <c r="N52" i="4" s="1"/>
  <c r="P52" i="4" s="1"/>
  <c r="K76" i="4"/>
  <c r="L76" i="4" s="1"/>
  <c r="N76" i="4" s="1"/>
  <c r="P76" i="4" s="1"/>
  <c r="K220" i="4"/>
  <c r="L220" i="4" s="1"/>
  <c r="N220" i="4" s="1"/>
  <c r="P220" i="4" s="1"/>
  <c r="K174" i="4"/>
  <c r="L174" i="4" s="1"/>
  <c r="N174" i="4" s="1"/>
  <c r="P174" i="4" s="1"/>
  <c r="K342" i="4"/>
  <c r="L342" i="4" s="1"/>
  <c r="N342" i="4" s="1"/>
  <c r="P342" i="4" s="1"/>
  <c r="K164" i="4"/>
  <c r="L164" i="4" s="1"/>
  <c r="N164" i="4" s="1"/>
  <c r="P164" i="4" s="1"/>
  <c r="K332" i="4"/>
  <c r="L332" i="4" s="1"/>
  <c r="N332" i="4" s="1"/>
  <c r="P332" i="4" s="1"/>
  <c r="K341" i="4"/>
  <c r="L341" i="4" s="1"/>
  <c r="N341" i="4" s="1"/>
  <c r="P341" i="4" s="1"/>
  <c r="K173" i="4"/>
  <c r="L173" i="4" s="1"/>
  <c r="N173" i="4" s="1"/>
  <c r="P173" i="4" s="1"/>
  <c r="K150" i="4"/>
  <c r="L150" i="4" s="1"/>
  <c r="N150" i="4" s="1"/>
  <c r="P150" i="4" s="1"/>
  <c r="K318" i="4"/>
  <c r="L318" i="4" s="1"/>
  <c r="N318" i="4" s="1"/>
  <c r="P318" i="4" s="1"/>
  <c r="K169" i="4"/>
  <c r="L169" i="4" s="1"/>
  <c r="N169" i="4" s="1"/>
  <c r="P169" i="4" s="1"/>
  <c r="K337" i="4"/>
  <c r="L337" i="4" s="1"/>
  <c r="N337" i="4" s="1"/>
  <c r="P337" i="4" s="1"/>
  <c r="K155" i="4"/>
  <c r="L155" i="4" s="1"/>
  <c r="N155" i="4" s="1"/>
  <c r="P155" i="4" s="1"/>
  <c r="K323" i="4"/>
  <c r="L323" i="4" s="1"/>
  <c r="N323" i="4" s="1"/>
  <c r="P323" i="4" s="1"/>
  <c r="K127" i="4"/>
  <c r="L127" i="4" s="1"/>
  <c r="N127" i="4" s="1"/>
  <c r="P127" i="4" s="1"/>
  <c r="K103" i="4"/>
  <c r="L103" i="4" s="1"/>
  <c r="N103" i="4" s="1"/>
  <c r="P103" i="4" s="1"/>
  <c r="K199" i="4"/>
  <c r="L199" i="4" s="1"/>
  <c r="N199" i="4" s="1"/>
  <c r="P199" i="4" s="1"/>
  <c r="K271" i="4"/>
  <c r="L271" i="4" s="1"/>
  <c r="N271" i="4" s="1"/>
  <c r="P271" i="4" s="1"/>
  <c r="K79" i="4"/>
  <c r="L79" i="4" s="1"/>
  <c r="N79" i="4" s="1"/>
  <c r="P79" i="4" s="1"/>
  <c r="K223" i="4"/>
  <c r="L223" i="4" s="1"/>
  <c r="N223" i="4" s="1"/>
  <c r="P223" i="4" s="1"/>
  <c r="K31" i="4"/>
  <c r="L31" i="4" s="1"/>
  <c r="N31" i="4" s="1"/>
  <c r="P31" i="4" s="1"/>
  <c r="K55" i="4"/>
  <c r="L55" i="4" s="1"/>
  <c r="N55" i="4" s="1"/>
  <c r="P55" i="4" s="1"/>
  <c r="K247" i="4"/>
  <c r="L247" i="4" s="1"/>
  <c r="N247" i="4" s="1"/>
  <c r="P247" i="4" s="1"/>
  <c r="K295" i="4"/>
  <c r="L295" i="4" s="1"/>
  <c r="N295" i="4" s="1"/>
  <c r="P295" i="4" s="1"/>
  <c r="K181" i="4"/>
  <c r="L181" i="4" s="1"/>
  <c r="N181" i="4" s="1"/>
  <c r="P181" i="4" s="1"/>
  <c r="K349" i="4"/>
  <c r="L349" i="4" s="1"/>
  <c r="N349" i="4" s="1"/>
  <c r="P349" i="4" s="1"/>
  <c r="K33" i="4"/>
  <c r="L33" i="4" s="1"/>
  <c r="N33" i="4" s="1"/>
  <c r="P33" i="4" s="1"/>
  <c r="K105" i="4"/>
  <c r="L105" i="4" s="1"/>
  <c r="N105" i="4" s="1"/>
  <c r="P105" i="4" s="1"/>
  <c r="K273" i="4"/>
  <c r="L273" i="4" s="1"/>
  <c r="N273" i="4" s="1"/>
  <c r="P273" i="4" s="1"/>
  <c r="K129" i="4"/>
  <c r="L129" i="4" s="1"/>
  <c r="N129" i="4" s="1"/>
  <c r="P129" i="4" s="1"/>
  <c r="K201" i="4"/>
  <c r="L201" i="4" s="1"/>
  <c r="N201" i="4" s="1"/>
  <c r="P201" i="4" s="1"/>
  <c r="K225" i="4"/>
  <c r="L225" i="4" s="1"/>
  <c r="N225" i="4" s="1"/>
  <c r="P225" i="4" s="1"/>
  <c r="K297" i="4"/>
  <c r="L297" i="4" s="1"/>
  <c r="N297" i="4" s="1"/>
  <c r="P297" i="4" s="1"/>
  <c r="K57" i="4"/>
  <c r="L57" i="4" s="1"/>
  <c r="N57" i="4" s="1"/>
  <c r="P57" i="4" s="1"/>
  <c r="K81" i="4"/>
  <c r="L81" i="4" s="1"/>
  <c r="N81" i="4" s="1"/>
  <c r="P81" i="4" s="1"/>
  <c r="K249" i="4"/>
  <c r="L249" i="4" s="1"/>
  <c r="N249" i="4" s="1"/>
  <c r="P249" i="4" s="1"/>
  <c r="K354" i="4"/>
  <c r="L354" i="4" s="1"/>
  <c r="N354" i="4" s="1"/>
  <c r="P354" i="4" s="1"/>
  <c r="K186" i="4"/>
  <c r="L186" i="4" s="1"/>
  <c r="N186" i="4" s="1"/>
  <c r="P186" i="4" s="1"/>
  <c r="B13" i="5"/>
  <c r="K180" i="4"/>
  <c r="L180" i="4" s="1"/>
  <c r="N180" i="4" s="1"/>
  <c r="P180" i="4" s="1"/>
  <c r="K348" i="4"/>
  <c r="L348" i="4" s="1"/>
  <c r="N348" i="4" s="1"/>
  <c r="P348" i="4" s="1"/>
  <c r="B16" i="5"/>
  <c r="K120" i="4"/>
  <c r="L120" i="4" s="1"/>
  <c r="N120" i="4" s="1"/>
  <c r="P120" i="4" s="1"/>
  <c r="K24" i="4"/>
  <c r="L24" i="4" s="1"/>
  <c r="N24" i="4" s="1"/>
  <c r="P24" i="4" s="1"/>
  <c r="K48" i="4"/>
  <c r="L48" i="4" s="1"/>
  <c r="N48" i="4" s="1"/>
  <c r="P48" i="4" s="1"/>
  <c r="K192" i="4"/>
  <c r="L192" i="4" s="1"/>
  <c r="N192" i="4" s="1"/>
  <c r="P192" i="4" s="1"/>
  <c r="K288" i="4"/>
  <c r="L288" i="4" s="1"/>
  <c r="N288" i="4" s="1"/>
  <c r="P288" i="4" s="1"/>
  <c r="K216" i="4"/>
  <c r="L216" i="4" s="1"/>
  <c r="N216" i="4" s="1"/>
  <c r="P216" i="4" s="1"/>
  <c r="K240" i="4"/>
  <c r="L240" i="4" s="1"/>
  <c r="N240" i="4" s="1"/>
  <c r="P240" i="4" s="1"/>
  <c r="K72" i="4"/>
  <c r="L72" i="4" s="1"/>
  <c r="N72" i="4" s="1"/>
  <c r="P72" i="4" s="1"/>
  <c r="K264" i="4"/>
  <c r="L264" i="4" s="1"/>
  <c r="N264" i="4" s="1"/>
  <c r="P264" i="4" s="1"/>
  <c r="K96" i="4"/>
  <c r="L96" i="4" s="1"/>
  <c r="N96" i="4" s="1"/>
  <c r="P96" i="4" s="1"/>
  <c r="K233" i="4"/>
  <c r="L233" i="4" s="1"/>
  <c r="N233" i="4" s="1"/>
  <c r="P233" i="4" s="1"/>
  <c r="K305" i="4"/>
  <c r="L305" i="4" s="1"/>
  <c r="N305" i="4" s="1"/>
  <c r="P305" i="4" s="1"/>
  <c r="K281" i="4"/>
  <c r="L281" i="4" s="1"/>
  <c r="N281" i="4" s="1"/>
  <c r="P281" i="4" s="1"/>
  <c r="K113" i="4"/>
  <c r="L113" i="4" s="1"/>
  <c r="N113" i="4" s="1"/>
  <c r="P113" i="4" s="1"/>
  <c r="K89" i="4"/>
  <c r="L89" i="4" s="1"/>
  <c r="N89" i="4" s="1"/>
  <c r="P89" i="4" s="1"/>
  <c r="K257" i="4"/>
  <c r="L257" i="4" s="1"/>
  <c r="N257" i="4" s="1"/>
  <c r="P257" i="4" s="1"/>
  <c r="K209" i="4"/>
  <c r="L209" i="4" s="1"/>
  <c r="N209" i="4" s="1"/>
  <c r="P209" i="4" s="1"/>
  <c r="K41" i="4"/>
  <c r="L41" i="4" s="1"/>
  <c r="N41" i="4" s="1"/>
  <c r="P41" i="4" s="1"/>
  <c r="K65" i="4"/>
  <c r="L65" i="4" s="1"/>
  <c r="N65" i="4" s="1"/>
  <c r="P65" i="4" s="1"/>
  <c r="K137" i="4"/>
  <c r="L137" i="4" s="1"/>
  <c r="N137" i="4" s="1"/>
  <c r="P137" i="4" s="1"/>
  <c r="K172" i="4"/>
  <c r="L172" i="4" s="1"/>
  <c r="N172" i="4" s="1"/>
  <c r="P172" i="4" s="1"/>
  <c r="K340" i="4"/>
  <c r="L340" i="4" s="1"/>
  <c r="N340" i="4" s="1"/>
  <c r="P340" i="4" s="1"/>
  <c r="K324" i="4"/>
  <c r="L324" i="4" s="1"/>
  <c r="N324" i="4" s="1"/>
  <c r="P324" i="4" s="1"/>
  <c r="K156" i="4"/>
  <c r="L156" i="4" s="1"/>
  <c r="N156" i="4" s="1"/>
  <c r="P156" i="4" s="1"/>
  <c r="K261" i="4"/>
  <c r="L261" i="4" s="1"/>
  <c r="N261" i="4" s="1"/>
  <c r="P261" i="4" s="1"/>
  <c r="K93" i="4"/>
  <c r="L93" i="4" s="1"/>
  <c r="N93" i="4" s="1"/>
  <c r="P93" i="4" s="1"/>
  <c r="K309" i="4"/>
  <c r="L309" i="4" s="1"/>
  <c r="N309" i="4" s="1"/>
  <c r="P309" i="4" s="1"/>
  <c r="K69" i="4"/>
  <c r="L69" i="4" s="1"/>
  <c r="N69" i="4" s="1"/>
  <c r="P69" i="4" s="1"/>
  <c r="K285" i="4"/>
  <c r="L285" i="4" s="1"/>
  <c r="N285" i="4" s="1"/>
  <c r="P285" i="4" s="1"/>
  <c r="K213" i="4"/>
  <c r="L213" i="4" s="1"/>
  <c r="N213" i="4" s="1"/>
  <c r="P213" i="4" s="1"/>
  <c r="K45" i="4"/>
  <c r="L45" i="4" s="1"/>
  <c r="N45" i="4" s="1"/>
  <c r="P45" i="4" s="1"/>
  <c r="K117" i="4"/>
  <c r="L117" i="4" s="1"/>
  <c r="N117" i="4" s="1"/>
  <c r="P117" i="4" s="1"/>
  <c r="K237" i="4"/>
  <c r="L237" i="4" s="1"/>
  <c r="N237" i="4" s="1"/>
  <c r="P237" i="4" s="1"/>
  <c r="K141" i="4"/>
  <c r="L141" i="4" s="1"/>
  <c r="N141" i="4" s="1"/>
  <c r="P141" i="4" s="1"/>
  <c r="K160" i="4"/>
  <c r="L160" i="4" s="1"/>
  <c r="N160" i="4" s="1"/>
  <c r="P160" i="4" s="1"/>
  <c r="K328" i="4"/>
  <c r="L328" i="4" s="1"/>
  <c r="N328" i="4" s="1"/>
  <c r="P328" i="4" s="1"/>
  <c r="B370" i="4" l="1"/>
  <c r="E370" i="4" s="1"/>
  <c r="N190" i="4"/>
  <c r="P190" i="4" s="1"/>
  <c r="Q23" i="4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B31" i="5"/>
  <c r="C10" i="2"/>
  <c r="Q190" i="4" l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B359" i="4" l="1"/>
  <c r="C14" i="5" s="1"/>
  <c r="B413" i="4" l="1"/>
  <c r="B414" i="4" s="1"/>
  <c r="B360" i="4"/>
  <c r="B364" i="4" s="1"/>
  <c r="B367" i="4"/>
  <c r="B368" i="4" s="1"/>
  <c r="E14" i="5" s="1"/>
  <c r="B14" i="5" s="1"/>
  <c r="B33" i="5" l="1"/>
  <c r="B24" i="5"/>
  <c r="B25" i="5" s="1"/>
  <c r="B423" i="4" s="1"/>
  <c r="B424" i="4" s="1"/>
  <c r="B21" i="5"/>
  <c r="B34" i="5"/>
  <c r="B18" i="5"/>
  <c r="B363" i="4"/>
  <c r="B362" i="4"/>
  <c r="B365" i="4" s="1"/>
  <c r="B23" i="5" s="1"/>
  <c r="B361" i="4"/>
  <c r="B417" i="4" l="1"/>
  <c r="B30" i="5"/>
  <c r="B418" i="4"/>
  <c r="B419" i="4" s="1"/>
  <c r="B22" i="5"/>
  <c r="S23" i="4" l="1"/>
  <c r="S45" i="4"/>
  <c r="S67" i="4"/>
  <c r="S89" i="4"/>
  <c r="S111" i="4"/>
  <c r="S133" i="4"/>
  <c r="S155" i="4"/>
  <c r="S177" i="4"/>
  <c r="S199" i="4"/>
  <c r="S221" i="4"/>
  <c r="S243" i="4"/>
  <c r="S265" i="4"/>
  <c r="S287" i="4"/>
  <c r="S309" i="4"/>
  <c r="S331" i="4"/>
  <c r="S353" i="4"/>
  <c r="S51" i="4"/>
  <c r="S30" i="4"/>
  <c r="S96" i="4"/>
  <c r="S118" i="4"/>
  <c r="S140" i="4"/>
  <c r="S162" i="4"/>
  <c r="S184" i="4"/>
  <c r="S206" i="4"/>
  <c r="S228" i="4"/>
  <c r="S250" i="4"/>
  <c r="S272" i="4"/>
  <c r="S294" i="4"/>
  <c r="S316" i="4"/>
  <c r="S338" i="4"/>
  <c r="S53" i="4"/>
  <c r="S119" i="4"/>
  <c r="S141" i="4"/>
  <c r="S163" i="4"/>
  <c r="S185" i="4"/>
  <c r="S207" i="4"/>
  <c r="S229" i="4"/>
  <c r="S251" i="4"/>
  <c r="S273" i="4"/>
  <c r="S295" i="4"/>
  <c r="S54" i="4"/>
  <c r="S120" i="4"/>
  <c r="S142" i="4"/>
  <c r="S164" i="4"/>
  <c r="S186" i="4"/>
  <c r="S208" i="4"/>
  <c r="S230" i="4"/>
  <c r="S252" i="4"/>
  <c r="S274" i="4"/>
  <c r="S296" i="4"/>
  <c r="S340" i="4"/>
  <c r="S33" i="4"/>
  <c r="S121" i="4"/>
  <c r="S143" i="4"/>
  <c r="S165" i="4"/>
  <c r="S187" i="4"/>
  <c r="S209" i="4"/>
  <c r="S231" i="4"/>
  <c r="S253" i="4"/>
  <c r="S275" i="4"/>
  <c r="S297" i="4"/>
  <c r="S319" i="4"/>
  <c r="S341" i="4"/>
  <c r="S34" i="4"/>
  <c r="S144" i="4"/>
  <c r="S166" i="4"/>
  <c r="S188" i="4"/>
  <c r="S210" i="4"/>
  <c r="S232" i="4"/>
  <c r="S254" i="4"/>
  <c r="S276" i="4"/>
  <c r="S298" i="4"/>
  <c r="S320" i="4"/>
  <c r="S342" i="4"/>
  <c r="S35" i="4"/>
  <c r="S81" i="4"/>
  <c r="S82" i="4"/>
  <c r="S61" i="4"/>
  <c r="S127" i="4"/>
  <c r="S193" i="4"/>
  <c r="S259" i="4"/>
  <c r="S325" i="4"/>
  <c r="S84" i="4"/>
  <c r="S24" i="4"/>
  <c r="S46" i="4"/>
  <c r="S68" i="4"/>
  <c r="S90" i="4"/>
  <c r="S112" i="4"/>
  <c r="S134" i="4"/>
  <c r="S156" i="4"/>
  <c r="S178" i="4"/>
  <c r="S200" i="4"/>
  <c r="S222" i="4"/>
  <c r="S244" i="4"/>
  <c r="S266" i="4"/>
  <c r="S288" i="4"/>
  <c r="S310" i="4"/>
  <c r="S332" i="4"/>
  <c r="S354" i="4"/>
  <c r="S73" i="4"/>
  <c r="S97" i="4"/>
  <c r="S98" i="4"/>
  <c r="S99" i="4"/>
  <c r="S100" i="4"/>
  <c r="S101" i="4"/>
  <c r="S36" i="4"/>
  <c r="S80" i="4"/>
  <c r="S102" i="4"/>
  <c r="S146" i="4"/>
  <c r="S168" i="4"/>
  <c r="S212" i="4"/>
  <c r="S234" i="4"/>
  <c r="S278" i="4"/>
  <c r="S300" i="4"/>
  <c r="S344" i="4"/>
  <c r="S59" i="4"/>
  <c r="S103" i="4"/>
  <c r="S147" i="4"/>
  <c r="S169" i="4"/>
  <c r="S213" i="4"/>
  <c r="S235" i="4"/>
  <c r="S279" i="4"/>
  <c r="S323" i="4"/>
  <c r="S345" i="4"/>
  <c r="S60" i="4"/>
  <c r="S83" i="4"/>
  <c r="S105" i="4"/>
  <c r="S171" i="4"/>
  <c r="S237" i="4"/>
  <c r="S303" i="4"/>
  <c r="S40" i="4"/>
  <c r="S25" i="4"/>
  <c r="S47" i="4"/>
  <c r="S69" i="4"/>
  <c r="S91" i="4"/>
  <c r="S113" i="4"/>
  <c r="S135" i="4"/>
  <c r="S157" i="4"/>
  <c r="S179" i="4"/>
  <c r="S201" i="4"/>
  <c r="S223" i="4"/>
  <c r="S245" i="4"/>
  <c r="S267" i="4"/>
  <c r="S289" i="4"/>
  <c r="S311" i="4"/>
  <c r="S333" i="4"/>
  <c r="S355" i="4"/>
  <c r="S31" i="4"/>
  <c r="S317" i="4"/>
  <c r="S339" i="4"/>
  <c r="S32" i="4"/>
  <c r="S318" i="4"/>
  <c r="S77" i="4"/>
  <c r="S78" i="4"/>
  <c r="S79" i="4"/>
  <c r="S123" i="4"/>
  <c r="S145" i="4"/>
  <c r="S167" i="4"/>
  <c r="S189" i="4"/>
  <c r="S211" i="4"/>
  <c r="S233" i="4"/>
  <c r="S255" i="4"/>
  <c r="S277" i="4"/>
  <c r="S299" i="4"/>
  <c r="S321" i="4"/>
  <c r="S343" i="4"/>
  <c r="S58" i="4"/>
  <c r="S124" i="4"/>
  <c r="S190" i="4"/>
  <c r="S256" i="4"/>
  <c r="S322" i="4"/>
  <c r="S37" i="4"/>
  <c r="S125" i="4"/>
  <c r="S191" i="4"/>
  <c r="S257" i="4"/>
  <c r="S301" i="4"/>
  <c r="S38" i="4"/>
  <c r="S126" i="4"/>
  <c r="S148" i="4"/>
  <c r="S170" i="4"/>
  <c r="S192" i="4"/>
  <c r="S214" i="4"/>
  <c r="S236" i="4"/>
  <c r="S258" i="4"/>
  <c r="S280" i="4"/>
  <c r="S302" i="4"/>
  <c r="S324" i="4"/>
  <c r="S346" i="4"/>
  <c r="S39" i="4"/>
  <c r="S149" i="4"/>
  <c r="S215" i="4"/>
  <c r="S281" i="4"/>
  <c r="S347" i="4"/>
  <c r="S26" i="4"/>
  <c r="S48" i="4"/>
  <c r="S70" i="4"/>
  <c r="S92" i="4"/>
  <c r="S114" i="4"/>
  <c r="S136" i="4"/>
  <c r="S158" i="4"/>
  <c r="S180" i="4"/>
  <c r="S202" i="4"/>
  <c r="S224" i="4"/>
  <c r="S246" i="4"/>
  <c r="S268" i="4"/>
  <c r="S290" i="4"/>
  <c r="S312" i="4"/>
  <c r="S334" i="4"/>
  <c r="S356" i="4"/>
  <c r="S27" i="4"/>
  <c r="S49" i="4"/>
  <c r="S71" i="4"/>
  <c r="S93" i="4"/>
  <c r="S115" i="4"/>
  <c r="S137" i="4"/>
  <c r="S159" i="4"/>
  <c r="S181" i="4"/>
  <c r="S203" i="4"/>
  <c r="S225" i="4"/>
  <c r="S247" i="4"/>
  <c r="S269" i="4"/>
  <c r="S291" i="4"/>
  <c r="S313" i="4"/>
  <c r="S335" i="4"/>
  <c r="S357" i="4"/>
  <c r="S29" i="4"/>
  <c r="S95" i="4"/>
  <c r="S117" i="4"/>
  <c r="S139" i="4"/>
  <c r="S161" i="4"/>
  <c r="S183" i="4"/>
  <c r="S205" i="4"/>
  <c r="S227" i="4"/>
  <c r="S249" i="4"/>
  <c r="S271" i="4"/>
  <c r="S293" i="4"/>
  <c r="S315" i="4"/>
  <c r="S337" i="4"/>
  <c r="S74" i="4"/>
  <c r="S75" i="4"/>
  <c r="S76" i="4"/>
  <c r="S55" i="4"/>
  <c r="S56" i="4"/>
  <c r="S28" i="4"/>
  <c r="S50" i="4"/>
  <c r="S72" i="4"/>
  <c r="S94" i="4"/>
  <c r="S116" i="4"/>
  <c r="S138" i="4"/>
  <c r="S160" i="4"/>
  <c r="S182" i="4"/>
  <c r="S204" i="4"/>
  <c r="S226" i="4"/>
  <c r="S248" i="4"/>
  <c r="S270" i="4"/>
  <c r="S292" i="4"/>
  <c r="S314" i="4"/>
  <c r="S336" i="4"/>
  <c r="S22" i="4"/>
  <c r="S52" i="4"/>
  <c r="S122" i="4"/>
  <c r="S104" i="4"/>
  <c r="S41" i="4"/>
  <c r="S131" i="4"/>
  <c r="S238" i="4"/>
  <c r="S328" i="4"/>
  <c r="S42" i="4"/>
  <c r="S132" i="4"/>
  <c r="S239" i="4"/>
  <c r="S329" i="4"/>
  <c r="S43" i="4"/>
  <c r="S150" i="4"/>
  <c r="S240" i="4"/>
  <c r="S330" i="4"/>
  <c r="S174" i="4"/>
  <c r="S85" i="4"/>
  <c r="S176" i="4"/>
  <c r="S194" i="4"/>
  <c r="S195" i="4"/>
  <c r="S196" i="4"/>
  <c r="S44" i="4"/>
  <c r="S151" i="4"/>
  <c r="S241" i="4"/>
  <c r="S348" i="4"/>
  <c r="S263" i="4"/>
  <c r="S57" i="4"/>
  <c r="S152" i="4"/>
  <c r="S242" i="4"/>
  <c r="S349" i="4"/>
  <c r="S264" i="4"/>
  <c r="S175" i="4"/>
  <c r="S86" i="4"/>
  <c r="S87" i="4"/>
  <c r="S285" i="4"/>
  <c r="S286" i="4"/>
  <c r="S62" i="4"/>
  <c r="S153" i="4"/>
  <c r="S260" i="4"/>
  <c r="S350" i="4"/>
  <c r="S66" i="4"/>
  <c r="S282" i="4"/>
  <c r="S283" i="4"/>
  <c r="S284" i="4"/>
  <c r="S88" i="4"/>
  <c r="S106" i="4"/>
  <c r="S63" i="4"/>
  <c r="S154" i="4"/>
  <c r="S261" i="4"/>
  <c r="S351" i="4"/>
  <c r="S173" i="4"/>
  <c r="S64" i="4"/>
  <c r="S172" i="4"/>
  <c r="S262" i="4"/>
  <c r="S352" i="4"/>
  <c r="S65" i="4"/>
  <c r="S107" i="4"/>
  <c r="S197" i="4"/>
  <c r="S304" i="4"/>
  <c r="S108" i="4"/>
  <c r="S198" i="4"/>
  <c r="S305" i="4"/>
  <c r="S109" i="4"/>
  <c r="S216" i="4"/>
  <c r="S306" i="4"/>
  <c r="S110" i="4"/>
  <c r="S217" i="4"/>
  <c r="S307" i="4"/>
  <c r="S128" i="4"/>
  <c r="S218" i="4"/>
  <c r="S308" i="4"/>
  <c r="S129" i="4"/>
  <c r="S219" i="4"/>
  <c r="S326" i="4"/>
  <c r="S130" i="4"/>
  <c r="S220" i="4"/>
  <c r="S327" i="4"/>
  <c r="B420" i="4" l="1"/>
  <c r="B421" i="4" l="1"/>
  <c r="D27" i="5" s="1"/>
  <c r="B27" i="5"/>
  <c r="D57" i="5" l="1"/>
</calcChain>
</file>

<file path=xl/sharedStrings.xml><?xml version="1.0" encoding="utf-8"?>
<sst xmlns="http://schemas.openxmlformats.org/spreadsheetml/2006/main" count="761" uniqueCount="566">
  <si>
    <t>INEKON  |  Auslegung Trinkwarmwasser-Speicher (TWW)  —  Version 2.1.2</t>
  </si>
  <si>
    <t>Eingabeblatt — bitte nur die gelb hinterlegten Zellen (blaue Schrift) ausfüllen. Schwarze Zellen sind Formeln, grüne Zellen verweisen auf andere Blätter.</t>
  </si>
  <si>
    <t>1   Projektdaten</t>
  </si>
  <si>
    <t>Objektname</t>
  </si>
  <si>
    <t>Musterprojekt Beispielstraße 1</t>
  </si>
  <si>
    <t>Bearbeiter</t>
  </si>
  <si>
    <t>INEKON</t>
  </si>
  <si>
    <t>Datum</t>
  </si>
  <si>
    <t>2   Gebäude / Nutzung</t>
  </si>
  <si>
    <t>Nutzungstyp</t>
  </si>
  <si>
    <t>MFH Wohnen</t>
  </si>
  <si>
    <t>Auswahl steuert Richtwert und Standard-Zapfprofil</t>
  </si>
  <si>
    <t>Anzahl Einheiten</t>
  </si>
  <si>
    <t>WE / Zimmer / Betten / Pers.</t>
  </si>
  <si>
    <t>neutrale Bezugsgröße je nach Nutzungstyp</t>
  </si>
  <si>
    <t>Personen je Einheit</t>
  </si>
  <si>
    <t>P/Einheit</t>
  </si>
  <si>
    <t>mittlere Belegung</t>
  </si>
  <si>
    <t>Personen gesamt</t>
  </si>
  <si>
    <t>P</t>
  </si>
  <si>
    <t>= Einheiten × Personen je Einheit</t>
  </si>
  <si>
    <t>3   Warmwasserbedarf</t>
  </si>
  <si>
    <t>Bedarfsermittlung</t>
  </si>
  <si>
    <t>auto</t>
  </si>
  <si>
    <t>auto / manuell</t>
  </si>
  <si>
    <t>'auto' übernimmt den Richtwert aus der Tabelle unten</t>
  </si>
  <si>
    <t>Richtwert lt. Tabelle</t>
  </si>
  <si>
    <t>l/(Einheit·d)</t>
  </si>
  <si>
    <t>Nachschlag über Nutzungstyp, auf die Einheit umgerechnet</t>
  </si>
  <si>
    <t>Manueller Wert</t>
  </si>
  <si>
    <t>wirkt nur bei Bedarfsermittlung = 'manuell'</t>
  </si>
  <si>
    <t>Angesetzter spez. Tagesbedarf</t>
  </si>
  <si>
    <t>maßgebender Wert für alle Berechnungen (bei 60 °C)</t>
  </si>
  <si>
    <t>4   Temperaturen</t>
  </si>
  <si>
    <t>Speichertemperatur T_Speicher</t>
  </si>
  <si>
    <t>°C</t>
  </si>
  <si>
    <t>Sollwert Speicheraustritt (DVGW W 551: ≥ 60 °C)</t>
  </si>
  <si>
    <t>Kaltwassertemperatur T_KW</t>
  </si>
  <si>
    <t>Jahresmittel Trinkwasser kalt</t>
  </si>
  <si>
    <t>Zapftemperatur (informativ)</t>
  </si>
  <si>
    <t>nur informativ — geht nicht in die Rechnung ein</t>
  </si>
  <si>
    <t>nutzbare Spreizung ΔT</t>
  </si>
  <si>
    <t>K</t>
  </si>
  <si>
    <t>= T_Speicher − T_KW</t>
  </si>
  <si>
    <t>5   Anlagentechnik / Sicherheiten</t>
  </si>
  <si>
    <t>WP-Ladeleistung P_lade (TWW-Betrieb)</t>
  </si>
  <si>
    <t>kW</t>
  </si>
  <si>
    <t>konstante Ladeleistung im Bilanzmodell — Wert aus Abschnitt 8 (Schätzhilfe)</t>
  </si>
  <si>
    <t>Umschalter und Rechenweg siehe Abschnitt 8 (Zeilen 62–68)</t>
  </si>
  <si>
    <t>Zirkulationsverlust</t>
  </si>
  <si>
    <t>Dauerlast rund um die Uhr; 0 = ohne Zirkulation — Wert aus Abschnitt 9</t>
  </si>
  <si>
    <t>Methodenwahl und Rechenweg siehe Abschnitt 9 (Zeilen 72–80)</t>
  </si>
  <si>
    <t>nutzbarer Speicheranteil f_nutz</t>
  </si>
  <si>
    <t>–</t>
  </si>
  <si>
    <t>Schichtung / Totvolumen; üblich 0,7 … 0,85</t>
  </si>
  <si>
    <t>Sicherheitszuschlag</t>
  </si>
  <si>
    <t>Bereitschafts-/Sicherheitszuschlag auf das Volumen (0,15 = 15 %)</t>
  </si>
  <si>
    <t>10–20 %; VDI 6002: Einzeltages-Stundenspitzen bis ~2× Profilwert — bei kleinen Anlagen eher 20 %</t>
  </si>
  <si>
    <t>6   Richtwerte spezifischer Warmwasserbedarf (anpassbar)</t>
  </si>
  <si>
    <t>Quelle: Zeilen 36–42 Richtwerte in Anlehnung an DIN V 18599-10 / VDI-Praxis. Zeilen 43–46 aus VDI 6002 Blatt 1 Anhang D bzw. VDI 6002 Blatt 2 Tabellen 2/4/5 (Jahresmittelwerte). Alle Werte beziehen sich auf 60 °C.</t>
  </si>
  <si>
    <t>Richtwert</t>
  </si>
  <si>
    <t>Bezug</t>
  </si>
  <si>
    <t>je Einheit·d (berechnet)</t>
  </si>
  <si>
    <t>Bemerkung</t>
  </si>
  <si>
    <t>Person</t>
  </si>
  <si>
    <t>Mehrfamilienhaus, Bad + Küche, 30–45 l/(P·d)</t>
  </si>
  <si>
    <t>EFH Wohnen</t>
  </si>
  <si>
    <t>Ein-/Zweifamilienhaus, 30–45 l/(P·d)</t>
  </si>
  <si>
    <t>Hotel</t>
  </si>
  <si>
    <t>Einheit</t>
  </si>
  <si>
    <t>je Zimmer/Nacht, mittlere Kategorie, 40–100 l/(Zi·d)</t>
  </si>
  <si>
    <t>Pflegeheim</t>
  </si>
  <si>
    <t>je Bett, inkl. Pflegebäder, 40–70 l/(Bett·d)</t>
  </si>
  <si>
    <t>Büro/Verwaltung</t>
  </si>
  <si>
    <t>Handwaschbecken, ohne Duschen, 5–12 l/(P·d)</t>
  </si>
  <si>
    <t>Sportstätte/Duschen</t>
  </si>
  <si>
    <t>je Duschender, 25–45 l/(P·d)</t>
  </si>
  <si>
    <t>Schule</t>
  </si>
  <si>
    <t>ohne Duschen; mit Sporthalle deutlich höher</t>
  </si>
  <si>
    <t>Wohnen groß (VDI 6002)</t>
  </si>
  <si>
    <t>VDI 6002 Bl. 1 Anh. D (ZfS/Solarthermie-2000): Mittel 28, Februar-Maximum 32, Schwachlast 22 l/(P·d) @ 60 °C</t>
  </si>
  <si>
    <t>Studentenwohnheim (VDI 6002-2)</t>
  </si>
  <si>
    <t>VDI 6002 Bl. 2 Tab. 2, je Vollbelegungsperson: Jahresmittel 34–45 (37); Winterspitze 45–55; Auslegung Sommerschwachlast 20 l/(vp·d)</t>
  </si>
  <si>
    <t>Seniorenheim (VDI 6002-2)</t>
  </si>
  <si>
    <t>VDI 6002 Bl. 2 Tab. 4, je Bett: Jahresmittel 34–50 (36); Winterspitze 38–53; Auslegung Sommerschwachlast 33 l/(vp·d)</t>
  </si>
  <si>
    <t>Krankenhaus (VDI 6002-2)</t>
  </si>
  <si>
    <t>VDI 6002 Bl. 2 Tab. 5, je Bett: Jahresmittel 35–55 (38); Winterspitze 40–60; Auslegung Sommerschwachlast 33 l/(vp·d)</t>
  </si>
  <si>
    <t>Legende:  gelbe Zelle mit blauer Schrift = Eingabe   |   schwarze Schrift = Formel   |   grüne Schrift = Verweis auf ein anderes Blatt</t>
  </si>
  <si>
    <t>Beispielzeile (Referenzfall): 30 Einheiten × 2,2 Personen, 35 l/(P·d), 60/10 °C, f_nutz 0,80, Zuschlag 15 %, P_lade 20 kW (manuell), Zirkulation 0 kW (manuell), N-Ermittlung vereinfacht.</t>
  </si>
  <si>
    <t>7   N-Ermittlung für DIN 4708</t>
  </si>
  <si>
    <t>Auswahllisten (nicht löschen)</t>
  </si>
  <si>
    <t>Umschalter: 'vereinfacht' rechnet N = Einheiten × Personen je Einheit / 3,5 (v = w = 1). 'DIN 4708-2 (Tabelle)' übernimmt N aus der Wohnungstypen-Tabelle des Blattes 'DIN 4708-2'; die Personenzahl für den Faustwert wird dann aus Σ(n · p) gebildet.</t>
  </si>
  <si>
    <t>vereinfacht (WE × Personen / 3,5)</t>
  </si>
  <si>
    <t>N-Ermittlung</t>
  </si>
  <si>
    <t>Umschalter</t>
  </si>
  <si>
    <t>steuert Abschnitt 3 des Blattes 'Berechnung'</t>
  </si>
  <si>
    <t>DIN 4708-2 (Tabelle)</t>
  </si>
  <si>
    <t>N vereinfacht</t>
  </si>
  <si>
    <t>= Einheiten × Personen je Einheit / 3,5</t>
  </si>
  <si>
    <t>N nach DIN 4708-2 (Tabelle)</t>
  </si>
  <si>
    <t>Σ n·p·(v·w_v) / (3,5 × 5820) — Blatt 'DIN 4708-2'</t>
  </si>
  <si>
    <t>manuell</t>
  </si>
  <si>
    <t>angesetzte Bedarfskennzahl N</t>
  </si>
  <si>
    <t>maßgebender Wert für das DIN-4708-Verfahren und den GLF-Faustwert</t>
  </si>
  <si>
    <t>Leitungslänge</t>
  </si>
  <si>
    <t>Kontrolle N-Vergleich</t>
  </si>
  <si>
    <t>Anteil am Tagesbedarf</t>
  </si>
  <si>
    <t>Personenzahl für Faustwerte</t>
  </si>
  <si>
    <t>bei Tabellenwahl Σ(n × p) aus dem Blatt 'DIN 4708-2', sonst Einheiten × Personen je Einheit</t>
  </si>
  <si>
    <t>8   Schätzhilfe WP-Ladeleistung P_lade</t>
  </si>
  <si>
    <t>Auto/manuell-Wahl wie beim Tagesbedarf: 'auto' übernimmt den Vorschlag aus Zeile 66 in die Zelle B28 (Abschnitt 5), 'manuell' den Wert aus Zeile 67.</t>
  </si>
  <si>
    <t>Ermittlung Ladeleistung</t>
  </si>
  <si>
    <t>'auto' übernimmt den Vorschlag aus Zeile 66</t>
  </si>
  <si>
    <t>verfügbares Ladezeitfenster</t>
  </si>
  <si>
    <t>h</t>
  </si>
  <si>
    <t>effektive TWW-Ladezeit der WP, Sperr-/Heizzeiten abziehen</t>
  </si>
  <si>
    <t>Tagesbedarf Zapfung (Mittel)</t>
  </si>
  <si>
    <t>kWh/d</t>
  </si>
  <si>
    <t>aus 'Berechnung' B9 = V_60 × (60 °C − T_KW) × 1,163 / 1000</t>
  </si>
  <si>
    <t>max. Tagesbedarf inkl. Zirkulation</t>
  </si>
  <si>
    <t>= Q_zapf,Mittel × 7 × höchster Wochenfaktor × Saisonfaktor + P_zirk × 24 h</t>
  </si>
  <si>
    <t>Vorschlag P_lade</t>
  </si>
  <si>
    <t>= max. Tagesbedarf inkl. Zirkulation / Ladezeitfenster</t>
  </si>
  <si>
    <t>manueller Wert P_lade</t>
  </si>
  <si>
    <t>wirkt nur bei Ermittlung = 'manuell'</t>
  </si>
  <si>
    <t>Rechenweg (Anzeige)</t>
  </si>
  <si>
    <t>9   Schätzhilfe Zirkulationsverlust P_zirk</t>
  </si>
  <si>
    <t>Methodenwahl steuert, welcher Wert in die Zelle B29 (Abschnitt 5) übernommen wird. Die Methode 'manuell' entspricht der direkten kW-Eingabe der Version 2.0.</t>
  </si>
  <si>
    <t>Methode Zirkulation</t>
  </si>
  <si>
    <t>Methodenwahl</t>
  </si>
  <si>
    <t>Leitungslänge / Anteil am Tagesbedarf / manuell</t>
  </si>
  <si>
    <t>Leitungslänge (Vor- + Rücklauf)</t>
  </si>
  <si>
    <t>m</t>
  </si>
  <si>
    <t>nur bei Methode 'Leitungslänge'</t>
  </si>
  <si>
    <t>spez. Verlust je Meter</t>
  </si>
  <si>
    <t>W/m</t>
  </si>
  <si>
    <t>gedämmte Leitung 60 °C; üblich 7–15 W/m</t>
  </si>
  <si>
    <t>MFH-üblich 15–30 % des Tages-Zapfbedarfs</t>
  </si>
  <si>
    <t>manueller Wert P_zirk</t>
  </si>
  <si>
    <t>nur bei Methode 'manuell'</t>
  </si>
  <si>
    <t>Zwischenwert Leitungslänge</t>
  </si>
  <si>
    <t>= Länge × spez. Verlust / 1000</t>
  </si>
  <si>
    <t>Zwischenwert Anteil</t>
  </si>
  <si>
    <t>= Anteil × Tagesbedarf Zapfung / 24 h</t>
  </si>
  <si>
    <t>angesetzter Zirkulationsverlust</t>
  </si>
  <si>
    <t>wird in Zelle B29 (Abschnitt 5) übernommen</t>
  </si>
  <si>
    <t>Legende:  gelbe Zelle mit blauer Schrift = Eingabe   |   schwarze Schrift = Formel   |   grüne Schrift = Verweis auf ein anderes Blatt   |   hellblaue Zelle = angesetzter Wert, der weiterverwendet wird.</t>
  </si>
  <si>
    <t>Zapfprofile — drei Tagtypen je Nutzungstyp  (Version 2.1.2)</t>
  </si>
  <si>
    <t>Profilbibliothek (Richtwerte, anpassbar). Jede Tagtyp-Spalte muss in der Summe 100 % ergeben. Die Spalten "Benutzerdefiniert" sind frei editierbar.</t>
  </si>
  <si>
    <t>1   Profilauswahl, Saisonfaktor und Kontrollen</t>
  </si>
  <si>
    <t>Profilauswahl (Dropdown)</t>
  </si>
  <si>
    <t>(automatisch)</t>
  </si>
  <si>
    <t>'(automatisch)' folgt dem Nutzungstyp aus 'Eingaben'</t>
  </si>
  <si>
    <t>Nutzungstyp lt. Blatt 'Eingaben'</t>
  </si>
  <si>
    <t>verwendetes Profil</t>
  </si>
  <si>
    <t>steuert die Spalten 'Aktives Profil'</t>
  </si>
  <si>
    <t>Saisonfaktor (Eingabe)</t>
  </si>
  <si>
    <t>Default 1,0. Hinweis: Februar-Maximum Wohnen = 1,14 nach VDI 6002 Bild D1 (32 statt 28 l/(P·d)); Schwachlast ≈ 0,79.</t>
  </si>
  <si>
    <t>Spaltenindex Bibliothek (Hilfsgröße)</t>
  </si>
  <si>
    <t>Position der ersten Spalte des gewählten Nutzungstyps im Block B:AK</t>
  </si>
  <si>
    <t>Summenkontrolle Tagesprofil Werktag</t>
  </si>
  <si>
    <t>muss 100,0 % ergeben</t>
  </si>
  <si>
    <t>Summenkontrolle Tagesprofil Samstag</t>
  </si>
  <si>
    <t>Summenkontrolle Tagesprofil Sonntag</t>
  </si>
  <si>
    <t>Summenkontrolle Wochenfaktoren</t>
  </si>
  <si>
    <t>2   Profilbibliothek — Anteil des Tagesbedarfs je Stunde (Werktag / Samstag / Sonntag je Nutzungstyp)</t>
  </si>
  <si>
    <t>Nutzungstyp →</t>
  </si>
  <si>
    <t>Benutzerdefiniert</t>
  </si>
  <si>
    <t>Aktives Profil</t>
  </si>
  <si>
    <t>Stunde</t>
  </si>
  <si>
    <t>Werktag</t>
  </si>
  <si>
    <t>Samstag</t>
  </si>
  <si>
    <t>Sonntag</t>
  </si>
  <si>
    <t>Summe</t>
  </si>
  <si>
    <t>Quelle / Herleitung</t>
  </si>
  <si>
    <t>VDI 6002 Blatt 1, Anhang D, Bilder D2/D3/D4 und D1 (Quelle ZfS/Solarthermie-2000, große Wohngebäude &gt; 100 Bewohner). Sonntag: Original-Summe 99,9 % (Rundung) — alle Stundenwerte mit 100/99,9 skaliert. Kennwerte: Mittel 28, Max Februar 32, Schwachlast 22 l/(P·d) bei 60 °C.</t>
  </si>
  <si>
    <t>VDI 6002 Blatt 2, Tabelle 3 (Stundenwerte) und Bild 3 (Wochenprofil, differenzierte Balken Mo–Fr). Werktagsspalte = Spalte "Dienstag bis Donnerstag" — die Richtlinie lässt diese ausdrücklich für Mo–Fr zu, wenn keine Tagesdifferenzierung möglich ist. Eigenprofile für Mo und Fr siehe Referenztabelle unten.</t>
  </si>
  <si>
    <t>VDI 6002 Blatt 2, Bild 8 (Mo–Fr), Bild 9 (Sa und So — die Richtlinie gibt für Sa und So ausdrücklich EIN gemeinsames Profil an) sowie Bild 7 (Wochenprofil). Balkenwerte aus den Diagrammen abgelesen; jede Spalte summiert exakt zu 100,0 %.</t>
  </si>
  <si>
    <t>VDI 6002 Blatt 2, Bild 10 — "alle Wochentage gleich", deshalb sind alle drei Tagtypspalten identisch besetzt. Wochenprofil nach Abschnitt 6.3.3: entspricht dem der Seniorenheime (Bild 7). Balkenwerte abgelesen; Summe exakt 100,0 %.</t>
  </si>
  <si>
    <t>Werktag: Bestandsprofil Version 1.0 (typisierter Tagesgang). Sa/So: Morgenspitze später und flacher, Vormittags-/Mittagsmaximum. Wochenfaktoren in Anlehnung an VDI 6002 Blatt 1 Anhang D.</t>
  </si>
  <si>
    <t>Werktag: Bestandsprofil Version 1.0. Sa/So: Zapfung deutlich später, ausgeprägtes Vormittagsmaximum, höherer Wochenendanteil.</t>
  </si>
  <si>
    <t>Werktag: Bestandsprofil Version 1.0. Sa/So: Frühstücksspitze 1–2 h später, Wochenendbelegung leicht höher (Wochenfaktor 16 %).</t>
  </si>
  <si>
    <t>Werktag: Bestandsprofil Version 1.0. Sa/So: Morgenspitze weniger ausgeprägt (Charakteristik analog VDI 6002 Blatt 2, Bild 9), Sa = So. Für belastbare Werte den VDI-Typ "Seniorenheim (VDI 6002-2)" verwenden.</t>
  </si>
  <si>
    <t>Werktag: Bestandsprofil Version 1.0. Sa/So: nahe null — der Wochenfaktor von je 2,5 % bildet die Grundlast (Reinigung, Einzelnutzer) ab; die Tagesform ist bewusst flach gehalten.</t>
  </si>
  <si>
    <t>Werktag: Bestandsprofil Version 1.0 (Abendspitze). Sa/So: Wettkampf-/Turnierbetrieb — Spitzen am Vormittag und Nachmittag, Wochenendanteil deutlich erhöht (Sa 19 %, So 16 %).</t>
  </si>
  <si>
    <t>Werktag: Bestandsprofil Version 1.0. Sa/So: nahe null — je 1,5 % Wochenfaktor als Grundlast (Vereins-/Hallennutzung, Reinigung).</t>
  </si>
  <si>
    <t>Frei editierbar. Startwerte = MFH Wohnen. Hier gemessene Profile des konkreten Objekts eintragen (Stundenwerte und Wochenfaktoren).</t>
  </si>
  <si>
    <t>folgt der Auswahl in B7</t>
  </si>
  <si>
    <t>Status</t>
  </si>
  <si>
    <t>VDI-Wert (digitalisiert, Tabellenwerte)</t>
  </si>
  <si>
    <t>VDI-Wert (Tabelle 3) / Wochenprofil aus Bild 3 abgelesen</t>
  </si>
  <si>
    <t>abgelesen (Bild 7/8/9, Blatt 2); Sa = So laut Richtlinie</t>
  </si>
  <si>
    <t>abgelesen (Bild 10, Blatt 2); alle Tage gleich</t>
  </si>
  <si>
    <t>generisch, anpassbar</t>
  </si>
  <si>
    <t>Eingabe — frei editierbar</t>
  </si>
  <si>
    <t>—</t>
  </si>
  <si>
    <t>3   Wochenfaktoren — Anteil des Wochentags am Wochenbedarf (Σ je Zeile = 100 %)</t>
  </si>
  <si>
    <t>Mo</t>
  </si>
  <si>
    <t>Di</t>
  </si>
  <si>
    <t>Mi</t>
  </si>
  <si>
    <t>Do</t>
  </si>
  <si>
    <t>Fr</t>
  </si>
  <si>
    <t>Sa</t>
  </si>
  <si>
    <t>So</t>
  </si>
  <si>
    <t>Σ</t>
  </si>
  <si>
    <t>Quelle</t>
  </si>
  <si>
    <t>VDI 6002 Bl. 1, Bild D1/Anh. D</t>
  </si>
  <si>
    <t>VDI 6002 Bl. 2, Bild 3 (abgelesen)</t>
  </si>
  <si>
    <t>VDI 6002 Bl. 2, Bild 7 (abgelesen)</t>
  </si>
  <si>
    <t>VDI 6002 Bl. 2, Abschn. 6.3.3 → wie Bild 7</t>
  </si>
  <si>
    <t>Aktiv (verwendetes Profil)</t>
  </si>
  <si>
    <t>Zeile, die das Blatt 'Berechnung' auswertet</t>
  </si>
  <si>
    <t>4   Referenz (nur informativ) — VDI 6002 Blatt 2, Tabelle 3: Studentenwohnheime, alle fünf Tagtypen</t>
  </si>
  <si>
    <t>Die Bibliothek oben führt nur drei Tagtypen. Die Richtlinie erlaubt ausdrücklich, für Mo–Fr das Profil "Dienstag bis Donnerstag" zu verwenden; die Sonderprofile für Montag und Freitag stehen hier zum manuellen Übertragen in die Benutzerdefiniert-Spalten.</t>
  </si>
  <si>
    <t>Montag</t>
  </si>
  <si>
    <t>Di. bis Do.</t>
  </si>
  <si>
    <t>Freitag</t>
  </si>
  <si>
    <t>Sonn-/Feiertag</t>
  </si>
  <si>
    <t>Hinweise:  (1) Die mit "abgelesen" gekennzeichneten Profile stammen aus den beschrifteten Balkendiagrammen der VDI 6002 Blatt 2 — die %-Werte sind an den Balken angeschrieben; jede abgelesene Spalte summiert exakt zu 100,0 %. (2) Generische Profile sind typisierte Richtwerte, keine Messwerte — für ein konkretes Objekt gemessene Profile in den Spalten "Benutzerdefiniert" hinterlegen.  (3) Hallenbad- und Campingprofile der VDI 6002 Blatt 2 sind bewusst nicht aufgenommen.</t>
  </si>
  <si>
    <t>DIN 4708-2 — Bedarfskennzahl N aus Wohnungstypen  (Version 2.1.2)</t>
  </si>
  <si>
    <t>Ermittelt die Bedarfskennzahl N aus Wohnungsanzahl, Zimmerzahl (→ Belegungszahl p) und der maßgebenden Zapfstellen-Ausstattung (→ Wärmebedarf w_v). Wirksam wird das Blatt nur, wenn auf dem Blatt 'Eingaben' (Abschnitt 7) die N-Ermittlung auf "DIN 4708-2 (Tabelle)" steht.</t>
  </si>
  <si>
    <t>1   Wohnungstypen — bis 10 Zeilen</t>
  </si>
  <si>
    <t>N = Σ [ n · p · (v · w_v) ] / (p_b · w_b)   mit p_b = 3,5 Personen und w_b = 5820 Wh der Einheitswohnung nach DIN 4708-1. v = Anzahl gleichwertiger Zapfstellen der Wohnung (Regelfall v = 1: nach Norm zählt i. d. R. nur die größte Zapfstelle je Wohnung).</t>
  </si>
  <si>
    <t>Gelb = Eingabe. Spalte "p manuell" leer lassen, um die Belegungszahl aus der Nachschlagetabelle (Abschnitt 2) zu übernehmen; ein Eintrag überschreibt sie.</t>
  </si>
  <si>
    <t>Nr.</t>
  </si>
  <si>
    <t>Anzahl
Wohnungen n</t>
  </si>
  <si>
    <t>Zimmer-
zahl r</t>
  </si>
  <si>
    <t>p aus
Tabelle</t>
  </si>
  <si>
    <t>p manuell
(überschreibt)</t>
  </si>
  <si>
    <t>Belegungs-
zahl p</t>
  </si>
  <si>
    <t>Ausstattung
(maßgebende Zapfstelle)</t>
  </si>
  <si>
    <t>w_v [Wh]</t>
  </si>
  <si>
    <t>v [–]</t>
  </si>
  <si>
    <t>Personen
n · p</t>
  </si>
  <si>
    <t>Beitrag
n · p · (v · w_v) [Wh]</t>
  </si>
  <si>
    <t>Brause mit Mischbatterie</t>
  </si>
  <si>
    <t>Beispielzeile — bitte durch Projektdaten ersetzen</t>
  </si>
  <si>
    <t>Normalwanne (NB1, 1600 mm)</t>
  </si>
  <si>
    <t>Σ Wohnungen | Σ Personen | Σ Beiträge</t>
  </si>
  <si>
    <t>1b   Ergebnis der Tabelle</t>
  </si>
  <si>
    <t>Σ Beiträge Σ[n · p · (v · w_v)]</t>
  </si>
  <si>
    <t>Wh</t>
  </si>
  <si>
    <t>= Summe der Spalte K</t>
  </si>
  <si>
    <t>Einheitswohnung p_b</t>
  </si>
  <si>
    <t>aus 'Berechnung' B373 — DIN 4708-1</t>
  </si>
  <si>
    <t>Einheitswohnung w_b</t>
  </si>
  <si>
    <t>aus 'Berechnung' B376 — DIN 4708-1</t>
  </si>
  <si>
    <t>Bezugswert p_b · w_b</t>
  </si>
  <si>
    <t>= 3,5 × 5820 = 20.370 Wh</t>
  </si>
  <si>
    <t>Bedarfskennzahl N (DIN 4708-2)</t>
  </si>
  <si>
    <t>= Σ Beiträge / (p_b · w_b)</t>
  </si>
  <si>
    <t>Σ Wohnungen Σn</t>
  </si>
  <si>
    <t>WE</t>
  </si>
  <si>
    <t>= Summe Spalte B</t>
  </si>
  <si>
    <t>Σ Personen Σ(n · p)</t>
  </si>
  <si>
    <t>Bezugsgröße für den GLF-Faustwert bei Tabellenwahl</t>
  </si>
  <si>
    <t>mittlere Belegung Σ(n·p)/Σn</t>
  </si>
  <si>
    <t>P/WE</t>
  </si>
  <si>
    <t>= Personen gesamt / Wohnungen gesamt</t>
  </si>
  <si>
    <t>Kontrolle Tabelle</t>
  </si>
  <si>
    <t>Handrechnung zur Kontrolle</t>
  </si>
  <si>
    <t>Beispiel 20 × 2-Zi. (Brause) + 10 × 4-Zi. (NB1):  N = [20 · 2,0 · 3660 + 10 · 3,5 · 5820] / (3,5 · 5820) = 350.100 / 20.370 = 17,19</t>
  </si>
  <si>
    <t>2   Nachschlagetabelle Belegungszahl p über Zimmerzahl r  (editierbar)</t>
  </si>
  <si>
    <t>Werte nach Sekundärliteratur zu DIN 4708-2 (z. B. Recknagel) — vor Verwendung gegen den Normtext prüfen</t>
  </si>
  <si>
    <t>Zimmerzahl r</t>
  </si>
  <si>
    <t>Belegungszahl p</t>
  </si>
  <si>
    <t>Zuordnung</t>
  </si>
  <si>
    <t>1 Zi.</t>
  </si>
  <si>
    <t>Aufsteigend sortiert halten — die Zuordnung erfolgt über MATCH(...;1) und übernimmt bei Zwischenwerten die nächstkleinere Zeile; r &gt; 7 → p = 5,6.</t>
  </si>
  <si>
    <t>1,5 Zi.</t>
  </si>
  <si>
    <t>2 Zi.</t>
  </si>
  <si>
    <t>2,5 Zi.</t>
  </si>
  <si>
    <t>3 Zi.</t>
  </si>
  <si>
    <t>3,5 Zi.</t>
  </si>
  <si>
    <t>4 Zi. = Einheitswohnung</t>
  </si>
  <si>
    <t>4,5 Zi.</t>
  </si>
  <si>
    <t>5 Zi.</t>
  </si>
  <si>
    <t>5,5 Zi.</t>
  </si>
  <si>
    <t>6 Zi.</t>
  </si>
  <si>
    <t>6,5 Zi.</t>
  </si>
  <si>
    <t>7 Zi. und größer</t>
  </si>
  <si>
    <t>3   Nachschlagetabelle Zapfstellen-Ausstattung — Wärmebedarf w_v je Belegungsperson (v = 1)  (editierbar)</t>
  </si>
  <si>
    <t>Ausstattung</t>
  </si>
  <si>
    <t>Bezugszapfstelle der Einheitswohnung</t>
  </si>
  <si>
    <t>Kleinwanne (KB, 1200 mm)</t>
  </si>
  <si>
    <t>kurze Wanne</t>
  </si>
  <si>
    <t>Dusche ohne Wanne</t>
  </si>
  <si>
    <t>Großwanne (GB, 1800 mm)</t>
  </si>
  <si>
    <t>große Wanne</t>
  </si>
  <si>
    <t>Wanne + separate Brause</t>
  </si>
  <si>
    <t>maßgebende Zapfstelle = Wanne; nach Norm zählt i. d. R. nur die größte Zapfstelle je Wohnung</t>
  </si>
  <si>
    <t>Hinweis: Werden für eine Wohnung mehrere gleichwertige Zapfstellen angesetzt, ist dies über die Spalte v (Anzahl Zapfstellen) abzubilden. Nach DIN 4708-2 ist im Regelfall nur die größte Zapfstelle je Wohnung maßgebend (v = 1).</t>
  </si>
  <si>
    <t>Berechnung — drei Verfahren  (Version 2.1.2)</t>
  </si>
  <si>
    <t>Rechenblatt. Alle Eingangsgrößen stammen aus den Blättern 'Eingaben' und 'Zapfprofil'.</t>
  </si>
  <si>
    <t>1   Grundwerte</t>
  </si>
  <si>
    <t>Personen gesamt (maßgebend)</t>
  </si>
  <si>
    <t>aus 'Eingaben' B58 — bei DIN-4708-2-Wahl Σ(n × p)</t>
  </si>
  <si>
    <t>spez. Tagesbedarf (angesetzt)</t>
  </si>
  <si>
    <t>bei 60 °C</t>
  </si>
  <si>
    <t>Tagesbedarf Volumen V_60</t>
  </si>
  <si>
    <t>l/d</t>
  </si>
  <si>
    <t>= Einheiten × spez. Tagesbedarf</t>
  </si>
  <si>
    <t>Bezugstemperatur der Richtwerte</t>
  </si>
  <si>
    <t>Konstante: Richtwerte sind auf 60 °C bezogen</t>
  </si>
  <si>
    <t>Temperaturhub Zapfung</t>
  </si>
  <si>
    <t>= Bezugstemperatur − T_KW</t>
  </si>
  <si>
    <t>Tagesbedarf Zapfung Q_zapf</t>
  </si>
  <si>
    <t>= V_60 × ΔT × 1,163 Wh/(l·K) / 1000</t>
  </si>
  <si>
    <t>Zirkulationsverluste je Tag</t>
  </si>
  <si>
    <t>= Zirkulationsleistung × 24 h</t>
  </si>
  <si>
    <t>Tagesbedarf gesamt</t>
  </si>
  <si>
    <t>Zapfung + Zirkulation</t>
  </si>
  <si>
    <t>Ladeleistung P_lade</t>
  </si>
  <si>
    <t>konstant über 24 h</t>
  </si>
  <si>
    <t>Ladeenergie je Tag</t>
  </si>
  <si>
    <t>= P_lade × 24 h</t>
  </si>
  <si>
    <t>Plausibilität Ladeleistung</t>
  </si>
  <si>
    <t>rechnerische Mindest-Ladeleistung</t>
  </si>
  <si>
    <t>= Tagesbedarf / 24 h</t>
  </si>
  <si>
    <t>Saisonfaktor</t>
  </si>
  <si>
    <t>aus 'Zapfprofil' B8 — skaliert den gesamten Zapfbedarf</t>
  </si>
  <si>
    <t>Wochenbedarf Zapfung Q_woche</t>
  </si>
  <si>
    <t>kWh/Woche</t>
  </si>
  <si>
    <t>= 7 × mittlerer Tagesbedarf Zapfung (ohne Zirkulation, ohne Saisonfaktor)</t>
  </si>
  <si>
    <t>2   Profilbasiert — Stundenbilanz über 14 Tage (336 h, Mo–So × 2)</t>
  </si>
  <si>
    <t>Stundenbedarf(t) = Q_woche × Wochenfaktor(Wochentag) × Stundenanteil(Tagtyp) × Saisonfaktor + Zirkulationsleistung × 1 h.   Lindley-Rekursion: Defizit(t) = MAX(0; Defizit(t−1) + Bedarf(t) − P_lade·1 h). Das Maximum über alle 336 h ist das maßgebende Defizit D_max. Zwei identische Wochen stellen sicher, dass der Einschwingzustand keine Rolle spielt; maßgebend ist die zweite Woche (Tag 8–14).</t>
  </si>
  <si>
    <t>t</t>
  </si>
  <si>
    <t>Tag</t>
  </si>
  <si>
    <t>WT-Nr</t>
  </si>
  <si>
    <t>Wochen-
tag</t>
  </si>
  <si>
    <t>Tagtyp</t>
  </si>
  <si>
    <t>Wochen-
faktor</t>
  </si>
  <si>
    <t>Profil-
anteil</t>
  </si>
  <si>
    <t>Zapfbedarf
[kWh/h]</t>
  </si>
  <si>
    <t>Zirkulation
[kWh/h]</t>
  </si>
  <si>
    <t>Bedarf ges.
[kWh/h]</t>
  </si>
  <si>
    <t>Ladung
[kWh/h]</t>
  </si>
  <si>
    <t>Netto
[kWh/h]</t>
  </si>
  <si>
    <t>Defizit kum.
[kWh]</t>
  </si>
  <si>
    <t>Label</t>
  </si>
  <si>
    <t>Woche 1 (Einschwingen)</t>
  </si>
  <si>
    <t>Woche 2 — maßgebend (Tag 8–14)</t>
  </si>
  <si>
    <t>Maßgebendes Defizit D_max</t>
  </si>
  <si>
    <t>kWh</t>
  </si>
  <si>
    <t>Maximum der Spalte 'Defizit kum.' über 336 h</t>
  </si>
  <si>
    <t>Zeilenindex des Maximums (Hilfsgröße)</t>
  </si>
  <si>
    <t>erster Zeitpunkt mit D_max</t>
  </si>
  <si>
    <t>maßgebender Tag (1–14)</t>
  </si>
  <si>
    <t>maßgebender Wochentag</t>
  </si>
  <si>
    <t>Stunde des Maximums</t>
  </si>
  <si>
    <t>Uhr</t>
  </si>
  <si>
    <t>maßgebender Tagtyp</t>
  </si>
  <si>
    <t>Hinweis Wochenende</t>
  </si>
  <si>
    <t>nutzbares Volumen aus D_max</t>
  </si>
  <si>
    <t>l</t>
  </si>
  <si>
    <t>= D_max × 1000 / (1,163 × ΔT)</t>
  </si>
  <si>
    <t>V_profil (Bruttovolumen)</t>
  </si>
  <si>
    <t>= V_nutz / f_nutz × (1 + Zuschlag)</t>
  </si>
  <si>
    <t>Kontrolle: Zapfenergie Woche 2</t>
  </si>
  <si>
    <t>muss Q_woche × Saisonfaktor entsprechen</t>
  </si>
  <si>
    <t>3   DIN 4708 — Bedarfskennzahl N und Wärmebedarf der Zapfperiode W_z</t>
  </si>
  <si>
    <t>Personen je Einheitswohnung p</t>
  </si>
  <si>
    <t>DIN 4708: Einheitswohnung mit 3,5 Personen</t>
  </si>
  <si>
    <t>Bedarfskennzahl N</t>
  </si>
  <si>
    <t>aus 'Eingaben' B56 — vereinfacht (Einheiten × Personen / 3,5) oder DIN 4708-2 (Tabelle)</t>
  </si>
  <si>
    <t>Bedarfsdauer z</t>
  </si>
  <si>
    <t>1/6 h = 10 min (Badewannenfüllung)</t>
  </si>
  <si>
    <t>spez. Wärmebedarf W_b</t>
  </si>
  <si>
    <t>Einheitswohnung, DIN 4708</t>
  </si>
  <si>
    <t>u1</t>
  </si>
  <si>
    <t>= z × 0,244 × (1 + √N) / √N</t>
  </si>
  <si>
    <t>u2</t>
  </si>
  <si>
    <t>= z × 3,599 × (1 + √N) / √N</t>
  </si>
  <si>
    <t>K(u1)</t>
  </si>
  <si>
    <t>= WENN(u ≥ 1,81; 1; ERF(u))  — Gauß'sches Fehlerintegral</t>
  </si>
  <si>
    <t>K(u2)</t>
  </si>
  <si>
    <t>= WENN(u ≥ 1,81; 1; ERF(u))</t>
  </si>
  <si>
    <t>W_z(N)</t>
  </si>
  <si>
    <t>= W_b × (N × K(u1) + √N × K(u2))</t>
  </si>
  <si>
    <t>= W_z / 1000</t>
  </si>
  <si>
    <t>nutzbares Volumen aus W_z</t>
  </si>
  <si>
    <t>= W_z × 1000 / (1,163 × ΔT)</t>
  </si>
  <si>
    <t>V_DIN 4708 (Bruttovolumen)</t>
  </si>
  <si>
    <t>= V_nutz / f_nutz — ohne Sicherheitszuschlag (Norm enthält Reserven)</t>
  </si>
  <si>
    <t>4   Faustwert — 35 l/(Person·d) bei 60 °C</t>
  </si>
  <si>
    <t>Faustwert-Zapfmenge</t>
  </si>
  <si>
    <t>l/(P·d)</t>
  </si>
  <si>
    <t>bei 60 °C; DIN V 18599-10 / VDI-Praxis: 30–45 l/(P·d)</t>
  </si>
  <si>
    <t>Bezug Warmwasser</t>
  </si>
  <si>
    <t>Bezugstemperatur des Faustwerts</t>
  </si>
  <si>
    <t>Bezug Kaltwasser</t>
  </si>
  <si>
    <t>Zapfvolumen bei 60 °C</t>
  </si>
  <si>
    <t>= Personen gesamt × 35 l/(P·d)</t>
  </si>
  <si>
    <t>V_Faustwert (Bruttovolumen)</t>
  </si>
  <si>
    <t>= V_60 × (60 − 10) / ΔT × (1 + Zuschlag) — energiegleiche Umrechnung auf T_Speicher</t>
  </si>
  <si>
    <t>Hinweis: Der Faustwert unterstellt EINE Speicherladung je Tag (V ≈ Tagesbedarf) und wächst linear mit der Personenzahl. Bei größeren Anlagen mit mehreren Ladungen je Tag liegt er systematisch zu hoch.</t>
  </si>
  <si>
    <t>5   Faustwert mit Gleichzeitigkeit (GLF) — DIN-4708-Spitzenbedarf je Person, mit GLF(N) skaliert</t>
  </si>
  <si>
    <t>V_faust,GLF = Personen × V_spitze,p × GLF(N) × (1 + Zuschlag)   mit   V_spitze,p = W_z(1)/3,5 / (1,163 × ΔT) / f_nutz   und   GLF(N) = W_z(1) / W_z(N). W_z(1) ist der Zapfperioden-Wärmebedarf der Einheitswohnung (N = 1) nach DIN 4708 — identische ERF-Formeln wie in Abschnitt 3.</t>
  </si>
  <si>
    <t>Personenzahl (maßgebend)</t>
  </si>
  <si>
    <t>aus 'Eingaben' — bei DIN-4708-2-Wahl Σ(n × p)</t>
  </si>
  <si>
    <t>Bedarfskennzahl N (angesetzt)</t>
  </si>
  <si>
    <t>= N aus Abschnitt 3</t>
  </si>
  <si>
    <t>u1 für N = 1</t>
  </si>
  <si>
    <t>= z × 0,244 × (1 + √1) / √1</t>
  </si>
  <si>
    <t>u2 für N = 1</t>
  </si>
  <si>
    <t>= z × 3,599 × (1 + √1) / √1</t>
  </si>
  <si>
    <t>K(u1) für N = 1</t>
  </si>
  <si>
    <t>K(u2) für N = 1</t>
  </si>
  <si>
    <t>W_z(1) — Einheitswohnung</t>
  </si>
  <si>
    <t>= W_b × (1 × K(u1) + √1 × K(u2))</t>
  </si>
  <si>
    <t>Gleichzeitigkeitsfaktor GLF(N)</t>
  </si>
  <si>
    <t>= W_z(1) / W_z(N) — vgl. vendor/din4708.py, calc_GLF(N)</t>
  </si>
  <si>
    <t>GLF — Anzeige</t>
  </si>
  <si>
    <t>Gleichzeitigkeitsfaktor in Klammerschreibweise, z. B. GLF(18,9) = 0,24</t>
  </si>
  <si>
    <t>Spitzenbedarf je Person W_z(1)/3,5</t>
  </si>
  <si>
    <t>Wh/P</t>
  </si>
  <si>
    <t>= W_z(1) / p — p = 3,5 Personen der Einheitswohnung</t>
  </si>
  <si>
    <t>Spitzenvolumen je Person V_spitze,p</t>
  </si>
  <si>
    <t>l/P</t>
  </si>
  <si>
    <t>= W_z(1)/3,5 / (1,163 × ΔT) / f_nutz — Umrechnung in Liter bei T_Sp − T_KW</t>
  </si>
  <si>
    <t>nutzbares Volumen (vor Zuschlag)</t>
  </si>
  <si>
    <t>= Personen × V_spitze,p × GLF(N)</t>
  </si>
  <si>
    <t>V_Faustwert GLF (Bruttovolumen)</t>
  </si>
  <si>
    <t>= Personen × V_spitze,p × GLF(N) × (1 + Zuschlag)</t>
  </si>
  <si>
    <t>Hinweis: Der GLF-Faustwert ersetzt den nackten 35-l-Faustwert im Verfahrensvergleich. Er koppelt den personenbezogenen Spitzenbedarf der DIN 4708 an die Gleichzeitigkeit GLF(N) = W_z(1)/W_z(N) und wächst dadurch — anders als der klassische Faustwert — nicht linear mit der Personenzahl. Der klassische Faustwert (Abschnitt 4) bleibt nachrichtlich erhalten und geht NICHT in die Empfehlung ein.</t>
  </si>
  <si>
    <t>6   Hilfsgrößen für die Ergebnisdarstellung</t>
  </si>
  <si>
    <t>D_max (Zahl)</t>
  </si>
  <si>
    <t>numerische Hilfsgröße — Grundlage der WENN-Logik auf dem Blatt 'Ergebnis'</t>
  </si>
  <si>
    <t>Speicherbedarf profilbasiert vorhanden?</t>
  </si>
  <si>
    <t>0/1</t>
  </si>
  <si>
    <t>1 = D_max &gt; 0 (Verfahren maßgebend), 0 = Ladeleistung deckt jede Stundenlast</t>
  </si>
  <si>
    <t>Ergebnis — Speicherauslegung Trinkwarmwasser  (Version 2.1.2)</t>
  </si>
  <si>
    <t>Gegenüberstellung der drei Verfahren und Empfehlung.</t>
  </si>
  <si>
    <t>Objekt</t>
  </si>
  <si>
    <t>Umfang</t>
  </si>
  <si>
    <t>Zapfprofil</t>
  </si>
  <si>
    <t>1   Verfahrensvergleich</t>
  </si>
  <si>
    <t>Verfahren</t>
  </si>
  <si>
    <t>Volumen [l]</t>
  </si>
  <si>
    <t>Kennwert</t>
  </si>
  <si>
    <t>Methodik (Kurzfassung)</t>
  </si>
  <si>
    <t>Zahlwert [l] — Hilfsspalte für die Logik</t>
  </si>
  <si>
    <t>DIN 4708</t>
  </si>
  <si>
    <t>Bedarfskennzahl N, Wärmebedarf der Zapfperiode W_z(N) = 5820·[N·K(u1)+√N·K(u2)] Wh; V = W_z/(1,163·ΔT)/f_nutz (ohne Zuschlag).</t>
  </si>
  <si>
    <t>Profilbasiert</t>
  </si>
  <si>
    <t>Faustwert mit Gleichzeitigkeit (GLF)</t>
  </si>
  <si>
    <t>V = Personen × V_spitze,p × GLF(N) × (1 + Zuschlag);  V_spitze,p = W_z(1)/3,5 / (1,163·ΔT) / f_nutz;  GLF(N) = W_z(1)/W_z(N) nach DIN 4708.</t>
  </si>
  <si>
    <t>klassischer Faustwert (ohne GLF, 1 Ladung/Tag)</t>
  </si>
  <si>
    <t>NUR NACHRICHTLICH — geht nicht in die Empfehlung ein: 35 l/(Person·d) bei 60 °C, energiegleich auf T_Speicher umgerechnet, zzgl. Zuschlag. Unterstellt eine Speicherladung je Tag und wächst linear mit der Personenzahl.</t>
  </si>
  <si>
    <t>Gleichzeitigkeitsfaktor</t>
  </si>
  <si>
    <t>GLF(N) = W_z(1) / W_z(N) nach DIN 4708 — Verhältnis des Zapfperioden-Wärmebedarfs einer Einheitswohnung zu dem von N Einheitswohnungen.</t>
  </si>
  <si>
    <t>Hinweis profilbasiert</t>
  </si>
  <si>
    <t>2   Empfehlung</t>
  </si>
  <si>
    <t>Maßgebendes Verfahren</t>
  </si>
  <si>
    <t>Maximum der drei Verfahren in der Hilfsspalte E; der klassische Faustwert (Zeile 16) bleibt ausgeschlossen.</t>
  </si>
  <si>
    <t>maßgebender Tag (profilbasiert)</t>
  </si>
  <si>
    <t>Wochentag / Stunde des maximalen Speicherdefizits in der 336-h-Bilanz</t>
  </si>
  <si>
    <t>Maximum der Verfahren (ungerundet)</t>
  </si>
  <si>
    <t>Empfehlung — nächstgrößere marktübliche Größe</t>
  </si>
  <si>
    <t>Leistungskennzahl</t>
  </si>
  <si>
    <t>Speicherauswahl nach Herstellerangabe N_L</t>
  </si>
  <si>
    <t>3   Hinweise und Warnungen</t>
  </si>
  <si>
    <t>Legionellenschutz</t>
  </si>
  <si>
    <t>Ladeleistung</t>
  </si>
  <si>
    <t>Spitzentag</t>
  </si>
  <si>
    <t>klassischer Faustwert</t>
  </si>
  <si>
    <t>Speichertemperatur</t>
  </si>
  <si>
    <t>Schätzhilfen</t>
  </si>
  <si>
    <t>4   Nachschlagetabelle marktübliche Speichergrößen (anpassbar)</t>
  </si>
  <si>
    <t>Nenninhalt [l]</t>
  </si>
  <si>
    <t>Werte aufsteigend sortiert halten; oberhalb 10.000 l wird auf volle 1.000 l aufgerundet (Mehrspeicheranlage prüfen).</t>
  </si>
  <si>
    <t>Hilfe — Kurzanleitung, Methodik, Grenzen  (Version 2.1.2)</t>
  </si>
  <si>
    <t>1   Kurzanleitung</t>
  </si>
  <si>
    <t>1. Blatt 'Eingaben': Projektdaten, Nutzungstyp, Anzahl Einheiten und Personen je Einheit eintragen. Nur gelb hinterlegte Zellen (blaue Schrift) sind Eingaben.</t>
  </si>
  <si>
    <t>2. Spezifischen Tagesbedarf prüfen: 'auto' übernimmt den Richtwert der Tabelle unten auf demselben Blatt, 'manuell' verwendet den selbst eingetragenen Wert.</t>
  </si>
  <si>
    <t>3. Temperaturen, Ladeleistung, Zirkulation, nutzbaren Speicheranteil und Sicherheitszuschlag anpassen.</t>
  </si>
  <si>
    <t>4. Blatt 'Zapfprofil': Profil prüfen. '(automatisch)' folgt dem Nutzungstyp; alternativ ein anderes Profil oder 'Benutzerdefiniert' wählen. Je Nutzungstyp gibt es drei Tagtypen (Werktag / Samstag / Sonntag) und eine Zeile Wochenfaktoren. Alle vier Summenkontrollen müssen 100 % anzeigen.</t>
  </si>
  <si>
    <t>5. Optional den Saisonfaktor setzen (Default 1,00). Beispiel: Februar-Maximum bei Wohngebäuden = 1,14 (32 statt 28 l/(P·d) nach VDI 6002 Blatt 1, Bild D1); sommerliche Schwachlast ≈ 0,79.</t>
  </si>
  <si>
    <t>6. Optional Blatt 'DIN 4708-2': Wohnungstypen (Anzahl, Zimmerzahl, Ausstattung) eintragen und auf 'Eingaben' (Abschnitt 7) die N-Ermittlung auf "DIN 4708-2 (Tabelle)" umstellen. Die Kontrollzelle Eingaben!B57 zeigt beide N-Werte im Vergleich.</t>
  </si>
  <si>
    <t>7. Optional die Schätzhilfen auf 'Eingaben' nutzen: Abschnitt 8 schlägt die WP-Ladeleistung aus max. Tagesbedarf / Ladezeitfenster vor, Abschnitt 9 den Zirkulationsverlust über Leitungslänge, Anteil am Tagesbedarf oder direkte kW-Eingabe.</t>
  </si>
  <si>
    <t>8. Blatt 'Ergebnis': Verfahrensvergleich, maßgebender Tag, Empfehlung, Hinweise und Warnungen lesen. Das Blatt 'Berechnung' zeigt den vollständigen Rechenweg über 336 Stunden.   Die Datei enthält keine Makros; es ist kein Blattschutz gesetzt — alle Zellen und Tabellen (Richtwerte, Profile, Wochenfaktoren, Nachschlagetabellen DIN 4708-2, Speichergrößen) dürfen angepasst werden.</t>
  </si>
  <si>
    <t>2   Methodik (Kurzfassung)</t>
  </si>
  <si>
    <t>Verfahren 1 — DIN 4708 (Bedarfskennzahl):</t>
  </si>
  <si>
    <t>N = Einheiten × Personen je Einheit / 3,5        (Einheitswohnung: p = 3,5 Personen, v = w = 1)        — alternativ N nach DIN 4708-2, siehe Abschnitt 3</t>
  </si>
  <si>
    <t>u1 = 0,244 · z · (1 + √N) / √N        u2 = 3,599 · z · (1 + √N) / √N        mit z = 1/6 h (10 min)</t>
  </si>
  <si>
    <t>K(u) = WENN(u ≥ 1,81; 1; ERF(u))        (Gauß'sches Fehlerintegral)</t>
  </si>
  <si>
    <t>W_z(N) = 5820 Wh · [ N · K(u1) + √N · K(u2) ]</t>
  </si>
  <si>
    <t>V_DIN = W_z / (1,163 Wh/(l·K) · ΔT) / f_nutz        (ohne Sicherheitszuschlag — die Norm enthält Reserven)</t>
  </si>
  <si>
    <t>Verfahren 2 — profilbasiert (SOC-Defizit über 14 Tage):</t>
  </si>
  <si>
    <t>Q_woche = 7 × mittlerer Tagesbedarf Zapfung [kWh/Woche]</t>
  </si>
  <si>
    <t>Bedarf(t) = Q_woche × Wochenfaktor(Wochentag) × Stundenanteil(Tagtyp) × Saisonfaktor + Zirkulationsleistung × 1 h</t>
  </si>
  <si>
    <t>Tagtyp: Mo–Fr → Werktagsprofil, Sa → Samstagsprofil, So → Sonntagsprofil (Wochenfaktoren: Σ Mo…So = 100 %)</t>
  </si>
  <si>
    <t>Defizit(t) = MAX(0 ; Defizit(t−1) + Bedarf(t) − P_lade · 1 h)        (Lindley-Rekursion)</t>
  </si>
  <si>
    <t>D_max = MAX über 336 h (14 Tage, Mo–So × 2 — der Einschwingzustand spielt damit keine Rolle; maßgebend ist die zweite Woche)</t>
  </si>
  <si>
    <t>V_profil = D_max · 1000 / (1,163 · ΔT) / f_nutz × (1 + Sicherheitszuschlag)</t>
  </si>
  <si>
    <t>Verfahren 3 — Faustwert mit Gleichzeitigkeit (GLF), maßgebend im Vergleich:</t>
  </si>
  <si>
    <t>W_z(1) = 5820 Wh · [ 1 · K(u1) + 1 · K(u2) ]        mit u1 = 0,244 · z · 2, u2 = 3,599 · z · 2 und z = 1/6 h   →   W_z(1) ≈ 5831 Wh</t>
  </si>
  <si>
    <t>GLF(N) = W_z(1) / W_z(N)        (Gleichzeitigkeitsfaktor; identisch zu calc_GLF(N) in vendor/din4708.py)</t>
  </si>
  <si>
    <t>V_spitze,p = W_z(1) / 3,5 / (1,163 Wh/(l·K) · ΔT) / f_nutz        (Spitzenbedarf je Person der Einheitswohnung, in Liter bei T_Speicher)</t>
  </si>
  <si>
    <t>V_Faust,GLF = Personen × V_spitze,p × GLF(N) × (1 + Sicherheitszuschlag)</t>
  </si>
  <si>
    <t>Der GLF-Faustwert wächst — anders als der klassische Faustwert — nicht linear mit der Personenzahl, weil GLF(N) mit steigendem N fällt.</t>
  </si>
  <si>
    <t>nachrichtlich — klassischer Faustwert (ohne GLF, 1 Ladung/Tag):</t>
  </si>
  <si>
    <t>V_Faust,klassisch = Personen × 35 l/(P·d) × (60 − 10) / ΔT × (1 + Sicherheitszuschlag).  Er wird auf dem Blatt 'Ergebnis' nur noch als Info-Zeile ausgewiesen und geht seit Version 2.1 NICHT mehr in die Empfehlungs-Max-Bildung ein.</t>
  </si>
  <si>
    <t>Energie ↔ Volumen: c_W = 1,163 Wh/(l·K);  ΔT = T_Speicher − T_KW.</t>
  </si>
  <si>
    <t>Empfehlung = nächstgrößere marktübliche Speichergröße oberhalb des Maximums aus DIN 4708, profilbasiertem Verfahren und GLF-Faustwert.</t>
  </si>
  <si>
    <t>3   Bedarfskennzahl N nach DIN 4708-2 (Blatt 'DIN 4708-2')</t>
  </si>
  <si>
    <t>Auf dem Blatt 'Eingaben' (Abschnitt 7) schaltet die Zelle B53 zwischen zwei Wegen um:</t>
  </si>
  <si>
    <t>• "vereinfacht (WE × Personen / 3,5)" — N = Einheiten × Personen je Einheit / 3,5, mit v = w = 1 (Verhalten der Version 2.0).</t>
  </si>
  <si>
    <t>• "DIN 4708-2 (Tabelle)" — N wird aus der Wohnungstypen-Tabelle übernommen: N = Σ [ n · p · (v · w_v) ] / (p_b · w_b) mit p_b = 3,5 und w_b = 5820 Wh.</t>
  </si>
  <si>
    <t xml:space="preserve">   n = Anzahl gleicher Wohnungen, r = Zimmerzahl, p = Belegungszahl (Nachschlagetabelle über r, manuell überschreibbar), w_v = Wärmebedarf der maßgebenden Zapfstelle, v = Anzahl gleichwertiger Zapfstellen (Regelfall 1).</t>
  </si>
  <si>
    <t xml:space="preserve">   Bei Tabellenwahl wird zusätzlich die Personenzahl für den GLF-Faustwert aus Σ(n · p) gebildet. Die Kontrollzelle Eingaben!B57 stellt beide N-Werte gegenüber.</t>
  </si>
  <si>
    <t xml:space="preserve">   PRÜF-DISCLAIMER: Die beiden Nachschlagetabellen (Belegungszahl p über Zimmerzahl r; Wärmebedarf w_v je Ausstattung) sind mit "Werte nach Sekundärliteratur zu DIN 4708-2 (z. B. Recknagel) — vor Verwendung gegen den Normtext prüfen" gekennzeichnet. Sie sind editierbar und vom Bearbeiter gegen die gültige Normfassung abzugleichen; die Datei enthält keinen Normtext.</t>
  </si>
  <si>
    <t xml:space="preserve">   Handrechnung zur Kontrolle: 20 × 2-Zi. (Brause) + 10 × 4-Zi. (NB1) → N = [20 · 2,0 · 3660 + 10 · 3,5 · 5820] / (3,5 · 5820) = 350.100 / 20.370 = 17,19.</t>
  </si>
  <si>
    <t>4   Schätzhilfen auf dem Blatt 'Eingaben'</t>
  </si>
  <si>
    <t>Ladeleistung (Abschnitt 8): Vorschlag = max. Tagesbedarf inkl. Zirkulation / verfügbares Ladezeitfenster. Der max. Tagesbedarf ist der stärkste Tag des aktiven Wochenprofils: Q_zapf,Mittel × 7 × höchster Wochenfaktor × Saisonfaktor + P_zirk × 24 h. Default-Ladezeitfenster 8 h — Sperr- und Heizzeiten sind abzuziehen; die Bilanzrechnung selbst setzt die Ladeleistung weiterhin konstant über 24 h an.</t>
  </si>
  <si>
    <t>Zirkulationsverlust (Abschnitt 9), drei Methoden: (a) "Leitungslänge": Länge [m] × spez. Verlust [W/m] / 1000; Default 10 W/m, Bereich 7–15 W/m für gedämmte Leitungen bei 60 °C. (b) "Anteil am Tagesbedarf": Prozent × Tagesbedarf Zapfung / 24 h; Default 20 %, MFH-üblich 15–30 %. (c) "manuell": direkte kW-Eingabe (Verhalten der Version 2.0). Jede Vorschlagszelle zeigt den Rechenweg im Klartext.</t>
  </si>
  <si>
    <t>Sicherheitszuschlag: 10–20 %. VDI 6002 weist für Einzeltage Stundenspitzen bis etwa das Doppelte des Profilwerts aus; bei kleinen Anlagen ist deshalb eher 20 % anzusetzen. Der Zuschlag wirkt auf das profilbasierte Verfahren und auf beide Faustwerte, nicht auf DIN 4708.</t>
  </si>
  <si>
    <t>5   Darstellung bei D_max = 0</t>
  </si>
  <si>
    <t>Ist das maximale Speicherdefizit D_max = 0, deckt die Ladeleistung jede Stundenlast des Profils. Das Blatt 'Ergebnis' zeigt in der Volumen-Zelle B14 dann nicht "0 l", sondern nur "–"; die Erläuterung steht vollständig in der Hinweiszeile B18: "Ladeleistung deckt jede Stundenlast — keine Speicherung auf Stundenbasis nötig. Zapfspitzen unter 1 h (z. B. Wannenfüllung) sind im Stundenprofil nicht sichtbar; maßgebend ist dann das DIN-4708-Verfahren." Bei D_max &gt; 0 zeigt B18 den kurzen Zapfspitzen-Hinweis. Die Logik selbst arbeitet ausschließlich mit der numerischen Hilfsspalte E des Blattes 'Ergebnis' bzw. mit Berechnung!B413/B414 — nie mit Textvergleichen.</t>
  </si>
  <si>
    <t>6   Hinweise und Grenzen</t>
  </si>
  <si>
    <t>• Die Bedarfskennzahl N wird vereinfacht bestimmt (v = w = 1). Die exakte Berechnung nach DIN 4708-2 gewichtet Zapfstellen und Wohnungswertigkeit; bei überdurchschnittlicher Ausstattung (zweites Bad, große Wannen) liegt der hier ermittelte Wert auf der unsicheren Seite — N dann manuell erhöhen.</t>
  </si>
  <si>
    <t>• Die mit "VDI-Wert" bzw. "abgelesen" gekennzeichneten Profile stammen aus VDI 6002; alle übrigen sind typisierte Richtwerte ("generisch, anpassbar"), keine Messwerte. Liegen gemessene Profile vor, sind diese in den Spalten "Benutzerdefiniert" zu hinterlegen.</t>
  </si>
  <si>
    <t>• Die Stundenwerte der Diagramme aus VDI 6002 Blatt 2 (Bilder 3, 7, 8, 9, 10) wurden von den beschrifteten Balken abgelesen. Jede so gewonnene Spalte summiert exakt zu 100,0 %, eine Normierung war nicht erforderlich. Beim Sonntagsprofil "Wohnen groß" aus VDI 6002 Blatt 1 Anhang D beträgt die Originalsumme 99,9 % (Rundung); die Stundenwerte wurden mit dem Faktor 100/99,9 skaliert.</t>
  </si>
  <si>
    <t>• Hallenbad- und Campingplatz-Profile der VDI 6002 Blatt 2 sind bewusst nicht aufgenommen.</t>
  </si>
  <si>
    <t>• Es wird keine Speicherschichtung und keine Speicherverlustleistung modelliert. Der nutzbare Speicheranteil f_nutz bildet Schichtung und Totvolumen pauschal ab.</t>
  </si>
  <si>
    <t>• Die Ladeleistung wird als konstant über 24 h angesetzt (kein Sperrzeitenmodell, keine temperaturabhängige WP-Leistung). Sperrzeiten oder eine getaktete TWW-Bereitung sind gesondert zu prüfen.</t>
  </si>
  <si>
    <t>• Reicht die Ladeleistung nicht für den Tagesbedarf, wächst das Defizit über die 14 Tage monoton an. D_max ist dann kein sinnvolles Speichervolumen, sondern das Signal, die Ladeleistung zu erhöhen — die Warnung auf dem Blatt "Ergebnis" weist darauf hin.</t>
  </si>
  <si>
    <t>• Der Saisonfaktor skaliert den gesamten Zapfbedarf linear. Er ersetzt kein Jahresprofil; für die Auslegung ist die bedarfsstärkste Periode maßgebend (Wohnen: Februar).</t>
  </si>
  <si>
    <t>• Der klassische Faustwert unterstellt eine Speicherladung je Tag und wächst linear mit der Personenzahl. Bei größeren Anlagen ist er systematisch zu hoch und dient nur noch als Plausibilitätsanker (Info-Zeile).</t>
  </si>
  <si>
    <t>• Die Auslegung ersetzt keine hydraulische Planung und keine Betrachtung der Nachheizleistung, der Übergabestation bzw. einer Frischwasserstation.</t>
  </si>
  <si>
    <t>• Der klassische Faustwert ist seit Version 2.1 nur noch eine Info-Zeile. Maßgebend sind DIN 4708, das profilbasierte Verfahren und der GLF-Faustwert.</t>
  </si>
  <si>
    <t>• Der GLF-Faustwert setzt die Zapfperiode z = 1/6 h (Wannenfüllung) der DIN 4708 an. Für Nutzungen ohne Wannen (Büro, Schule) ist er nur eingeschränkt aussagefähig.</t>
  </si>
  <si>
    <t>7   Quellen</t>
  </si>
  <si>
    <t>• DIN 4708-1/-2/-3 — Zentrale Wassererwärmungsanlagen (Bedarfskennzahl N, Leistungskennzahl N_L, W_z).</t>
  </si>
  <si>
    <t>• DIN V 18599-10 — Nutzungsrandbedingungen, Warmwasser-Nutzenergiebedarf (Richtwerte je Nutzungsart).</t>
  </si>
  <si>
    <t>• VDI 6002 Blatt 1:2014-03 — Solare Trinkwassererwärmung, Anhang D: Bedarfsprofile für große Wohngebäude (&gt; 100 Bewohner). Wochenprofil (Mo–Fr je 13,8 %, Sa 15,0 %, So 16,0 %), Tagesprofile Mo–Fr / Sa / So, Jahresprofil Bild D1 (Monatsfaktoren Jan 111,8 % … Dez 108,2 %, Februar-Maximum 113,4 %). Datengrundlage: ZfS — Rationelle Energietechnik, Förderprogramm Solarthermie-2000.</t>
  </si>
  <si>
    <t>• VDI 6002 Blatt 2:2014 — Solare Trinkwassererwärmung; Anwendungen in Studentenwohnheimen, Seniorenheimen, Krankenhäusern, Hallenbädern und auf Campingplätzen. Übernommen: Tabelle 3 (Studentenwohnheime, Stundenwerte für Mo / Di–Do / Fr / Sa / So), Bild 3 (Wochenprofil Studentenwohnheim), Bild 7 (Wochenprofil Seniorenheim), Bild 8 (Tagesprofil Seniorenheim Mo–Fr), Bild 9 (Tagesprofil Seniorenheim Sa + So), Bild 10 (Tagesprofil Krankenhaus, alle Wochentage gleich), Abschnitt 6.3.3 (Krankenhaus-Wochenprofil = Bild 7), Tabellen 2 / 4 / 5 (Tagesbedarfskennwerte).</t>
  </si>
  <si>
    <t>• DVGW W 551 — Trinkwassererwärmungs- und Leitungsanlagen; technische Maßnahmen zur Verminderung des Legionellenwachstums (Abgrenzung Klein-/Großanlage, 400 l / 3 l).</t>
  </si>
  <si>
    <t>• VDI 6023 — Hygiene in Trinkwasser-Installationen.</t>
  </si>
  <si>
    <t>• Methodik identisch zum INEKON-Wärmespeicher-Tool (Modul wsp/sizing_dhw.py, Funktion max_soc_defizit; DIN-4708-Implementierung vendor/din4708.py, MIT-Lizenz, aus dem Projekt 'lpagg').</t>
  </si>
  <si>
    <t>• DIN 4708-2 — Zahlenwerte für Belegungszahl p und Zapfstellen-Wärmebedarf w_v: in dieser Datei nach Sekundärliteratur (z. B. Recknagel/Sprenger/Albers, "Taschenbuch für Heizung und Klimatechnik") hinterlegt und ausdrücklich als prüfpflichtig gekennzeichnet.</t>
  </si>
  <si>
    <t>• Gleichzeitigkeitsfaktor GLF(N) = W_z(1)/W_z(N): Umsetzung nach vendor/din4708.py (Funktion calc_GLF), MIT-Lizenz, Projekt 'lpagg' (J. Zimmermann). Streng genommen nicht Teil der DIN 4708.</t>
  </si>
  <si>
    <t>Stand: Juli 2026 — INEKON, Version 2.1.2. Alle Richtwerte, Profile, Wochenfaktoren und Nachschlagetabellen in dieser Datei sind anpassbar und vom Bearbeiter fachlich zu verantworten.</t>
  </si>
  <si>
    <t>Kumuliertes Energiedefizit über eine 336-h-Stundenbilanz (14 Tage, Mo–So × 2) mit Werktag-/Samstag-/Sonntag-Profil und Wochenfaktoren bei konstanter Ladeleistung — kein Speicherladezustand, sondern die über die Zeit aufsummierte Unterdeckung: Defizit(t)=MAX(0;Defizit(t−1)+Bedarf(t)−P_lade·1h); V = D_max/(1,163·ΔT)/f_nutz·(1+Zuschlag).</t>
  </si>
  <si>
    <t>7   Speicherfüllstand — Bilanz gegen den empfohlenen Speicher</t>
  </si>
  <si>
    <t>nutzbares Speichervolumen</t>
  </si>
  <si>
    <t>= Nenninhalt × f_nutz</t>
  </si>
  <si>
    <t>nutzbare Speicherkapazität C_sp</t>
  </si>
  <si>
    <t>= V_nutz × 1,163 Wh/(l·K) × ΔT / 1000</t>
  </si>
  <si>
    <t>minimaler Füllstand (maßgebende Woche)</t>
  </si>
  <si>
    <t>= C_sp − D_max (tiefster Punkt der Füllstandskurve)</t>
  </si>
  <si>
    <t>minimaler Füllstand relativ</t>
  </si>
  <si>
    <t>= min. Füllstand / C_sp — Restreserve des Speichers</t>
  </si>
  <si>
    <t>Speicher-
füllstand
[kWh]</t>
  </si>
  <si>
    <t>Speicherfüllstand (min., maßgebende Woche)</t>
  </si>
  <si>
    <t>Speichergröße für Grafik (Auswahl)</t>
  </si>
  <si>
    <t>Empfehlung (Maximum der Verfahren)</t>
  </si>
  <si>
    <t>Dropdown — steuert die Füllstandskurve in der Grafik auf dem Blatt 'Ergebnis'</t>
  </si>
  <si>
    <t>gewähltes Volumen (Rohwert Verfahren)</t>
  </si>
  <si>
    <t>Volumen des gewählten Verfahrens — bei 'Empfehlung' die marktübliche Größe aus 'Ergebnis' B25</t>
  </si>
  <si>
    <t>Bezugsvolumen Grafik V_graf</t>
  </si>
  <si>
    <t>Fallback auf die Empfehlung, falls das gewählte Verfahren kein Volumen liefert</t>
  </si>
  <si>
    <t>Bezugsvolumen für Füllstand (aus Auswahl)</t>
  </si>
  <si>
    <t>aus der Auswahl in B422 — Standard: Empfehlung 'Ergebnis' B25</t>
  </si>
  <si>
    <t>Speichergröße für die Grafik</t>
  </si>
  <si>
    <t>5   Diagramm — maßgebende Woche (Tag 8–14): Zapfbedarf, Zirkulation, Ladung, kumuliertes Defizit und Speicherfüllstand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</si>
</sst>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.mm\.yyyy"/>
    <numFmt numFmtId="165" formatCode="#,##0.0"/>
    <numFmt numFmtId="166" formatCode="0.0%"/>
    <numFmt numFmtId="167" formatCode="0\ %"/>
    <numFmt numFmtId="168" formatCode="00&quot;:00&quot;"/>
    <numFmt numFmtId="169" formatCode="0.0000"/>
    <numFmt numFmtId="170" formatCode="#,##0.0000"/>
    <numFmt numFmtId="171" formatCode="#,##0.000"/>
    <numFmt numFmtId="172" formatCode="#,##0&quot; l&quot;"/>
  </numFmts>
  <fonts count="2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8"/>
      <color rgb="FF80808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9"/>
      <color rgb="FF1F3864"/>
      <name val="Arial"/>
      <family val="2"/>
    </font>
    <font>
      <sz val="10"/>
      <color rgb="FF008000"/>
      <name val="Arial"/>
      <family val="2"/>
    </font>
    <font>
      <b/>
      <sz val="9"/>
      <color rgb="FFC00000"/>
      <name val="Arial"/>
      <family val="2"/>
    </font>
    <font>
      <b/>
      <sz val="12"/>
      <color rgb="FFC00000"/>
      <name val="Arial"/>
      <family val="2"/>
    </font>
    <font>
      <b/>
      <sz val="8"/>
      <color rgb="FF808080"/>
      <name val="Arial"/>
      <family val="2"/>
    </font>
    <font>
      <b/>
      <sz val="11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4"/>
      <color rgb="FFC000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1" xfId="0" applyBorder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2" xfId="0" applyFont="1" applyFill="1" applyBorder="1" applyAlignment="1">
      <alignment horizontal="right"/>
    </xf>
    <xf numFmtId="164" fontId="5" fillId="3" borderId="2" xfId="0" applyNumberFormat="1" applyFont="1" applyFill="1" applyBorder="1" applyAlignment="1">
      <alignment horizontal="right"/>
    </xf>
    <xf numFmtId="0" fontId="6" fillId="0" borderId="0" xfId="0" applyFont="1"/>
    <xf numFmtId="3" fontId="5" fillId="3" borderId="2" xfId="0" applyNumberFormat="1" applyFont="1" applyFill="1" applyBorder="1" applyAlignment="1">
      <alignment horizontal="right"/>
    </xf>
    <xf numFmtId="165" fontId="5" fillId="3" borderId="2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0" fontId="8" fillId="0" borderId="0" xfId="0" applyFont="1"/>
    <xf numFmtId="165" fontId="8" fillId="4" borderId="0" xfId="0" applyNumberFormat="1" applyFont="1" applyFill="1" applyAlignment="1">
      <alignment horizontal="right"/>
    </xf>
    <xf numFmtId="3" fontId="7" fillId="0" borderId="0" xfId="0" applyNumberFormat="1" applyFont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9" fillId="4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165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5" fontId="7" fillId="0" borderId="2" xfId="0" applyNumberFormat="1" applyFont="1" applyBorder="1"/>
    <xf numFmtId="0" fontId="6" fillId="0" borderId="2" xfId="0" applyFont="1" applyBorder="1"/>
    <xf numFmtId="0" fontId="4" fillId="5" borderId="2" xfId="0" applyFont="1" applyFill="1" applyBorder="1"/>
    <xf numFmtId="165" fontId="7" fillId="5" borderId="2" xfId="0" applyNumberFormat="1" applyFont="1" applyFill="1" applyBorder="1"/>
    <xf numFmtId="0" fontId="6" fillId="5" borderId="2" xfId="0" applyFont="1" applyFill="1" applyBorder="1"/>
    <xf numFmtId="0" fontId="5" fillId="3" borderId="3" xfId="0" applyFont="1" applyFill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8" fillId="4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5" fontId="5" fillId="3" borderId="3" xfId="0" applyNumberFormat="1" applyFont="1" applyFill="1" applyBorder="1" applyAlignment="1">
      <alignment horizontal="right"/>
    </xf>
    <xf numFmtId="165" fontId="10" fillId="0" borderId="0" xfId="0" applyNumberFormat="1" applyFont="1" applyAlignment="1">
      <alignment horizontal="right"/>
    </xf>
    <xf numFmtId="3" fontId="5" fillId="3" borderId="3" xfId="0" applyNumberFormat="1" applyFont="1" applyFill="1" applyBorder="1" applyAlignment="1">
      <alignment horizontal="right"/>
    </xf>
    <xf numFmtId="167" fontId="5" fillId="3" borderId="3" xfId="0" applyNumberFormat="1" applyFont="1" applyFill="1" applyBorder="1" applyAlignment="1">
      <alignment horizontal="right"/>
    </xf>
    <xf numFmtId="4" fontId="5" fillId="3" borderId="3" xfId="0" applyNumberFormat="1" applyFont="1" applyFill="1" applyBorder="1" applyAlignment="1">
      <alignment horizontal="right"/>
    </xf>
    <xf numFmtId="168" fontId="4" fillId="0" borderId="2" xfId="0" applyNumberFormat="1" applyFont="1" applyBorder="1" applyAlignment="1">
      <alignment horizontal="center"/>
    </xf>
    <xf numFmtId="166" fontId="7" fillId="0" borderId="2" xfId="0" applyNumberFormat="1" applyFont="1" applyBorder="1"/>
    <xf numFmtId="166" fontId="5" fillId="3" borderId="2" xfId="0" applyNumberFormat="1" applyFont="1" applyFill="1" applyBorder="1"/>
    <xf numFmtId="166" fontId="8" fillId="4" borderId="2" xfId="0" applyNumberFormat="1" applyFont="1" applyFill="1" applyBorder="1"/>
    <xf numFmtId="168" fontId="4" fillId="5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/>
    <xf numFmtId="0" fontId="8" fillId="0" borderId="2" xfId="0" applyFont="1" applyBorder="1"/>
    <xf numFmtId="166" fontId="8" fillId="0" borderId="2" xfId="0" applyNumberFormat="1" applyFont="1" applyBorder="1"/>
    <xf numFmtId="166" fontId="8" fillId="5" borderId="2" xfId="0" applyNumberFormat="1" applyFont="1" applyFill="1" applyBorder="1"/>
    <xf numFmtId="0" fontId="8" fillId="4" borderId="2" xfId="0" applyFont="1" applyFill="1" applyBorder="1"/>
    <xf numFmtId="0" fontId="9" fillId="4" borderId="3" xfId="0" applyFont="1" applyFill="1" applyBorder="1" applyAlignment="1">
      <alignment horizontal="center" wrapText="1"/>
    </xf>
    <xf numFmtId="1" fontId="7" fillId="0" borderId="3" xfId="0" applyNumberFormat="1" applyFont="1" applyBorder="1" applyAlignment="1">
      <alignment horizontal="right"/>
    </xf>
    <xf numFmtId="165" fontId="7" fillId="0" borderId="3" xfId="0" applyNumberFormat="1" applyFont="1" applyBorder="1" applyAlignment="1">
      <alignment horizontal="right"/>
    </xf>
    <xf numFmtId="0" fontId="5" fillId="3" borderId="3" xfId="0" applyFont="1" applyFill="1" applyBorder="1" applyAlignment="1">
      <alignment horizontal="left"/>
    </xf>
    <xf numFmtId="3" fontId="7" fillId="0" borderId="3" xfId="0" applyNumberFormat="1" applyFont="1" applyBorder="1" applyAlignment="1">
      <alignment horizontal="right"/>
    </xf>
    <xf numFmtId="0" fontId="6" fillId="0" borderId="3" xfId="0" applyFont="1" applyBorder="1"/>
    <xf numFmtId="3" fontId="9" fillId="4" borderId="3" xfId="0" applyNumberFormat="1" applyFont="1" applyFill="1" applyBorder="1" applyAlignment="1">
      <alignment horizontal="right"/>
    </xf>
    <xf numFmtId="165" fontId="9" fillId="4" borderId="3" xfId="0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3" fontId="7" fillId="0" borderId="2" xfId="0" applyNumberFormat="1" applyFont="1" applyBorder="1"/>
    <xf numFmtId="0" fontId="7" fillId="0" borderId="2" xfId="0" applyFont="1" applyBorder="1"/>
    <xf numFmtId="168" fontId="7" fillId="0" borderId="2" xfId="0" applyNumberFormat="1" applyFont="1" applyBorder="1"/>
    <xf numFmtId="4" fontId="7" fillId="0" borderId="2" xfId="0" applyNumberFormat="1" applyFont="1" applyBorder="1"/>
    <xf numFmtId="4" fontId="8" fillId="0" borderId="2" xfId="0" applyNumberFormat="1" applyFont="1" applyBorder="1"/>
    <xf numFmtId="3" fontId="7" fillId="5" borderId="2" xfId="0" applyNumberFormat="1" applyFont="1" applyFill="1" applyBorder="1"/>
    <xf numFmtId="0" fontId="7" fillId="5" borderId="2" xfId="0" applyFont="1" applyFill="1" applyBorder="1"/>
    <xf numFmtId="168" fontId="7" fillId="5" borderId="2" xfId="0" applyNumberFormat="1" applyFont="1" applyFill="1" applyBorder="1"/>
    <xf numFmtId="4" fontId="7" fillId="5" borderId="2" xfId="0" applyNumberFormat="1" applyFont="1" applyFill="1" applyBorder="1"/>
    <xf numFmtId="4" fontId="8" fillId="5" borderId="2" xfId="0" applyNumberFormat="1" applyFont="1" applyFill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12" fillId="6" borderId="0" xfId="0" applyNumberFormat="1" applyFont="1" applyFill="1" applyAlignment="1">
      <alignment horizontal="right"/>
    </xf>
    <xf numFmtId="169" fontId="7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171" fontId="8" fillId="4" borderId="0" xfId="0" applyNumberFormat="1" applyFont="1" applyFill="1" applyAlignment="1">
      <alignment horizontal="right"/>
    </xf>
    <xf numFmtId="17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right"/>
    </xf>
    <xf numFmtId="172" fontId="14" fillId="0" borderId="3" xfId="0" applyNumberFormat="1" applyFont="1" applyBorder="1" applyAlignment="1">
      <alignment horizontal="right" vertical="center"/>
    </xf>
    <xf numFmtId="172" fontId="15" fillId="0" borderId="3" xfId="0" applyNumberFormat="1" applyFont="1" applyBorder="1" applyAlignment="1">
      <alignment horizontal="right" vertical="center"/>
    </xf>
    <xf numFmtId="0" fontId="16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9" fillId="4" borderId="3" xfId="0" applyFont="1" applyFill="1" applyBorder="1"/>
    <xf numFmtId="3" fontId="4" fillId="0" borderId="0" xfId="0" applyNumberFormat="1" applyFont="1"/>
    <xf numFmtId="0" fontId="4" fillId="0" borderId="0" xfId="0" applyFont="1" applyAlignment="1">
      <alignment vertical="top" wrapText="1"/>
    </xf>
    <xf numFmtId="172" fontId="14" fillId="0" borderId="3" xfId="0" applyNumberFormat="1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5" fontId="8" fillId="4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4" fontId="8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172" fontId="17" fillId="6" borderId="3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0" borderId="2" xfId="0" applyFont="1" applyBorder="1" applyAlignment="1">
      <alignment vertical="center" wrapText="1"/>
    </xf>
    <xf numFmtId="0" fontId="8" fillId="4" borderId="0" xfId="0" applyFont="1" applyFill="1" applyAlignment="1">
      <alignment horizontal="right"/>
    </xf>
    <xf numFmtId="0" fontId="6" fillId="0" borderId="2" xfId="0" applyFont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0" fillId="0" borderId="0" xfId="0" applyFont="1" applyAlignment="1">
      <alignment horizontal="right"/>
    </xf>
    <xf numFmtId="0" fontId="5" fillId="3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19" fillId="0" borderId="0" xfId="0" applyFont="1"/>
    <xf numFmtId="3" fontId="20" fillId="0" borderId="0" xfId="0" applyNumberFormat="1" applyFont="1"/>
    <xf numFmtId="3" fontId="0" fillId="0" borderId="0" xfId="0" applyNumberFormat="1"/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0" fontId="7" fillId="0" borderId="0" xfId="0" applyFont="1" applyFill="1" applyBorder="1"/>
    <xf numFmtId="0" fontId="22" fillId="0" borderId="0" xfId="0" applyFont="1"/>
    <xf numFmtId="3" fontId="19" fillId="0" borderId="0" xfId="0" applyNumberFormat="1" applyFont="1"/>
    <xf numFmtId="3" fontId="21" fillId="0" borderId="0" xfId="0" applyNumberFormat="1" applyFont="1"/>
    <xf numFmtId="0" fontId="10" fillId="0" borderId="0" xfId="0" applyFont="1"/>
    <xf numFmtId="0" fontId="7" fillId="0" borderId="0" xfId="0" applyFont="1"/>
    <xf numFmtId="0" fontId="3" fillId="7" borderId="0" xfId="0" applyFont="1" applyFill="1"/>
  </cellXfs>
  <cellStyles count="1">
    <cellStyle name="Standard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595959"/>
      <rgbColor rgb="FFB3B3B3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Aktives Zapfprofil — Anteil des Tagesbedarfs je Stunde (drei Tagtypen)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Zapfprofil!$AL$18</c:f>
              <c:strCache>
                <c:ptCount val="1"/>
                <c:pt idx="0">
                  <c:v>Werktag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Zapfprofil!$A$19:$A$42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Zapfprofil!$AL$19:$AL$42</c:f>
              <c:numCache>
                <c:formatCode>0.0%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0.06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0.09</c:v>
                </c:pt>
                <c:pt idx="12">
                  <c:v>0.1</c:v>
                </c:pt>
                <c:pt idx="13">
                  <c:v>9.5000000000000001E-2</c:v>
                </c:pt>
                <c:pt idx="14">
                  <c:v>8.5000000000000006E-2</c:v>
                </c:pt>
                <c:pt idx="15">
                  <c:v>0.08</c:v>
                </c:pt>
                <c:pt idx="16">
                  <c:v>7.4999999999999997E-2</c:v>
                </c:pt>
                <c:pt idx="17">
                  <c:v>0.06</c:v>
                </c:pt>
                <c:pt idx="18">
                  <c:v>4.4999999999999998E-2</c:v>
                </c:pt>
                <c:pt idx="19">
                  <c:v>2.5000000000000001E-2</c:v>
                </c:pt>
                <c:pt idx="20">
                  <c:v>1.4999999999999999E-2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B-46AC-95D5-2DEFA4C99F30}"/>
            </c:ext>
          </c:extLst>
        </c:ser>
        <c:ser>
          <c:idx val="1"/>
          <c:order val="1"/>
          <c:tx>
            <c:strRef>
              <c:f>Zapfprofil!$AM$18</c:f>
              <c:strCache>
                <c:ptCount val="1"/>
                <c:pt idx="0">
                  <c:v>Samstag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Zapfprofil!$A$19:$A$42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Zapfprofil!$AM$19:$AM$42</c:f>
              <c:numCache>
                <c:formatCode>0.0%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7.0000000000000007E-2</c:v>
                </c:pt>
                <c:pt idx="14">
                  <c:v>6.5000000000000002E-2</c:v>
                </c:pt>
                <c:pt idx="15">
                  <c:v>0.06</c:v>
                </c:pt>
                <c:pt idx="16">
                  <c:v>5.5E-2</c:v>
                </c:pt>
                <c:pt idx="17">
                  <c:v>4.4999999999999998E-2</c:v>
                </c:pt>
                <c:pt idx="18">
                  <c:v>0.04</c:v>
                </c:pt>
                <c:pt idx="19">
                  <c:v>3.5000000000000003E-2</c:v>
                </c:pt>
                <c:pt idx="20">
                  <c:v>0.03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B-46AC-95D5-2DEFA4C99F30}"/>
            </c:ext>
          </c:extLst>
        </c:ser>
        <c:ser>
          <c:idx val="2"/>
          <c:order val="2"/>
          <c:tx>
            <c:strRef>
              <c:f>Zapfprofil!$AN$18</c:f>
              <c:strCache>
                <c:ptCount val="1"/>
                <c:pt idx="0">
                  <c:v>Sonntag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Zapfprofil!$A$19:$A$42</c:f>
              <c:numCache>
                <c:formatCode>00":00"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Zapfprofil!$AN$19:$AN$42</c:f>
              <c:numCache>
                <c:formatCode>0.0%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7.0000000000000007E-2</c:v>
                </c:pt>
                <c:pt idx="14">
                  <c:v>6.5000000000000002E-2</c:v>
                </c:pt>
                <c:pt idx="15">
                  <c:v>0.06</c:v>
                </c:pt>
                <c:pt idx="16">
                  <c:v>5.5E-2</c:v>
                </c:pt>
                <c:pt idx="17">
                  <c:v>4.4999999999999998E-2</c:v>
                </c:pt>
                <c:pt idx="18">
                  <c:v>0.04</c:v>
                </c:pt>
                <c:pt idx="19">
                  <c:v>3.5000000000000003E-2</c:v>
                </c:pt>
                <c:pt idx="20">
                  <c:v>0.03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B-46AC-95D5-2DEFA4C99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549607"/>
        <c:axId val="48358580"/>
      </c:barChart>
      <c:catAx>
        <c:axId val="79549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Stunde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0&quot;:00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8358580"/>
        <c:crosses val="autoZero"/>
        <c:auto val="1"/>
        <c:lblAlgn val="ctr"/>
        <c:lblOffset val="100"/>
        <c:noMultiLvlLbl val="0"/>
      </c:catAx>
      <c:valAx>
        <c:axId val="483585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Anteil am Tagesbedarf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954960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Profilbasierte Stundenbilanz — maßgebende Woche (Tag 8–14)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Zirkulation [kWh/h]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Berechnung!$R$190:$R$357</c:f>
              <c:strCache>
                <c:ptCount val="168"/>
                <c:pt idx="0">
                  <c:v>Mo 00:00</c:v>
                </c:pt>
                <c:pt idx="1">
                  <c:v>Mo 01:00</c:v>
                </c:pt>
                <c:pt idx="2">
                  <c:v>Mo 02:00</c:v>
                </c:pt>
                <c:pt idx="3">
                  <c:v>Mo 03:00</c:v>
                </c:pt>
                <c:pt idx="4">
                  <c:v>Mo 04:00</c:v>
                </c:pt>
                <c:pt idx="5">
                  <c:v>Mo 05:00</c:v>
                </c:pt>
                <c:pt idx="6">
                  <c:v>Mo 06:00</c:v>
                </c:pt>
                <c:pt idx="7">
                  <c:v>Mo 07:00</c:v>
                </c:pt>
                <c:pt idx="8">
                  <c:v>Mo 08:00</c:v>
                </c:pt>
                <c:pt idx="9">
                  <c:v>Mo 09:00</c:v>
                </c:pt>
                <c:pt idx="10">
                  <c:v>Mo 10:00</c:v>
                </c:pt>
                <c:pt idx="11">
                  <c:v>Mo 11:00</c:v>
                </c:pt>
                <c:pt idx="12">
                  <c:v>Mo 12:00</c:v>
                </c:pt>
                <c:pt idx="13">
                  <c:v>Mo 13:00</c:v>
                </c:pt>
                <c:pt idx="14">
                  <c:v>Mo 14:00</c:v>
                </c:pt>
                <c:pt idx="15">
                  <c:v>Mo 15:00</c:v>
                </c:pt>
                <c:pt idx="16">
                  <c:v>Mo 16:00</c:v>
                </c:pt>
                <c:pt idx="17">
                  <c:v>Mo 17:00</c:v>
                </c:pt>
                <c:pt idx="18">
                  <c:v>Mo 18:00</c:v>
                </c:pt>
                <c:pt idx="19">
                  <c:v>Mo 19:00</c:v>
                </c:pt>
                <c:pt idx="20">
                  <c:v>Mo 20:00</c:v>
                </c:pt>
                <c:pt idx="21">
                  <c:v>Mo 21:00</c:v>
                </c:pt>
                <c:pt idx="22">
                  <c:v>Mo 22:00</c:v>
                </c:pt>
                <c:pt idx="23">
                  <c:v>Mo 23:00</c:v>
                </c:pt>
                <c:pt idx="24">
                  <c:v>Di 00:00</c:v>
                </c:pt>
                <c:pt idx="25">
                  <c:v>Di 01:00</c:v>
                </c:pt>
                <c:pt idx="26">
                  <c:v>Di 02:00</c:v>
                </c:pt>
                <c:pt idx="27">
                  <c:v>Di 03:00</c:v>
                </c:pt>
                <c:pt idx="28">
                  <c:v>Di 04:00</c:v>
                </c:pt>
                <c:pt idx="29">
                  <c:v>Di 05:00</c:v>
                </c:pt>
                <c:pt idx="30">
                  <c:v>Di 06:00</c:v>
                </c:pt>
                <c:pt idx="31">
                  <c:v>Di 07:00</c:v>
                </c:pt>
                <c:pt idx="32">
                  <c:v>Di 08:00</c:v>
                </c:pt>
                <c:pt idx="33">
                  <c:v>Di 09:00</c:v>
                </c:pt>
                <c:pt idx="34">
                  <c:v>Di 10:00</c:v>
                </c:pt>
                <c:pt idx="35">
                  <c:v>Di 11:00</c:v>
                </c:pt>
                <c:pt idx="36">
                  <c:v>Di 12:00</c:v>
                </c:pt>
                <c:pt idx="37">
                  <c:v>Di 13:00</c:v>
                </c:pt>
                <c:pt idx="38">
                  <c:v>Di 14:00</c:v>
                </c:pt>
                <c:pt idx="39">
                  <c:v>Di 15:00</c:v>
                </c:pt>
                <c:pt idx="40">
                  <c:v>Di 16:00</c:v>
                </c:pt>
                <c:pt idx="41">
                  <c:v>Di 17:00</c:v>
                </c:pt>
                <c:pt idx="42">
                  <c:v>Di 18:00</c:v>
                </c:pt>
                <c:pt idx="43">
                  <c:v>Di 19:00</c:v>
                </c:pt>
                <c:pt idx="44">
                  <c:v>Di 20:00</c:v>
                </c:pt>
                <c:pt idx="45">
                  <c:v>Di 21:00</c:v>
                </c:pt>
                <c:pt idx="46">
                  <c:v>Di 22:00</c:v>
                </c:pt>
                <c:pt idx="47">
                  <c:v>Di 23:00</c:v>
                </c:pt>
                <c:pt idx="48">
                  <c:v>Mi 00:00</c:v>
                </c:pt>
                <c:pt idx="49">
                  <c:v>Mi 01:00</c:v>
                </c:pt>
                <c:pt idx="50">
                  <c:v>Mi 02:00</c:v>
                </c:pt>
                <c:pt idx="51">
                  <c:v>Mi 03:00</c:v>
                </c:pt>
                <c:pt idx="52">
                  <c:v>Mi 04:00</c:v>
                </c:pt>
                <c:pt idx="53">
                  <c:v>Mi 05:00</c:v>
                </c:pt>
                <c:pt idx="54">
                  <c:v>Mi 06:00</c:v>
                </c:pt>
                <c:pt idx="55">
                  <c:v>Mi 07:00</c:v>
                </c:pt>
                <c:pt idx="56">
                  <c:v>Mi 08:00</c:v>
                </c:pt>
                <c:pt idx="57">
                  <c:v>Mi 09:00</c:v>
                </c:pt>
                <c:pt idx="58">
                  <c:v>Mi 10:00</c:v>
                </c:pt>
                <c:pt idx="59">
                  <c:v>Mi 11:00</c:v>
                </c:pt>
                <c:pt idx="60">
                  <c:v>Mi 12:00</c:v>
                </c:pt>
                <c:pt idx="61">
                  <c:v>Mi 13:00</c:v>
                </c:pt>
                <c:pt idx="62">
                  <c:v>Mi 14:00</c:v>
                </c:pt>
                <c:pt idx="63">
                  <c:v>Mi 15:00</c:v>
                </c:pt>
                <c:pt idx="64">
                  <c:v>Mi 16:00</c:v>
                </c:pt>
                <c:pt idx="65">
                  <c:v>Mi 17:00</c:v>
                </c:pt>
                <c:pt idx="66">
                  <c:v>Mi 18:00</c:v>
                </c:pt>
                <c:pt idx="67">
                  <c:v>Mi 19:00</c:v>
                </c:pt>
                <c:pt idx="68">
                  <c:v>Mi 20:00</c:v>
                </c:pt>
                <c:pt idx="69">
                  <c:v>Mi 21:00</c:v>
                </c:pt>
                <c:pt idx="70">
                  <c:v>Mi 22:00</c:v>
                </c:pt>
                <c:pt idx="71">
                  <c:v>Mi 23:00</c:v>
                </c:pt>
                <c:pt idx="72">
                  <c:v>Do 00:00</c:v>
                </c:pt>
                <c:pt idx="73">
                  <c:v>Do 01:00</c:v>
                </c:pt>
                <c:pt idx="74">
                  <c:v>Do 02:00</c:v>
                </c:pt>
                <c:pt idx="75">
                  <c:v>Do 03:00</c:v>
                </c:pt>
                <c:pt idx="76">
                  <c:v>Do 04:00</c:v>
                </c:pt>
                <c:pt idx="77">
                  <c:v>Do 05:00</c:v>
                </c:pt>
                <c:pt idx="78">
                  <c:v>Do 06:00</c:v>
                </c:pt>
                <c:pt idx="79">
                  <c:v>Do 07:00</c:v>
                </c:pt>
                <c:pt idx="80">
                  <c:v>Do 08:00</c:v>
                </c:pt>
                <c:pt idx="81">
                  <c:v>Do 09:00</c:v>
                </c:pt>
                <c:pt idx="82">
                  <c:v>Do 10:00</c:v>
                </c:pt>
                <c:pt idx="83">
                  <c:v>Do 11:00</c:v>
                </c:pt>
                <c:pt idx="84">
                  <c:v>Do 12:00</c:v>
                </c:pt>
                <c:pt idx="85">
                  <c:v>Do 13:00</c:v>
                </c:pt>
                <c:pt idx="86">
                  <c:v>Do 14:00</c:v>
                </c:pt>
                <c:pt idx="87">
                  <c:v>Do 15:00</c:v>
                </c:pt>
                <c:pt idx="88">
                  <c:v>Do 16:00</c:v>
                </c:pt>
                <c:pt idx="89">
                  <c:v>Do 17:00</c:v>
                </c:pt>
                <c:pt idx="90">
                  <c:v>Do 18:00</c:v>
                </c:pt>
                <c:pt idx="91">
                  <c:v>Do 19:00</c:v>
                </c:pt>
                <c:pt idx="92">
                  <c:v>Do 20:00</c:v>
                </c:pt>
                <c:pt idx="93">
                  <c:v>Do 21:00</c:v>
                </c:pt>
                <c:pt idx="94">
                  <c:v>Do 22:00</c:v>
                </c:pt>
                <c:pt idx="95">
                  <c:v>Do 23:00</c:v>
                </c:pt>
                <c:pt idx="96">
                  <c:v>Fr 00:00</c:v>
                </c:pt>
                <c:pt idx="97">
                  <c:v>Fr 01:00</c:v>
                </c:pt>
                <c:pt idx="98">
                  <c:v>Fr 02:00</c:v>
                </c:pt>
                <c:pt idx="99">
                  <c:v>Fr 03:00</c:v>
                </c:pt>
                <c:pt idx="100">
                  <c:v>Fr 04:00</c:v>
                </c:pt>
                <c:pt idx="101">
                  <c:v>Fr 05:00</c:v>
                </c:pt>
                <c:pt idx="102">
                  <c:v>Fr 06:00</c:v>
                </c:pt>
                <c:pt idx="103">
                  <c:v>Fr 07:00</c:v>
                </c:pt>
                <c:pt idx="104">
                  <c:v>Fr 08:00</c:v>
                </c:pt>
                <c:pt idx="105">
                  <c:v>Fr 09:00</c:v>
                </c:pt>
                <c:pt idx="106">
                  <c:v>Fr 10:00</c:v>
                </c:pt>
                <c:pt idx="107">
                  <c:v>Fr 11:00</c:v>
                </c:pt>
                <c:pt idx="108">
                  <c:v>Fr 12:00</c:v>
                </c:pt>
                <c:pt idx="109">
                  <c:v>Fr 13:00</c:v>
                </c:pt>
                <c:pt idx="110">
                  <c:v>Fr 14:00</c:v>
                </c:pt>
                <c:pt idx="111">
                  <c:v>Fr 15:00</c:v>
                </c:pt>
                <c:pt idx="112">
                  <c:v>Fr 16:00</c:v>
                </c:pt>
                <c:pt idx="113">
                  <c:v>Fr 17:00</c:v>
                </c:pt>
                <c:pt idx="114">
                  <c:v>Fr 18:00</c:v>
                </c:pt>
                <c:pt idx="115">
                  <c:v>Fr 19:00</c:v>
                </c:pt>
                <c:pt idx="116">
                  <c:v>Fr 20:00</c:v>
                </c:pt>
                <c:pt idx="117">
                  <c:v>Fr 21:00</c:v>
                </c:pt>
                <c:pt idx="118">
                  <c:v>Fr 22:00</c:v>
                </c:pt>
                <c:pt idx="119">
                  <c:v>Fr 23:00</c:v>
                </c:pt>
                <c:pt idx="120">
                  <c:v>Sa 00:00</c:v>
                </c:pt>
                <c:pt idx="121">
                  <c:v>Sa 01:00</c:v>
                </c:pt>
                <c:pt idx="122">
                  <c:v>Sa 02:00</c:v>
                </c:pt>
                <c:pt idx="123">
                  <c:v>Sa 03:00</c:v>
                </c:pt>
                <c:pt idx="124">
                  <c:v>Sa 04:00</c:v>
                </c:pt>
                <c:pt idx="125">
                  <c:v>Sa 05:00</c:v>
                </c:pt>
                <c:pt idx="126">
                  <c:v>Sa 06:00</c:v>
                </c:pt>
                <c:pt idx="127">
                  <c:v>Sa 07:00</c:v>
                </c:pt>
                <c:pt idx="128">
                  <c:v>Sa 08:00</c:v>
                </c:pt>
                <c:pt idx="129">
                  <c:v>Sa 09:00</c:v>
                </c:pt>
                <c:pt idx="130">
                  <c:v>Sa 10:00</c:v>
                </c:pt>
                <c:pt idx="131">
                  <c:v>Sa 11:00</c:v>
                </c:pt>
                <c:pt idx="132">
                  <c:v>Sa 12:00</c:v>
                </c:pt>
                <c:pt idx="133">
                  <c:v>Sa 13:00</c:v>
                </c:pt>
                <c:pt idx="134">
                  <c:v>Sa 14:00</c:v>
                </c:pt>
                <c:pt idx="135">
                  <c:v>Sa 15:00</c:v>
                </c:pt>
                <c:pt idx="136">
                  <c:v>Sa 16:00</c:v>
                </c:pt>
                <c:pt idx="137">
                  <c:v>Sa 17:00</c:v>
                </c:pt>
                <c:pt idx="138">
                  <c:v>Sa 18:00</c:v>
                </c:pt>
                <c:pt idx="139">
                  <c:v>Sa 19:00</c:v>
                </c:pt>
                <c:pt idx="140">
                  <c:v>Sa 20:00</c:v>
                </c:pt>
                <c:pt idx="141">
                  <c:v>Sa 21:00</c:v>
                </c:pt>
                <c:pt idx="142">
                  <c:v>Sa 22:00</c:v>
                </c:pt>
                <c:pt idx="143">
                  <c:v>Sa 23:00</c:v>
                </c:pt>
                <c:pt idx="144">
                  <c:v>So 00:00</c:v>
                </c:pt>
                <c:pt idx="145">
                  <c:v>So 01:00</c:v>
                </c:pt>
                <c:pt idx="146">
                  <c:v>So 02:00</c:v>
                </c:pt>
                <c:pt idx="147">
                  <c:v>So 03:00</c:v>
                </c:pt>
                <c:pt idx="148">
                  <c:v>So 04:00</c:v>
                </c:pt>
                <c:pt idx="149">
                  <c:v>So 05:00</c:v>
                </c:pt>
                <c:pt idx="150">
                  <c:v>So 06:00</c:v>
                </c:pt>
                <c:pt idx="151">
                  <c:v>So 07:00</c:v>
                </c:pt>
                <c:pt idx="152">
                  <c:v>So 08:00</c:v>
                </c:pt>
                <c:pt idx="153">
                  <c:v>So 09:00</c:v>
                </c:pt>
                <c:pt idx="154">
                  <c:v>So 10:00</c:v>
                </c:pt>
                <c:pt idx="155">
                  <c:v>So 11:00</c:v>
                </c:pt>
                <c:pt idx="156">
                  <c:v>So 12:00</c:v>
                </c:pt>
                <c:pt idx="157">
                  <c:v>So 13:00</c:v>
                </c:pt>
                <c:pt idx="158">
                  <c:v>So 14:00</c:v>
                </c:pt>
                <c:pt idx="159">
                  <c:v>So 15:00</c:v>
                </c:pt>
                <c:pt idx="160">
                  <c:v>So 16:00</c:v>
                </c:pt>
                <c:pt idx="161">
                  <c:v>So 17:00</c:v>
                </c:pt>
                <c:pt idx="162">
                  <c:v>So 18:00</c:v>
                </c:pt>
                <c:pt idx="163">
                  <c:v>So 19:00</c:v>
                </c:pt>
                <c:pt idx="164">
                  <c:v>So 20:00</c:v>
                </c:pt>
                <c:pt idx="165">
                  <c:v>So 21:00</c:v>
                </c:pt>
                <c:pt idx="166">
                  <c:v>So 22:00</c:v>
                </c:pt>
                <c:pt idx="167">
                  <c:v>So 23:00</c:v>
                </c:pt>
              </c:strCache>
            </c:strRef>
          </c:cat>
          <c:val>
            <c:numRef>
              <c:f>Berechnung!$M$190:$M$357</c:f>
              <c:numCache>
                <c:formatCode>#,##0.00</c:formatCode>
                <c:ptCount val="168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0.2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</c:v>
                </c:pt>
                <c:pt idx="58">
                  <c:v>0.2</c:v>
                </c:pt>
                <c:pt idx="59">
                  <c:v>0.2</c:v>
                </c:pt>
                <c:pt idx="60">
                  <c:v>0.2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</c:v>
                </c:pt>
                <c:pt idx="120">
                  <c:v>0.2</c:v>
                </c:pt>
                <c:pt idx="121">
                  <c:v>0.2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6-44E1-84D0-159F4630C3BC}"/>
            </c:ext>
          </c:extLst>
        </c:ser>
        <c:ser>
          <c:idx val="1"/>
          <c:order val="1"/>
          <c:tx>
            <c:v>Zapfbedarf [kWh/h]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Berechnung!$R$190:$R$357</c:f>
              <c:strCache>
                <c:ptCount val="168"/>
                <c:pt idx="0">
                  <c:v>Mo 00:00</c:v>
                </c:pt>
                <c:pt idx="1">
                  <c:v>Mo 01:00</c:v>
                </c:pt>
                <c:pt idx="2">
                  <c:v>Mo 02:00</c:v>
                </c:pt>
                <c:pt idx="3">
                  <c:v>Mo 03:00</c:v>
                </c:pt>
                <c:pt idx="4">
                  <c:v>Mo 04:00</c:v>
                </c:pt>
                <c:pt idx="5">
                  <c:v>Mo 05:00</c:v>
                </c:pt>
                <c:pt idx="6">
                  <c:v>Mo 06:00</c:v>
                </c:pt>
                <c:pt idx="7">
                  <c:v>Mo 07:00</c:v>
                </c:pt>
                <c:pt idx="8">
                  <c:v>Mo 08:00</c:v>
                </c:pt>
                <c:pt idx="9">
                  <c:v>Mo 09:00</c:v>
                </c:pt>
                <c:pt idx="10">
                  <c:v>Mo 10:00</c:v>
                </c:pt>
                <c:pt idx="11">
                  <c:v>Mo 11:00</c:v>
                </c:pt>
                <c:pt idx="12">
                  <c:v>Mo 12:00</c:v>
                </c:pt>
                <c:pt idx="13">
                  <c:v>Mo 13:00</c:v>
                </c:pt>
                <c:pt idx="14">
                  <c:v>Mo 14:00</c:v>
                </c:pt>
                <c:pt idx="15">
                  <c:v>Mo 15:00</c:v>
                </c:pt>
                <c:pt idx="16">
                  <c:v>Mo 16:00</c:v>
                </c:pt>
                <c:pt idx="17">
                  <c:v>Mo 17:00</c:v>
                </c:pt>
                <c:pt idx="18">
                  <c:v>Mo 18:00</c:v>
                </c:pt>
                <c:pt idx="19">
                  <c:v>Mo 19:00</c:v>
                </c:pt>
                <c:pt idx="20">
                  <c:v>Mo 20:00</c:v>
                </c:pt>
                <c:pt idx="21">
                  <c:v>Mo 21:00</c:v>
                </c:pt>
                <c:pt idx="22">
                  <c:v>Mo 22:00</c:v>
                </c:pt>
                <c:pt idx="23">
                  <c:v>Mo 23:00</c:v>
                </c:pt>
                <c:pt idx="24">
                  <c:v>Di 00:00</c:v>
                </c:pt>
                <c:pt idx="25">
                  <c:v>Di 01:00</c:v>
                </c:pt>
                <c:pt idx="26">
                  <c:v>Di 02:00</c:v>
                </c:pt>
                <c:pt idx="27">
                  <c:v>Di 03:00</c:v>
                </c:pt>
                <c:pt idx="28">
                  <c:v>Di 04:00</c:v>
                </c:pt>
                <c:pt idx="29">
                  <c:v>Di 05:00</c:v>
                </c:pt>
                <c:pt idx="30">
                  <c:v>Di 06:00</c:v>
                </c:pt>
                <c:pt idx="31">
                  <c:v>Di 07:00</c:v>
                </c:pt>
                <c:pt idx="32">
                  <c:v>Di 08:00</c:v>
                </c:pt>
                <c:pt idx="33">
                  <c:v>Di 09:00</c:v>
                </c:pt>
                <c:pt idx="34">
                  <c:v>Di 10:00</c:v>
                </c:pt>
                <c:pt idx="35">
                  <c:v>Di 11:00</c:v>
                </c:pt>
                <c:pt idx="36">
                  <c:v>Di 12:00</c:v>
                </c:pt>
                <c:pt idx="37">
                  <c:v>Di 13:00</c:v>
                </c:pt>
                <c:pt idx="38">
                  <c:v>Di 14:00</c:v>
                </c:pt>
                <c:pt idx="39">
                  <c:v>Di 15:00</c:v>
                </c:pt>
                <c:pt idx="40">
                  <c:v>Di 16:00</c:v>
                </c:pt>
                <c:pt idx="41">
                  <c:v>Di 17:00</c:v>
                </c:pt>
                <c:pt idx="42">
                  <c:v>Di 18:00</c:v>
                </c:pt>
                <c:pt idx="43">
                  <c:v>Di 19:00</c:v>
                </c:pt>
                <c:pt idx="44">
                  <c:v>Di 20:00</c:v>
                </c:pt>
                <c:pt idx="45">
                  <c:v>Di 21:00</c:v>
                </c:pt>
                <c:pt idx="46">
                  <c:v>Di 22:00</c:v>
                </c:pt>
                <c:pt idx="47">
                  <c:v>Di 23:00</c:v>
                </c:pt>
                <c:pt idx="48">
                  <c:v>Mi 00:00</c:v>
                </c:pt>
                <c:pt idx="49">
                  <c:v>Mi 01:00</c:v>
                </c:pt>
                <c:pt idx="50">
                  <c:v>Mi 02:00</c:v>
                </c:pt>
                <c:pt idx="51">
                  <c:v>Mi 03:00</c:v>
                </c:pt>
                <c:pt idx="52">
                  <c:v>Mi 04:00</c:v>
                </c:pt>
                <c:pt idx="53">
                  <c:v>Mi 05:00</c:v>
                </c:pt>
                <c:pt idx="54">
                  <c:v>Mi 06:00</c:v>
                </c:pt>
                <c:pt idx="55">
                  <c:v>Mi 07:00</c:v>
                </c:pt>
                <c:pt idx="56">
                  <c:v>Mi 08:00</c:v>
                </c:pt>
                <c:pt idx="57">
                  <c:v>Mi 09:00</c:v>
                </c:pt>
                <c:pt idx="58">
                  <c:v>Mi 10:00</c:v>
                </c:pt>
                <c:pt idx="59">
                  <c:v>Mi 11:00</c:v>
                </c:pt>
                <c:pt idx="60">
                  <c:v>Mi 12:00</c:v>
                </c:pt>
                <c:pt idx="61">
                  <c:v>Mi 13:00</c:v>
                </c:pt>
                <c:pt idx="62">
                  <c:v>Mi 14:00</c:v>
                </c:pt>
                <c:pt idx="63">
                  <c:v>Mi 15:00</c:v>
                </c:pt>
                <c:pt idx="64">
                  <c:v>Mi 16:00</c:v>
                </c:pt>
                <c:pt idx="65">
                  <c:v>Mi 17:00</c:v>
                </c:pt>
                <c:pt idx="66">
                  <c:v>Mi 18:00</c:v>
                </c:pt>
                <c:pt idx="67">
                  <c:v>Mi 19:00</c:v>
                </c:pt>
                <c:pt idx="68">
                  <c:v>Mi 20:00</c:v>
                </c:pt>
                <c:pt idx="69">
                  <c:v>Mi 21:00</c:v>
                </c:pt>
                <c:pt idx="70">
                  <c:v>Mi 22:00</c:v>
                </c:pt>
                <c:pt idx="71">
                  <c:v>Mi 23:00</c:v>
                </c:pt>
                <c:pt idx="72">
                  <c:v>Do 00:00</c:v>
                </c:pt>
                <c:pt idx="73">
                  <c:v>Do 01:00</c:v>
                </c:pt>
                <c:pt idx="74">
                  <c:v>Do 02:00</c:v>
                </c:pt>
                <c:pt idx="75">
                  <c:v>Do 03:00</c:v>
                </c:pt>
                <c:pt idx="76">
                  <c:v>Do 04:00</c:v>
                </c:pt>
                <c:pt idx="77">
                  <c:v>Do 05:00</c:v>
                </c:pt>
                <c:pt idx="78">
                  <c:v>Do 06:00</c:v>
                </c:pt>
                <c:pt idx="79">
                  <c:v>Do 07:00</c:v>
                </c:pt>
                <c:pt idx="80">
                  <c:v>Do 08:00</c:v>
                </c:pt>
                <c:pt idx="81">
                  <c:v>Do 09:00</c:v>
                </c:pt>
                <c:pt idx="82">
                  <c:v>Do 10:00</c:v>
                </c:pt>
                <c:pt idx="83">
                  <c:v>Do 11:00</c:v>
                </c:pt>
                <c:pt idx="84">
                  <c:v>Do 12:00</c:v>
                </c:pt>
                <c:pt idx="85">
                  <c:v>Do 13:00</c:v>
                </c:pt>
                <c:pt idx="86">
                  <c:v>Do 14:00</c:v>
                </c:pt>
                <c:pt idx="87">
                  <c:v>Do 15:00</c:v>
                </c:pt>
                <c:pt idx="88">
                  <c:v>Do 16:00</c:v>
                </c:pt>
                <c:pt idx="89">
                  <c:v>Do 17:00</c:v>
                </c:pt>
                <c:pt idx="90">
                  <c:v>Do 18:00</c:v>
                </c:pt>
                <c:pt idx="91">
                  <c:v>Do 19:00</c:v>
                </c:pt>
                <c:pt idx="92">
                  <c:v>Do 20:00</c:v>
                </c:pt>
                <c:pt idx="93">
                  <c:v>Do 21:00</c:v>
                </c:pt>
                <c:pt idx="94">
                  <c:v>Do 22:00</c:v>
                </c:pt>
                <c:pt idx="95">
                  <c:v>Do 23:00</c:v>
                </c:pt>
                <c:pt idx="96">
                  <c:v>Fr 00:00</c:v>
                </c:pt>
                <c:pt idx="97">
                  <c:v>Fr 01:00</c:v>
                </c:pt>
                <c:pt idx="98">
                  <c:v>Fr 02:00</c:v>
                </c:pt>
                <c:pt idx="99">
                  <c:v>Fr 03:00</c:v>
                </c:pt>
                <c:pt idx="100">
                  <c:v>Fr 04:00</c:v>
                </c:pt>
                <c:pt idx="101">
                  <c:v>Fr 05:00</c:v>
                </c:pt>
                <c:pt idx="102">
                  <c:v>Fr 06:00</c:v>
                </c:pt>
                <c:pt idx="103">
                  <c:v>Fr 07:00</c:v>
                </c:pt>
                <c:pt idx="104">
                  <c:v>Fr 08:00</c:v>
                </c:pt>
                <c:pt idx="105">
                  <c:v>Fr 09:00</c:v>
                </c:pt>
                <c:pt idx="106">
                  <c:v>Fr 10:00</c:v>
                </c:pt>
                <c:pt idx="107">
                  <c:v>Fr 11:00</c:v>
                </c:pt>
                <c:pt idx="108">
                  <c:v>Fr 12:00</c:v>
                </c:pt>
                <c:pt idx="109">
                  <c:v>Fr 13:00</c:v>
                </c:pt>
                <c:pt idx="110">
                  <c:v>Fr 14:00</c:v>
                </c:pt>
                <c:pt idx="111">
                  <c:v>Fr 15:00</c:v>
                </c:pt>
                <c:pt idx="112">
                  <c:v>Fr 16:00</c:v>
                </c:pt>
                <c:pt idx="113">
                  <c:v>Fr 17:00</c:v>
                </c:pt>
                <c:pt idx="114">
                  <c:v>Fr 18:00</c:v>
                </c:pt>
                <c:pt idx="115">
                  <c:v>Fr 19:00</c:v>
                </c:pt>
                <c:pt idx="116">
                  <c:v>Fr 20:00</c:v>
                </c:pt>
                <c:pt idx="117">
                  <c:v>Fr 21:00</c:v>
                </c:pt>
                <c:pt idx="118">
                  <c:v>Fr 22:00</c:v>
                </c:pt>
                <c:pt idx="119">
                  <c:v>Fr 23:00</c:v>
                </c:pt>
                <c:pt idx="120">
                  <c:v>Sa 00:00</c:v>
                </c:pt>
                <c:pt idx="121">
                  <c:v>Sa 01:00</c:v>
                </c:pt>
                <c:pt idx="122">
                  <c:v>Sa 02:00</c:v>
                </c:pt>
                <c:pt idx="123">
                  <c:v>Sa 03:00</c:v>
                </c:pt>
                <c:pt idx="124">
                  <c:v>Sa 04:00</c:v>
                </c:pt>
                <c:pt idx="125">
                  <c:v>Sa 05:00</c:v>
                </c:pt>
                <c:pt idx="126">
                  <c:v>Sa 06:00</c:v>
                </c:pt>
                <c:pt idx="127">
                  <c:v>Sa 07:00</c:v>
                </c:pt>
                <c:pt idx="128">
                  <c:v>Sa 08:00</c:v>
                </c:pt>
                <c:pt idx="129">
                  <c:v>Sa 09:00</c:v>
                </c:pt>
                <c:pt idx="130">
                  <c:v>Sa 10:00</c:v>
                </c:pt>
                <c:pt idx="131">
                  <c:v>Sa 11:00</c:v>
                </c:pt>
                <c:pt idx="132">
                  <c:v>Sa 12:00</c:v>
                </c:pt>
                <c:pt idx="133">
                  <c:v>Sa 13:00</c:v>
                </c:pt>
                <c:pt idx="134">
                  <c:v>Sa 14:00</c:v>
                </c:pt>
                <c:pt idx="135">
                  <c:v>Sa 15:00</c:v>
                </c:pt>
                <c:pt idx="136">
                  <c:v>Sa 16:00</c:v>
                </c:pt>
                <c:pt idx="137">
                  <c:v>Sa 17:00</c:v>
                </c:pt>
                <c:pt idx="138">
                  <c:v>Sa 18:00</c:v>
                </c:pt>
                <c:pt idx="139">
                  <c:v>Sa 19:00</c:v>
                </c:pt>
                <c:pt idx="140">
                  <c:v>Sa 20:00</c:v>
                </c:pt>
                <c:pt idx="141">
                  <c:v>Sa 21:00</c:v>
                </c:pt>
                <c:pt idx="142">
                  <c:v>Sa 22:00</c:v>
                </c:pt>
                <c:pt idx="143">
                  <c:v>Sa 23:00</c:v>
                </c:pt>
                <c:pt idx="144">
                  <c:v>So 00:00</c:v>
                </c:pt>
                <c:pt idx="145">
                  <c:v>So 01:00</c:v>
                </c:pt>
                <c:pt idx="146">
                  <c:v>So 02:00</c:v>
                </c:pt>
                <c:pt idx="147">
                  <c:v>So 03:00</c:v>
                </c:pt>
                <c:pt idx="148">
                  <c:v>So 04:00</c:v>
                </c:pt>
                <c:pt idx="149">
                  <c:v>So 05:00</c:v>
                </c:pt>
                <c:pt idx="150">
                  <c:v>So 06:00</c:v>
                </c:pt>
                <c:pt idx="151">
                  <c:v>So 07:00</c:v>
                </c:pt>
                <c:pt idx="152">
                  <c:v>So 08:00</c:v>
                </c:pt>
                <c:pt idx="153">
                  <c:v>So 09:00</c:v>
                </c:pt>
                <c:pt idx="154">
                  <c:v>So 10:00</c:v>
                </c:pt>
                <c:pt idx="155">
                  <c:v>So 11:00</c:v>
                </c:pt>
                <c:pt idx="156">
                  <c:v>So 12:00</c:v>
                </c:pt>
                <c:pt idx="157">
                  <c:v>So 13:00</c:v>
                </c:pt>
                <c:pt idx="158">
                  <c:v>So 14:00</c:v>
                </c:pt>
                <c:pt idx="159">
                  <c:v>So 15:00</c:v>
                </c:pt>
                <c:pt idx="160">
                  <c:v>So 16:00</c:v>
                </c:pt>
                <c:pt idx="161">
                  <c:v>So 17:00</c:v>
                </c:pt>
                <c:pt idx="162">
                  <c:v>So 18:00</c:v>
                </c:pt>
                <c:pt idx="163">
                  <c:v>So 19:00</c:v>
                </c:pt>
                <c:pt idx="164">
                  <c:v>So 20:00</c:v>
                </c:pt>
                <c:pt idx="165">
                  <c:v>So 21:00</c:v>
                </c:pt>
                <c:pt idx="166">
                  <c:v>So 22:00</c:v>
                </c:pt>
                <c:pt idx="167">
                  <c:v>So 23:00</c:v>
                </c:pt>
              </c:strCache>
            </c:strRef>
          </c:cat>
          <c:val>
            <c:numRef>
              <c:f>Berechnung!$L$190:$L$357</c:f>
              <c:numCache>
                <c:formatCode>#,##0.00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1.6334102400000001</c:v>
                </c:pt>
                <c:pt idx="7">
                  <c:v>4.9002307199999997</c:v>
                </c:pt>
                <c:pt idx="8">
                  <c:v>6.5336409600000005</c:v>
                </c:pt>
                <c:pt idx="9">
                  <c:v>6.9419935200000005</c:v>
                </c:pt>
                <c:pt idx="10">
                  <c:v>6.9419935200000005</c:v>
                </c:pt>
                <c:pt idx="11">
                  <c:v>7.3503460799999996</c:v>
                </c:pt>
                <c:pt idx="12">
                  <c:v>8.1670512000000013</c:v>
                </c:pt>
                <c:pt idx="13">
                  <c:v>7.7586986400000004</c:v>
                </c:pt>
                <c:pt idx="14">
                  <c:v>6.9419935200000005</c:v>
                </c:pt>
                <c:pt idx="15">
                  <c:v>6.5336409600000005</c:v>
                </c:pt>
                <c:pt idx="16">
                  <c:v>6.1252883999999996</c:v>
                </c:pt>
                <c:pt idx="17">
                  <c:v>4.9002307199999997</c:v>
                </c:pt>
                <c:pt idx="18">
                  <c:v>3.6751730399999998</c:v>
                </c:pt>
                <c:pt idx="19">
                  <c:v>2.0417628000000003</c:v>
                </c:pt>
                <c:pt idx="20">
                  <c:v>1.2250576799999999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1.6334102400000001</c:v>
                </c:pt>
                <c:pt idx="31">
                  <c:v>4.9002307199999997</c:v>
                </c:pt>
                <c:pt idx="32">
                  <c:v>6.5336409600000005</c:v>
                </c:pt>
                <c:pt idx="33">
                  <c:v>6.9419935200000005</c:v>
                </c:pt>
                <c:pt idx="34">
                  <c:v>6.9419935200000005</c:v>
                </c:pt>
                <c:pt idx="35">
                  <c:v>7.3503460799999996</c:v>
                </c:pt>
                <c:pt idx="36">
                  <c:v>8.1670512000000013</c:v>
                </c:pt>
                <c:pt idx="37">
                  <c:v>7.7586986400000004</c:v>
                </c:pt>
                <c:pt idx="38">
                  <c:v>6.9419935200000005</c:v>
                </c:pt>
                <c:pt idx="39">
                  <c:v>6.5336409600000005</c:v>
                </c:pt>
                <c:pt idx="40">
                  <c:v>6.1252883999999996</c:v>
                </c:pt>
                <c:pt idx="41">
                  <c:v>4.9002307199999997</c:v>
                </c:pt>
                <c:pt idx="42">
                  <c:v>3.6751730399999998</c:v>
                </c:pt>
                <c:pt idx="43">
                  <c:v>2.0417628000000003</c:v>
                </c:pt>
                <c:pt idx="44">
                  <c:v>1.2250576799999999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1.6334102400000001</c:v>
                </c:pt>
                <c:pt idx="55">
                  <c:v>4.9002307199999997</c:v>
                </c:pt>
                <c:pt idx="56">
                  <c:v>6.5336409600000005</c:v>
                </c:pt>
                <c:pt idx="57">
                  <c:v>6.9419935200000005</c:v>
                </c:pt>
                <c:pt idx="58">
                  <c:v>6.9419935200000005</c:v>
                </c:pt>
                <c:pt idx="59">
                  <c:v>7.3503460799999996</c:v>
                </c:pt>
                <c:pt idx="60">
                  <c:v>8.1670512000000013</c:v>
                </c:pt>
                <c:pt idx="61">
                  <c:v>7.7586986400000004</c:v>
                </c:pt>
                <c:pt idx="62">
                  <c:v>6.9419935200000005</c:v>
                </c:pt>
                <c:pt idx="63">
                  <c:v>6.5336409600000005</c:v>
                </c:pt>
                <c:pt idx="64">
                  <c:v>6.1252883999999996</c:v>
                </c:pt>
                <c:pt idx="65">
                  <c:v>4.9002307199999997</c:v>
                </c:pt>
                <c:pt idx="66">
                  <c:v>3.6751730399999998</c:v>
                </c:pt>
                <c:pt idx="67">
                  <c:v>2.0417628000000003</c:v>
                </c:pt>
                <c:pt idx="68">
                  <c:v>1.2250576799999999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1.6334102400000001</c:v>
                </c:pt>
                <c:pt idx="79">
                  <c:v>4.9002307199999997</c:v>
                </c:pt>
                <c:pt idx="80">
                  <c:v>6.5336409600000005</c:v>
                </c:pt>
                <c:pt idx="81">
                  <c:v>6.9419935200000005</c:v>
                </c:pt>
                <c:pt idx="82">
                  <c:v>6.9419935200000005</c:v>
                </c:pt>
                <c:pt idx="83">
                  <c:v>7.3503460799999996</c:v>
                </c:pt>
                <c:pt idx="84">
                  <c:v>8.1670512000000013</c:v>
                </c:pt>
                <c:pt idx="85">
                  <c:v>7.7586986400000004</c:v>
                </c:pt>
                <c:pt idx="86">
                  <c:v>6.9419935200000005</c:v>
                </c:pt>
                <c:pt idx="87">
                  <c:v>6.5336409600000005</c:v>
                </c:pt>
                <c:pt idx="88">
                  <c:v>6.1252883999999996</c:v>
                </c:pt>
                <c:pt idx="89">
                  <c:v>4.9002307199999997</c:v>
                </c:pt>
                <c:pt idx="90">
                  <c:v>3.6751730399999998</c:v>
                </c:pt>
                <c:pt idx="91">
                  <c:v>2.0417628000000003</c:v>
                </c:pt>
                <c:pt idx="92">
                  <c:v>1.2250576799999999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1.6334102400000001</c:v>
                </c:pt>
                <c:pt idx="103">
                  <c:v>4.9002307199999997</c:v>
                </c:pt>
                <c:pt idx="104">
                  <c:v>6.5336409600000005</c:v>
                </c:pt>
                <c:pt idx="105">
                  <c:v>6.9419935200000005</c:v>
                </c:pt>
                <c:pt idx="106">
                  <c:v>6.9419935200000005</c:v>
                </c:pt>
                <c:pt idx="107">
                  <c:v>7.3503460799999996</c:v>
                </c:pt>
                <c:pt idx="108">
                  <c:v>8.1670512000000013</c:v>
                </c:pt>
                <c:pt idx="109">
                  <c:v>7.7586986400000004</c:v>
                </c:pt>
                <c:pt idx="110">
                  <c:v>6.9419935200000005</c:v>
                </c:pt>
                <c:pt idx="111">
                  <c:v>6.5336409600000005</c:v>
                </c:pt>
                <c:pt idx="112">
                  <c:v>6.1252883999999996</c:v>
                </c:pt>
                <c:pt idx="113">
                  <c:v>4.9002307199999997</c:v>
                </c:pt>
                <c:pt idx="114">
                  <c:v>3.6751730399999998</c:v>
                </c:pt>
                <c:pt idx="115">
                  <c:v>2.0417628000000003</c:v>
                </c:pt>
                <c:pt idx="116">
                  <c:v>1.2250576799999999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0.21492240000000004</c:v>
                </c:pt>
                <c:pt idx="121">
                  <c:v>0.21492240000000004</c:v>
                </c:pt>
                <c:pt idx="122">
                  <c:v>0.21492240000000004</c:v>
                </c:pt>
                <c:pt idx="123">
                  <c:v>0.21492240000000004</c:v>
                </c:pt>
                <c:pt idx="124">
                  <c:v>0.21492240000000004</c:v>
                </c:pt>
                <c:pt idx="125">
                  <c:v>0.21492240000000004</c:v>
                </c:pt>
                <c:pt idx="126">
                  <c:v>0.32238360000000005</c:v>
                </c:pt>
                <c:pt idx="127">
                  <c:v>0.42984480000000008</c:v>
                </c:pt>
                <c:pt idx="128">
                  <c:v>0.53730600000000006</c:v>
                </c:pt>
                <c:pt idx="129">
                  <c:v>0.69849780000000006</c:v>
                </c:pt>
                <c:pt idx="130">
                  <c:v>0.75222840000000013</c:v>
                </c:pt>
                <c:pt idx="131">
                  <c:v>0.80595900000000009</c:v>
                </c:pt>
                <c:pt idx="132">
                  <c:v>0.80595900000000009</c:v>
                </c:pt>
                <c:pt idx="133">
                  <c:v>0.75222840000000013</c:v>
                </c:pt>
                <c:pt idx="134">
                  <c:v>0.69849780000000006</c:v>
                </c:pt>
                <c:pt idx="135">
                  <c:v>0.6447672000000001</c:v>
                </c:pt>
                <c:pt idx="136">
                  <c:v>0.59103660000000002</c:v>
                </c:pt>
                <c:pt idx="137">
                  <c:v>0.48357540000000004</c:v>
                </c:pt>
                <c:pt idx="138">
                  <c:v>0.42984480000000008</c:v>
                </c:pt>
                <c:pt idx="139">
                  <c:v>0.37611420000000007</c:v>
                </c:pt>
                <c:pt idx="140">
                  <c:v>0.32238360000000005</c:v>
                </c:pt>
                <c:pt idx="141">
                  <c:v>0.26865300000000003</c:v>
                </c:pt>
                <c:pt idx="142">
                  <c:v>0.26865300000000003</c:v>
                </c:pt>
                <c:pt idx="143">
                  <c:v>0.26865300000000003</c:v>
                </c:pt>
                <c:pt idx="144">
                  <c:v>0.21492240000000004</c:v>
                </c:pt>
                <c:pt idx="145">
                  <c:v>0.21492240000000004</c:v>
                </c:pt>
                <c:pt idx="146">
                  <c:v>0.21492240000000004</c:v>
                </c:pt>
                <c:pt idx="147">
                  <c:v>0.21492240000000004</c:v>
                </c:pt>
                <c:pt idx="148">
                  <c:v>0.21492240000000004</c:v>
                </c:pt>
                <c:pt idx="149">
                  <c:v>0.21492240000000004</c:v>
                </c:pt>
                <c:pt idx="150">
                  <c:v>0.32238360000000005</c:v>
                </c:pt>
                <c:pt idx="151">
                  <c:v>0.42984480000000008</c:v>
                </c:pt>
                <c:pt idx="152">
                  <c:v>0.53730600000000006</c:v>
                </c:pt>
                <c:pt idx="153">
                  <c:v>0.69849780000000006</c:v>
                </c:pt>
                <c:pt idx="154">
                  <c:v>0.75222840000000013</c:v>
                </c:pt>
                <c:pt idx="155">
                  <c:v>0.80595900000000009</c:v>
                </c:pt>
                <c:pt idx="156">
                  <c:v>0.80595900000000009</c:v>
                </c:pt>
                <c:pt idx="157">
                  <c:v>0.75222840000000013</c:v>
                </c:pt>
                <c:pt idx="158">
                  <c:v>0.69849780000000006</c:v>
                </c:pt>
                <c:pt idx="159">
                  <c:v>0.6447672000000001</c:v>
                </c:pt>
                <c:pt idx="160">
                  <c:v>0.59103660000000002</c:v>
                </c:pt>
                <c:pt idx="161">
                  <c:v>0.48357540000000004</c:v>
                </c:pt>
                <c:pt idx="162">
                  <c:v>0.42984480000000008</c:v>
                </c:pt>
                <c:pt idx="163">
                  <c:v>0.37611420000000007</c:v>
                </c:pt>
                <c:pt idx="164">
                  <c:v>0.32238360000000005</c:v>
                </c:pt>
                <c:pt idx="165">
                  <c:v>0.26865300000000003</c:v>
                </c:pt>
                <c:pt idx="166">
                  <c:v>0.26865300000000003</c:v>
                </c:pt>
                <c:pt idx="167">
                  <c:v>0.26865300000000003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6-44E1-84D0-159F4630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2653312"/>
        <c:axId val="452651872"/>
      </c:barChart>
      <c:lineChart>
        <c:grouping val="standard"/>
        <c:varyColors val="0"/>
        <c:ser>
          <c:idx val="2"/>
          <c:order val="2"/>
          <c:tx>
            <c:v>Ladung [kWh/h]</c:v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Berechnung!$R$190:$R$357</c:f>
              <c:strCache>
                <c:ptCount val="168"/>
                <c:pt idx="0">
                  <c:v>Mo 00:00</c:v>
                </c:pt>
                <c:pt idx="1">
                  <c:v>Mo 01:00</c:v>
                </c:pt>
                <c:pt idx="2">
                  <c:v>Mo 02:00</c:v>
                </c:pt>
                <c:pt idx="3">
                  <c:v>Mo 03:00</c:v>
                </c:pt>
                <c:pt idx="4">
                  <c:v>Mo 04:00</c:v>
                </c:pt>
                <c:pt idx="5">
                  <c:v>Mo 05:00</c:v>
                </c:pt>
                <c:pt idx="6">
                  <c:v>Mo 06:00</c:v>
                </c:pt>
                <c:pt idx="7">
                  <c:v>Mo 07:00</c:v>
                </c:pt>
                <c:pt idx="8">
                  <c:v>Mo 08:00</c:v>
                </c:pt>
                <c:pt idx="9">
                  <c:v>Mo 09:00</c:v>
                </c:pt>
                <c:pt idx="10">
                  <c:v>Mo 10:00</c:v>
                </c:pt>
                <c:pt idx="11">
                  <c:v>Mo 11:00</c:v>
                </c:pt>
                <c:pt idx="12">
                  <c:v>Mo 12:00</c:v>
                </c:pt>
                <c:pt idx="13">
                  <c:v>Mo 13:00</c:v>
                </c:pt>
                <c:pt idx="14">
                  <c:v>Mo 14:00</c:v>
                </c:pt>
                <c:pt idx="15">
                  <c:v>Mo 15:00</c:v>
                </c:pt>
                <c:pt idx="16">
                  <c:v>Mo 16:00</c:v>
                </c:pt>
                <c:pt idx="17">
                  <c:v>Mo 17:00</c:v>
                </c:pt>
                <c:pt idx="18">
                  <c:v>Mo 18:00</c:v>
                </c:pt>
                <c:pt idx="19">
                  <c:v>Mo 19:00</c:v>
                </c:pt>
                <c:pt idx="20">
                  <c:v>Mo 20:00</c:v>
                </c:pt>
                <c:pt idx="21">
                  <c:v>Mo 21:00</c:v>
                </c:pt>
                <c:pt idx="22">
                  <c:v>Mo 22:00</c:v>
                </c:pt>
                <c:pt idx="23">
                  <c:v>Mo 23:00</c:v>
                </c:pt>
                <c:pt idx="24">
                  <c:v>Di 00:00</c:v>
                </c:pt>
                <c:pt idx="25">
                  <c:v>Di 01:00</c:v>
                </c:pt>
                <c:pt idx="26">
                  <c:v>Di 02:00</c:v>
                </c:pt>
                <c:pt idx="27">
                  <c:v>Di 03:00</c:v>
                </c:pt>
                <c:pt idx="28">
                  <c:v>Di 04:00</c:v>
                </c:pt>
                <c:pt idx="29">
                  <c:v>Di 05:00</c:v>
                </c:pt>
                <c:pt idx="30">
                  <c:v>Di 06:00</c:v>
                </c:pt>
                <c:pt idx="31">
                  <c:v>Di 07:00</c:v>
                </c:pt>
                <c:pt idx="32">
                  <c:v>Di 08:00</c:v>
                </c:pt>
                <c:pt idx="33">
                  <c:v>Di 09:00</c:v>
                </c:pt>
                <c:pt idx="34">
                  <c:v>Di 10:00</c:v>
                </c:pt>
                <c:pt idx="35">
                  <c:v>Di 11:00</c:v>
                </c:pt>
                <c:pt idx="36">
                  <c:v>Di 12:00</c:v>
                </c:pt>
                <c:pt idx="37">
                  <c:v>Di 13:00</c:v>
                </c:pt>
                <c:pt idx="38">
                  <c:v>Di 14:00</c:v>
                </c:pt>
                <c:pt idx="39">
                  <c:v>Di 15:00</c:v>
                </c:pt>
                <c:pt idx="40">
                  <c:v>Di 16:00</c:v>
                </c:pt>
                <c:pt idx="41">
                  <c:v>Di 17:00</c:v>
                </c:pt>
                <c:pt idx="42">
                  <c:v>Di 18:00</c:v>
                </c:pt>
                <c:pt idx="43">
                  <c:v>Di 19:00</c:v>
                </c:pt>
                <c:pt idx="44">
                  <c:v>Di 20:00</c:v>
                </c:pt>
                <c:pt idx="45">
                  <c:v>Di 21:00</c:v>
                </c:pt>
                <c:pt idx="46">
                  <c:v>Di 22:00</c:v>
                </c:pt>
                <c:pt idx="47">
                  <c:v>Di 23:00</c:v>
                </c:pt>
                <c:pt idx="48">
                  <c:v>Mi 00:00</c:v>
                </c:pt>
                <c:pt idx="49">
                  <c:v>Mi 01:00</c:v>
                </c:pt>
                <c:pt idx="50">
                  <c:v>Mi 02:00</c:v>
                </c:pt>
                <c:pt idx="51">
                  <c:v>Mi 03:00</c:v>
                </c:pt>
                <c:pt idx="52">
                  <c:v>Mi 04:00</c:v>
                </c:pt>
                <c:pt idx="53">
                  <c:v>Mi 05:00</c:v>
                </c:pt>
                <c:pt idx="54">
                  <c:v>Mi 06:00</c:v>
                </c:pt>
                <c:pt idx="55">
                  <c:v>Mi 07:00</c:v>
                </c:pt>
                <c:pt idx="56">
                  <c:v>Mi 08:00</c:v>
                </c:pt>
                <c:pt idx="57">
                  <c:v>Mi 09:00</c:v>
                </c:pt>
                <c:pt idx="58">
                  <c:v>Mi 10:00</c:v>
                </c:pt>
                <c:pt idx="59">
                  <c:v>Mi 11:00</c:v>
                </c:pt>
                <c:pt idx="60">
                  <c:v>Mi 12:00</c:v>
                </c:pt>
                <c:pt idx="61">
                  <c:v>Mi 13:00</c:v>
                </c:pt>
                <c:pt idx="62">
                  <c:v>Mi 14:00</c:v>
                </c:pt>
                <c:pt idx="63">
                  <c:v>Mi 15:00</c:v>
                </c:pt>
                <c:pt idx="64">
                  <c:v>Mi 16:00</c:v>
                </c:pt>
                <c:pt idx="65">
                  <c:v>Mi 17:00</c:v>
                </c:pt>
                <c:pt idx="66">
                  <c:v>Mi 18:00</c:v>
                </c:pt>
                <c:pt idx="67">
                  <c:v>Mi 19:00</c:v>
                </c:pt>
                <c:pt idx="68">
                  <c:v>Mi 20:00</c:v>
                </c:pt>
                <c:pt idx="69">
                  <c:v>Mi 21:00</c:v>
                </c:pt>
                <c:pt idx="70">
                  <c:v>Mi 22:00</c:v>
                </c:pt>
                <c:pt idx="71">
                  <c:v>Mi 23:00</c:v>
                </c:pt>
                <c:pt idx="72">
                  <c:v>Do 00:00</c:v>
                </c:pt>
                <c:pt idx="73">
                  <c:v>Do 01:00</c:v>
                </c:pt>
                <c:pt idx="74">
                  <c:v>Do 02:00</c:v>
                </c:pt>
                <c:pt idx="75">
                  <c:v>Do 03:00</c:v>
                </c:pt>
                <c:pt idx="76">
                  <c:v>Do 04:00</c:v>
                </c:pt>
                <c:pt idx="77">
                  <c:v>Do 05:00</c:v>
                </c:pt>
                <c:pt idx="78">
                  <c:v>Do 06:00</c:v>
                </c:pt>
                <c:pt idx="79">
                  <c:v>Do 07:00</c:v>
                </c:pt>
                <c:pt idx="80">
                  <c:v>Do 08:00</c:v>
                </c:pt>
                <c:pt idx="81">
                  <c:v>Do 09:00</c:v>
                </c:pt>
                <c:pt idx="82">
                  <c:v>Do 10:00</c:v>
                </c:pt>
                <c:pt idx="83">
                  <c:v>Do 11:00</c:v>
                </c:pt>
                <c:pt idx="84">
                  <c:v>Do 12:00</c:v>
                </c:pt>
                <c:pt idx="85">
                  <c:v>Do 13:00</c:v>
                </c:pt>
                <c:pt idx="86">
                  <c:v>Do 14:00</c:v>
                </c:pt>
                <c:pt idx="87">
                  <c:v>Do 15:00</c:v>
                </c:pt>
                <c:pt idx="88">
                  <c:v>Do 16:00</c:v>
                </c:pt>
                <c:pt idx="89">
                  <c:v>Do 17:00</c:v>
                </c:pt>
                <c:pt idx="90">
                  <c:v>Do 18:00</c:v>
                </c:pt>
                <c:pt idx="91">
                  <c:v>Do 19:00</c:v>
                </c:pt>
                <c:pt idx="92">
                  <c:v>Do 20:00</c:v>
                </c:pt>
                <c:pt idx="93">
                  <c:v>Do 21:00</c:v>
                </c:pt>
                <c:pt idx="94">
                  <c:v>Do 22:00</c:v>
                </c:pt>
                <c:pt idx="95">
                  <c:v>Do 23:00</c:v>
                </c:pt>
                <c:pt idx="96">
                  <c:v>Fr 00:00</c:v>
                </c:pt>
                <c:pt idx="97">
                  <c:v>Fr 01:00</c:v>
                </c:pt>
                <c:pt idx="98">
                  <c:v>Fr 02:00</c:v>
                </c:pt>
                <c:pt idx="99">
                  <c:v>Fr 03:00</c:v>
                </c:pt>
                <c:pt idx="100">
                  <c:v>Fr 04:00</c:v>
                </c:pt>
                <c:pt idx="101">
                  <c:v>Fr 05:00</c:v>
                </c:pt>
                <c:pt idx="102">
                  <c:v>Fr 06:00</c:v>
                </c:pt>
                <c:pt idx="103">
                  <c:v>Fr 07:00</c:v>
                </c:pt>
                <c:pt idx="104">
                  <c:v>Fr 08:00</c:v>
                </c:pt>
                <c:pt idx="105">
                  <c:v>Fr 09:00</c:v>
                </c:pt>
                <c:pt idx="106">
                  <c:v>Fr 10:00</c:v>
                </c:pt>
                <c:pt idx="107">
                  <c:v>Fr 11:00</c:v>
                </c:pt>
                <c:pt idx="108">
                  <c:v>Fr 12:00</c:v>
                </c:pt>
                <c:pt idx="109">
                  <c:v>Fr 13:00</c:v>
                </c:pt>
                <c:pt idx="110">
                  <c:v>Fr 14:00</c:v>
                </c:pt>
                <c:pt idx="111">
                  <c:v>Fr 15:00</c:v>
                </c:pt>
                <c:pt idx="112">
                  <c:v>Fr 16:00</c:v>
                </c:pt>
                <c:pt idx="113">
                  <c:v>Fr 17:00</c:v>
                </c:pt>
                <c:pt idx="114">
                  <c:v>Fr 18:00</c:v>
                </c:pt>
                <c:pt idx="115">
                  <c:v>Fr 19:00</c:v>
                </c:pt>
                <c:pt idx="116">
                  <c:v>Fr 20:00</c:v>
                </c:pt>
                <c:pt idx="117">
                  <c:v>Fr 21:00</c:v>
                </c:pt>
                <c:pt idx="118">
                  <c:v>Fr 22:00</c:v>
                </c:pt>
                <c:pt idx="119">
                  <c:v>Fr 23:00</c:v>
                </c:pt>
                <c:pt idx="120">
                  <c:v>Sa 00:00</c:v>
                </c:pt>
                <c:pt idx="121">
                  <c:v>Sa 01:00</c:v>
                </c:pt>
                <c:pt idx="122">
                  <c:v>Sa 02:00</c:v>
                </c:pt>
                <c:pt idx="123">
                  <c:v>Sa 03:00</c:v>
                </c:pt>
                <c:pt idx="124">
                  <c:v>Sa 04:00</c:v>
                </c:pt>
                <c:pt idx="125">
                  <c:v>Sa 05:00</c:v>
                </c:pt>
                <c:pt idx="126">
                  <c:v>Sa 06:00</c:v>
                </c:pt>
                <c:pt idx="127">
                  <c:v>Sa 07:00</c:v>
                </c:pt>
                <c:pt idx="128">
                  <c:v>Sa 08:00</c:v>
                </c:pt>
                <c:pt idx="129">
                  <c:v>Sa 09:00</c:v>
                </c:pt>
                <c:pt idx="130">
                  <c:v>Sa 10:00</c:v>
                </c:pt>
                <c:pt idx="131">
                  <c:v>Sa 11:00</c:v>
                </c:pt>
                <c:pt idx="132">
                  <c:v>Sa 12:00</c:v>
                </c:pt>
                <c:pt idx="133">
                  <c:v>Sa 13:00</c:v>
                </c:pt>
                <c:pt idx="134">
                  <c:v>Sa 14:00</c:v>
                </c:pt>
                <c:pt idx="135">
                  <c:v>Sa 15:00</c:v>
                </c:pt>
                <c:pt idx="136">
                  <c:v>Sa 16:00</c:v>
                </c:pt>
                <c:pt idx="137">
                  <c:v>Sa 17:00</c:v>
                </c:pt>
                <c:pt idx="138">
                  <c:v>Sa 18:00</c:v>
                </c:pt>
                <c:pt idx="139">
                  <c:v>Sa 19:00</c:v>
                </c:pt>
                <c:pt idx="140">
                  <c:v>Sa 20:00</c:v>
                </c:pt>
                <c:pt idx="141">
                  <c:v>Sa 21:00</c:v>
                </c:pt>
                <c:pt idx="142">
                  <c:v>Sa 22:00</c:v>
                </c:pt>
                <c:pt idx="143">
                  <c:v>Sa 23:00</c:v>
                </c:pt>
                <c:pt idx="144">
                  <c:v>So 00:00</c:v>
                </c:pt>
                <c:pt idx="145">
                  <c:v>So 01:00</c:v>
                </c:pt>
                <c:pt idx="146">
                  <c:v>So 02:00</c:v>
                </c:pt>
                <c:pt idx="147">
                  <c:v>So 03:00</c:v>
                </c:pt>
                <c:pt idx="148">
                  <c:v>So 04:00</c:v>
                </c:pt>
                <c:pt idx="149">
                  <c:v>So 05:00</c:v>
                </c:pt>
                <c:pt idx="150">
                  <c:v>So 06:00</c:v>
                </c:pt>
                <c:pt idx="151">
                  <c:v>So 07:00</c:v>
                </c:pt>
                <c:pt idx="152">
                  <c:v>So 08:00</c:v>
                </c:pt>
                <c:pt idx="153">
                  <c:v>So 09:00</c:v>
                </c:pt>
                <c:pt idx="154">
                  <c:v>So 10:00</c:v>
                </c:pt>
                <c:pt idx="155">
                  <c:v>So 11:00</c:v>
                </c:pt>
                <c:pt idx="156">
                  <c:v>So 12:00</c:v>
                </c:pt>
                <c:pt idx="157">
                  <c:v>So 13:00</c:v>
                </c:pt>
                <c:pt idx="158">
                  <c:v>So 14:00</c:v>
                </c:pt>
                <c:pt idx="159">
                  <c:v>So 15:00</c:v>
                </c:pt>
                <c:pt idx="160">
                  <c:v>So 16:00</c:v>
                </c:pt>
                <c:pt idx="161">
                  <c:v>So 17:00</c:v>
                </c:pt>
                <c:pt idx="162">
                  <c:v>So 18:00</c:v>
                </c:pt>
                <c:pt idx="163">
                  <c:v>So 19:00</c:v>
                </c:pt>
                <c:pt idx="164">
                  <c:v>So 20:00</c:v>
                </c:pt>
                <c:pt idx="165">
                  <c:v>So 21:00</c:v>
                </c:pt>
                <c:pt idx="166">
                  <c:v>So 22:00</c:v>
                </c:pt>
                <c:pt idx="167">
                  <c:v>So 23:00</c:v>
                </c:pt>
              </c:strCache>
            </c:strRef>
          </c:cat>
          <c:val>
            <c:numRef>
              <c:f>Berechnung!$O$190:$O$357</c:f>
              <c:numCache>
                <c:formatCode>#,##0.00</c:formatCode>
                <c:ptCount val="16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6-44E1-84D0-159F4630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653312"/>
        <c:axId val="452651872"/>
      </c:lineChart>
      <c:lineChart>
        <c:grouping val="standard"/>
        <c:varyColors val="0"/>
        <c:ser>
          <c:idx val="3"/>
          <c:order val="3"/>
          <c:tx>
            <c:v>Defizit kum. [kWh]</c:v>
          </c:tx>
          <c:spPr>
            <a:ln w="254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Berechnung!$R$190:$R$357</c:f>
              <c:strCache>
                <c:ptCount val="168"/>
                <c:pt idx="0">
                  <c:v>Mo 00:00</c:v>
                </c:pt>
                <c:pt idx="1">
                  <c:v>Mo 01:00</c:v>
                </c:pt>
                <c:pt idx="2">
                  <c:v>Mo 02:00</c:v>
                </c:pt>
                <c:pt idx="3">
                  <c:v>Mo 03:00</c:v>
                </c:pt>
                <c:pt idx="4">
                  <c:v>Mo 04:00</c:v>
                </c:pt>
                <c:pt idx="5">
                  <c:v>Mo 05:00</c:v>
                </c:pt>
                <c:pt idx="6">
                  <c:v>Mo 06:00</c:v>
                </c:pt>
                <c:pt idx="7">
                  <c:v>Mo 07:00</c:v>
                </c:pt>
                <c:pt idx="8">
                  <c:v>Mo 08:00</c:v>
                </c:pt>
                <c:pt idx="9">
                  <c:v>Mo 09:00</c:v>
                </c:pt>
                <c:pt idx="10">
                  <c:v>Mo 10:00</c:v>
                </c:pt>
                <c:pt idx="11">
                  <c:v>Mo 11:00</c:v>
                </c:pt>
                <c:pt idx="12">
                  <c:v>Mo 12:00</c:v>
                </c:pt>
                <c:pt idx="13">
                  <c:v>Mo 13:00</c:v>
                </c:pt>
                <c:pt idx="14">
                  <c:v>Mo 14:00</c:v>
                </c:pt>
                <c:pt idx="15">
                  <c:v>Mo 15:00</c:v>
                </c:pt>
                <c:pt idx="16">
                  <c:v>Mo 16:00</c:v>
                </c:pt>
                <c:pt idx="17">
                  <c:v>Mo 17:00</c:v>
                </c:pt>
                <c:pt idx="18">
                  <c:v>Mo 18:00</c:v>
                </c:pt>
                <c:pt idx="19">
                  <c:v>Mo 19:00</c:v>
                </c:pt>
                <c:pt idx="20">
                  <c:v>Mo 20:00</c:v>
                </c:pt>
                <c:pt idx="21">
                  <c:v>Mo 21:00</c:v>
                </c:pt>
                <c:pt idx="22">
                  <c:v>Mo 22:00</c:v>
                </c:pt>
                <c:pt idx="23">
                  <c:v>Mo 23:00</c:v>
                </c:pt>
                <c:pt idx="24">
                  <c:v>Di 00:00</c:v>
                </c:pt>
                <c:pt idx="25">
                  <c:v>Di 01:00</c:v>
                </c:pt>
                <c:pt idx="26">
                  <c:v>Di 02:00</c:v>
                </c:pt>
                <c:pt idx="27">
                  <c:v>Di 03:00</c:v>
                </c:pt>
                <c:pt idx="28">
                  <c:v>Di 04:00</c:v>
                </c:pt>
                <c:pt idx="29">
                  <c:v>Di 05:00</c:v>
                </c:pt>
                <c:pt idx="30">
                  <c:v>Di 06:00</c:v>
                </c:pt>
                <c:pt idx="31">
                  <c:v>Di 07:00</c:v>
                </c:pt>
                <c:pt idx="32">
                  <c:v>Di 08:00</c:v>
                </c:pt>
                <c:pt idx="33">
                  <c:v>Di 09:00</c:v>
                </c:pt>
                <c:pt idx="34">
                  <c:v>Di 10:00</c:v>
                </c:pt>
                <c:pt idx="35">
                  <c:v>Di 11:00</c:v>
                </c:pt>
                <c:pt idx="36">
                  <c:v>Di 12:00</c:v>
                </c:pt>
                <c:pt idx="37">
                  <c:v>Di 13:00</c:v>
                </c:pt>
                <c:pt idx="38">
                  <c:v>Di 14:00</c:v>
                </c:pt>
                <c:pt idx="39">
                  <c:v>Di 15:00</c:v>
                </c:pt>
                <c:pt idx="40">
                  <c:v>Di 16:00</c:v>
                </c:pt>
                <c:pt idx="41">
                  <c:v>Di 17:00</c:v>
                </c:pt>
                <c:pt idx="42">
                  <c:v>Di 18:00</c:v>
                </c:pt>
                <c:pt idx="43">
                  <c:v>Di 19:00</c:v>
                </c:pt>
                <c:pt idx="44">
                  <c:v>Di 20:00</c:v>
                </c:pt>
                <c:pt idx="45">
                  <c:v>Di 21:00</c:v>
                </c:pt>
                <c:pt idx="46">
                  <c:v>Di 22:00</c:v>
                </c:pt>
                <c:pt idx="47">
                  <c:v>Di 23:00</c:v>
                </c:pt>
                <c:pt idx="48">
                  <c:v>Mi 00:00</c:v>
                </c:pt>
                <c:pt idx="49">
                  <c:v>Mi 01:00</c:v>
                </c:pt>
                <c:pt idx="50">
                  <c:v>Mi 02:00</c:v>
                </c:pt>
                <c:pt idx="51">
                  <c:v>Mi 03:00</c:v>
                </c:pt>
                <c:pt idx="52">
                  <c:v>Mi 04:00</c:v>
                </c:pt>
                <c:pt idx="53">
                  <c:v>Mi 05:00</c:v>
                </c:pt>
                <c:pt idx="54">
                  <c:v>Mi 06:00</c:v>
                </c:pt>
                <c:pt idx="55">
                  <c:v>Mi 07:00</c:v>
                </c:pt>
                <c:pt idx="56">
                  <c:v>Mi 08:00</c:v>
                </c:pt>
                <c:pt idx="57">
                  <c:v>Mi 09:00</c:v>
                </c:pt>
                <c:pt idx="58">
                  <c:v>Mi 10:00</c:v>
                </c:pt>
                <c:pt idx="59">
                  <c:v>Mi 11:00</c:v>
                </c:pt>
                <c:pt idx="60">
                  <c:v>Mi 12:00</c:v>
                </c:pt>
                <c:pt idx="61">
                  <c:v>Mi 13:00</c:v>
                </c:pt>
                <c:pt idx="62">
                  <c:v>Mi 14:00</c:v>
                </c:pt>
                <c:pt idx="63">
                  <c:v>Mi 15:00</c:v>
                </c:pt>
                <c:pt idx="64">
                  <c:v>Mi 16:00</c:v>
                </c:pt>
                <c:pt idx="65">
                  <c:v>Mi 17:00</c:v>
                </c:pt>
                <c:pt idx="66">
                  <c:v>Mi 18:00</c:v>
                </c:pt>
                <c:pt idx="67">
                  <c:v>Mi 19:00</c:v>
                </c:pt>
                <c:pt idx="68">
                  <c:v>Mi 20:00</c:v>
                </c:pt>
                <c:pt idx="69">
                  <c:v>Mi 21:00</c:v>
                </c:pt>
                <c:pt idx="70">
                  <c:v>Mi 22:00</c:v>
                </c:pt>
                <c:pt idx="71">
                  <c:v>Mi 23:00</c:v>
                </c:pt>
                <c:pt idx="72">
                  <c:v>Do 00:00</c:v>
                </c:pt>
                <c:pt idx="73">
                  <c:v>Do 01:00</c:v>
                </c:pt>
                <c:pt idx="74">
                  <c:v>Do 02:00</c:v>
                </c:pt>
                <c:pt idx="75">
                  <c:v>Do 03:00</c:v>
                </c:pt>
                <c:pt idx="76">
                  <c:v>Do 04:00</c:v>
                </c:pt>
                <c:pt idx="77">
                  <c:v>Do 05:00</c:v>
                </c:pt>
                <c:pt idx="78">
                  <c:v>Do 06:00</c:v>
                </c:pt>
                <c:pt idx="79">
                  <c:v>Do 07:00</c:v>
                </c:pt>
                <c:pt idx="80">
                  <c:v>Do 08:00</c:v>
                </c:pt>
                <c:pt idx="81">
                  <c:v>Do 09:00</c:v>
                </c:pt>
                <c:pt idx="82">
                  <c:v>Do 10:00</c:v>
                </c:pt>
                <c:pt idx="83">
                  <c:v>Do 11:00</c:v>
                </c:pt>
                <c:pt idx="84">
                  <c:v>Do 12:00</c:v>
                </c:pt>
                <c:pt idx="85">
                  <c:v>Do 13:00</c:v>
                </c:pt>
                <c:pt idx="86">
                  <c:v>Do 14:00</c:v>
                </c:pt>
                <c:pt idx="87">
                  <c:v>Do 15:00</c:v>
                </c:pt>
                <c:pt idx="88">
                  <c:v>Do 16:00</c:v>
                </c:pt>
                <c:pt idx="89">
                  <c:v>Do 17:00</c:v>
                </c:pt>
                <c:pt idx="90">
                  <c:v>Do 18:00</c:v>
                </c:pt>
                <c:pt idx="91">
                  <c:v>Do 19:00</c:v>
                </c:pt>
                <c:pt idx="92">
                  <c:v>Do 20:00</c:v>
                </c:pt>
                <c:pt idx="93">
                  <c:v>Do 21:00</c:v>
                </c:pt>
                <c:pt idx="94">
                  <c:v>Do 22:00</c:v>
                </c:pt>
                <c:pt idx="95">
                  <c:v>Do 23:00</c:v>
                </c:pt>
                <c:pt idx="96">
                  <c:v>Fr 00:00</c:v>
                </c:pt>
                <c:pt idx="97">
                  <c:v>Fr 01:00</c:v>
                </c:pt>
                <c:pt idx="98">
                  <c:v>Fr 02:00</c:v>
                </c:pt>
                <c:pt idx="99">
                  <c:v>Fr 03:00</c:v>
                </c:pt>
                <c:pt idx="100">
                  <c:v>Fr 04:00</c:v>
                </c:pt>
                <c:pt idx="101">
                  <c:v>Fr 05:00</c:v>
                </c:pt>
                <c:pt idx="102">
                  <c:v>Fr 06:00</c:v>
                </c:pt>
                <c:pt idx="103">
                  <c:v>Fr 07:00</c:v>
                </c:pt>
                <c:pt idx="104">
                  <c:v>Fr 08:00</c:v>
                </c:pt>
                <c:pt idx="105">
                  <c:v>Fr 09:00</c:v>
                </c:pt>
                <c:pt idx="106">
                  <c:v>Fr 10:00</c:v>
                </c:pt>
                <c:pt idx="107">
                  <c:v>Fr 11:00</c:v>
                </c:pt>
                <c:pt idx="108">
                  <c:v>Fr 12:00</c:v>
                </c:pt>
                <c:pt idx="109">
                  <c:v>Fr 13:00</c:v>
                </c:pt>
                <c:pt idx="110">
                  <c:v>Fr 14:00</c:v>
                </c:pt>
                <c:pt idx="111">
                  <c:v>Fr 15:00</c:v>
                </c:pt>
                <c:pt idx="112">
                  <c:v>Fr 16:00</c:v>
                </c:pt>
                <c:pt idx="113">
                  <c:v>Fr 17:00</c:v>
                </c:pt>
                <c:pt idx="114">
                  <c:v>Fr 18:00</c:v>
                </c:pt>
                <c:pt idx="115">
                  <c:v>Fr 19:00</c:v>
                </c:pt>
                <c:pt idx="116">
                  <c:v>Fr 20:00</c:v>
                </c:pt>
                <c:pt idx="117">
                  <c:v>Fr 21:00</c:v>
                </c:pt>
                <c:pt idx="118">
                  <c:v>Fr 22:00</c:v>
                </c:pt>
                <c:pt idx="119">
                  <c:v>Fr 23:00</c:v>
                </c:pt>
                <c:pt idx="120">
                  <c:v>Sa 00:00</c:v>
                </c:pt>
                <c:pt idx="121">
                  <c:v>Sa 01:00</c:v>
                </c:pt>
                <c:pt idx="122">
                  <c:v>Sa 02:00</c:v>
                </c:pt>
                <c:pt idx="123">
                  <c:v>Sa 03:00</c:v>
                </c:pt>
                <c:pt idx="124">
                  <c:v>Sa 04:00</c:v>
                </c:pt>
                <c:pt idx="125">
                  <c:v>Sa 05:00</c:v>
                </c:pt>
                <c:pt idx="126">
                  <c:v>Sa 06:00</c:v>
                </c:pt>
                <c:pt idx="127">
                  <c:v>Sa 07:00</c:v>
                </c:pt>
                <c:pt idx="128">
                  <c:v>Sa 08:00</c:v>
                </c:pt>
                <c:pt idx="129">
                  <c:v>Sa 09:00</c:v>
                </c:pt>
                <c:pt idx="130">
                  <c:v>Sa 10:00</c:v>
                </c:pt>
                <c:pt idx="131">
                  <c:v>Sa 11:00</c:v>
                </c:pt>
                <c:pt idx="132">
                  <c:v>Sa 12:00</c:v>
                </c:pt>
                <c:pt idx="133">
                  <c:v>Sa 13:00</c:v>
                </c:pt>
                <c:pt idx="134">
                  <c:v>Sa 14:00</c:v>
                </c:pt>
                <c:pt idx="135">
                  <c:v>Sa 15:00</c:v>
                </c:pt>
                <c:pt idx="136">
                  <c:v>Sa 16:00</c:v>
                </c:pt>
                <c:pt idx="137">
                  <c:v>Sa 17:00</c:v>
                </c:pt>
                <c:pt idx="138">
                  <c:v>Sa 18:00</c:v>
                </c:pt>
                <c:pt idx="139">
                  <c:v>Sa 19:00</c:v>
                </c:pt>
                <c:pt idx="140">
                  <c:v>Sa 20:00</c:v>
                </c:pt>
                <c:pt idx="141">
                  <c:v>Sa 21:00</c:v>
                </c:pt>
                <c:pt idx="142">
                  <c:v>Sa 22:00</c:v>
                </c:pt>
                <c:pt idx="143">
                  <c:v>Sa 23:00</c:v>
                </c:pt>
                <c:pt idx="144">
                  <c:v>So 00:00</c:v>
                </c:pt>
                <c:pt idx="145">
                  <c:v>So 01:00</c:v>
                </c:pt>
                <c:pt idx="146">
                  <c:v>So 02:00</c:v>
                </c:pt>
                <c:pt idx="147">
                  <c:v>So 03:00</c:v>
                </c:pt>
                <c:pt idx="148">
                  <c:v>So 04:00</c:v>
                </c:pt>
                <c:pt idx="149">
                  <c:v>So 05:00</c:v>
                </c:pt>
                <c:pt idx="150">
                  <c:v>So 06:00</c:v>
                </c:pt>
                <c:pt idx="151">
                  <c:v>So 07:00</c:v>
                </c:pt>
                <c:pt idx="152">
                  <c:v>So 08:00</c:v>
                </c:pt>
                <c:pt idx="153">
                  <c:v>So 09:00</c:v>
                </c:pt>
                <c:pt idx="154">
                  <c:v>So 10:00</c:v>
                </c:pt>
                <c:pt idx="155">
                  <c:v>So 11:00</c:v>
                </c:pt>
                <c:pt idx="156">
                  <c:v>So 12:00</c:v>
                </c:pt>
                <c:pt idx="157">
                  <c:v>So 13:00</c:v>
                </c:pt>
                <c:pt idx="158">
                  <c:v>So 14:00</c:v>
                </c:pt>
                <c:pt idx="159">
                  <c:v>So 15:00</c:v>
                </c:pt>
                <c:pt idx="160">
                  <c:v>So 16:00</c:v>
                </c:pt>
                <c:pt idx="161">
                  <c:v>So 17:00</c:v>
                </c:pt>
                <c:pt idx="162">
                  <c:v>So 18:00</c:v>
                </c:pt>
                <c:pt idx="163">
                  <c:v>So 19:00</c:v>
                </c:pt>
                <c:pt idx="164">
                  <c:v>So 20:00</c:v>
                </c:pt>
                <c:pt idx="165">
                  <c:v>So 21:00</c:v>
                </c:pt>
                <c:pt idx="166">
                  <c:v>So 22:00</c:v>
                </c:pt>
                <c:pt idx="167">
                  <c:v>So 23:00</c:v>
                </c:pt>
              </c:strCache>
            </c:strRef>
          </c:cat>
          <c:val>
            <c:numRef>
              <c:f>Berechnung!$Q$190:$Q$357</c:f>
              <c:numCache>
                <c:formatCode>#,##0.00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1.1002307199999999</c:v>
                </c:pt>
                <c:pt idx="8">
                  <c:v>3.8338716800000006</c:v>
                </c:pt>
                <c:pt idx="9">
                  <c:v>6.9758652000000012</c:v>
                </c:pt>
                <c:pt idx="10">
                  <c:v>10.117858720000001</c:v>
                </c:pt>
                <c:pt idx="11">
                  <c:v>13.668204800000002</c:v>
                </c:pt>
                <c:pt idx="12">
                  <c:v>18.035256000000004</c:v>
                </c:pt>
                <c:pt idx="13">
                  <c:v>21.993954640000005</c:v>
                </c:pt>
                <c:pt idx="14">
                  <c:v>25.135948160000005</c:v>
                </c:pt>
                <c:pt idx="15">
                  <c:v>27.869589120000008</c:v>
                </c:pt>
                <c:pt idx="16">
                  <c:v>30.194877520000006</c:v>
                </c:pt>
                <c:pt idx="17">
                  <c:v>31.295108240000005</c:v>
                </c:pt>
                <c:pt idx="18">
                  <c:v>31.170281280000005</c:v>
                </c:pt>
                <c:pt idx="19">
                  <c:v>29.412044080000005</c:v>
                </c:pt>
                <c:pt idx="20">
                  <c:v>26.837101760000003</c:v>
                </c:pt>
                <c:pt idx="21">
                  <c:v>23.037101760000002</c:v>
                </c:pt>
                <c:pt idx="22">
                  <c:v>19.237101760000002</c:v>
                </c:pt>
                <c:pt idx="23">
                  <c:v>15.437101760000001</c:v>
                </c:pt>
                <c:pt idx="24">
                  <c:v>11.63710176</c:v>
                </c:pt>
                <c:pt idx="25">
                  <c:v>7.8371017600000004</c:v>
                </c:pt>
                <c:pt idx="26">
                  <c:v>4.0371017600000005</c:v>
                </c:pt>
                <c:pt idx="27">
                  <c:v>0.23710176000000072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1.1002307199999999</c:v>
                </c:pt>
                <c:pt idx="32">
                  <c:v>3.8338716800000006</c:v>
                </c:pt>
                <c:pt idx="33">
                  <c:v>6.9758652000000012</c:v>
                </c:pt>
                <c:pt idx="34">
                  <c:v>10.117858720000001</c:v>
                </c:pt>
                <c:pt idx="35">
                  <c:v>13.668204800000002</c:v>
                </c:pt>
                <c:pt idx="36">
                  <c:v>18.035256000000004</c:v>
                </c:pt>
                <c:pt idx="37">
                  <c:v>21.993954640000005</c:v>
                </c:pt>
                <c:pt idx="38">
                  <c:v>25.135948160000005</c:v>
                </c:pt>
                <c:pt idx="39">
                  <c:v>27.869589120000008</c:v>
                </c:pt>
                <c:pt idx="40">
                  <c:v>30.194877520000006</c:v>
                </c:pt>
                <c:pt idx="41">
                  <c:v>31.295108240000005</c:v>
                </c:pt>
                <c:pt idx="42">
                  <c:v>31.170281280000005</c:v>
                </c:pt>
                <c:pt idx="43">
                  <c:v>29.412044080000005</c:v>
                </c:pt>
                <c:pt idx="44">
                  <c:v>26.837101760000003</c:v>
                </c:pt>
                <c:pt idx="45">
                  <c:v>23.037101760000002</c:v>
                </c:pt>
                <c:pt idx="46">
                  <c:v>19.237101760000002</c:v>
                </c:pt>
                <c:pt idx="47">
                  <c:v>15.437101760000001</c:v>
                </c:pt>
                <c:pt idx="48">
                  <c:v>11.63710176</c:v>
                </c:pt>
                <c:pt idx="49">
                  <c:v>7.8371017600000004</c:v>
                </c:pt>
                <c:pt idx="50">
                  <c:v>4.0371017600000005</c:v>
                </c:pt>
                <c:pt idx="51">
                  <c:v>0.23710176000000072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1.1002307199999999</c:v>
                </c:pt>
                <c:pt idx="56">
                  <c:v>3.8338716800000006</c:v>
                </c:pt>
                <c:pt idx="57">
                  <c:v>6.9758652000000012</c:v>
                </c:pt>
                <c:pt idx="58">
                  <c:v>10.117858720000001</c:v>
                </c:pt>
                <c:pt idx="59">
                  <c:v>13.668204800000002</c:v>
                </c:pt>
                <c:pt idx="60">
                  <c:v>18.035256000000004</c:v>
                </c:pt>
                <c:pt idx="61">
                  <c:v>21.993954640000005</c:v>
                </c:pt>
                <c:pt idx="62">
                  <c:v>25.135948160000005</c:v>
                </c:pt>
                <c:pt idx="63">
                  <c:v>27.869589120000008</c:v>
                </c:pt>
                <c:pt idx="64">
                  <c:v>30.194877520000006</c:v>
                </c:pt>
                <c:pt idx="65">
                  <c:v>31.295108240000005</c:v>
                </c:pt>
                <c:pt idx="66">
                  <c:v>31.170281280000005</c:v>
                </c:pt>
                <c:pt idx="67">
                  <c:v>29.412044080000005</c:v>
                </c:pt>
                <c:pt idx="68">
                  <c:v>26.837101760000003</c:v>
                </c:pt>
                <c:pt idx="69">
                  <c:v>23.037101760000002</c:v>
                </c:pt>
                <c:pt idx="70">
                  <c:v>19.237101760000002</c:v>
                </c:pt>
                <c:pt idx="71">
                  <c:v>15.437101760000001</c:v>
                </c:pt>
                <c:pt idx="72">
                  <c:v>11.63710176</c:v>
                </c:pt>
                <c:pt idx="73">
                  <c:v>7.8371017600000004</c:v>
                </c:pt>
                <c:pt idx="74">
                  <c:v>4.0371017600000005</c:v>
                </c:pt>
                <c:pt idx="75">
                  <c:v>0.23710176000000072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1.1002307199999999</c:v>
                </c:pt>
                <c:pt idx="80">
                  <c:v>3.8338716800000006</c:v>
                </c:pt>
                <c:pt idx="81">
                  <c:v>6.9758652000000012</c:v>
                </c:pt>
                <c:pt idx="82">
                  <c:v>10.117858720000001</c:v>
                </c:pt>
                <c:pt idx="83">
                  <c:v>13.668204800000002</c:v>
                </c:pt>
                <c:pt idx="84">
                  <c:v>18.035256000000004</c:v>
                </c:pt>
                <c:pt idx="85">
                  <c:v>21.993954640000005</c:v>
                </c:pt>
                <c:pt idx="86">
                  <c:v>25.135948160000005</c:v>
                </c:pt>
                <c:pt idx="87">
                  <c:v>27.869589120000008</c:v>
                </c:pt>
                <c:pt idx="88">
                  <c:v>30.194877520000006</c:v>
                </c:pt>
                <c:pt idx="89">
                  <c:v>31.295108240000005</c:v>
                </c:pt>
                <c:pt idx="90">
                  <c:v>31.170281280000005</c:v>
                </c:pt>
                <c:pt idx="91">
                  <c:v>29.412044080000005</c:v>
                </c:pt>
                <c:pt idx="92">
                  <c:v>26.837101760000003</c:v>
                </c:pt>
                <c:pt idx="93">
                  <c:v>23.037101760000002</c:v>
                </c:pt>
                <c:pt idx="94">
                  <c:v>19.237101760000002</c:v>
                </c:pt>
                <c:pt idx="95">
                  <c:v>15.437101760000001</c:v>
                </c:pt>
                <c:pt idx="96">
                  <c:v>11.63710176</c:v>
                </c:pt>
                <c:pt idx="97">
                  <c:v>7.8371017600000004</c:v>
                </c:pt>
                <c:pt idx="98">
                  <c:v>4.0371017600000005</c:v>
                </c:pt>
                <c:pt idx="99">
                  <c:v>0.23710176000000072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1.1002307199999999</c:v>
                </c:pt>
                <c:pt idx="104">
                  <c:v>3.8338716800000006</c:v>
                </c:pt>
                <c:pt idx="105">
                  <c:v>6.9758652000000012</c:v>
                </c:pt>
                <c:pt idx="106">
                  <c:v>10.117858720000001</c:v>
                </c:pt>
                <c:pt idx="107">
                  <c:v>13.668204800000002</c:v>
                </c:pt>
                <c:pt idx="108">
                  <c:v>18.035256000000004</c:v>
                </c:pt>
                <c:pt idx="109">
                  <c:v>21.993954640000005</c:v>
                </c:pt>
                <c:pt idx="110">
                  <c:v>25.135948160000005</c:v>
                </c:pt>
                <c:pt idx="111">
                  <c:v>27.869589120000008</c:v>
                </c:pt>
                <c:pt idx="112">
                  <c:v>30.194877520000006</c:v>
                </c:pt>
                <c:pt idx="113">
                  <c:v>31.295108240000005</c:v>
                </c:pt>
                <c:pt idx="114">
                  <c:v>31.170281280000005</c:v>
                </c:pt>
                <c:pt idx="115">
                  <c:v>29.412044080000005</c:v>
                </c:pt>
                <c:pt idx="116">
                  <c:v>26.837101760000003</c:v>
                </c:pt>
                <c:pt idx="117">
                  <c:v>23.037101760000002</c:v>
                </c:pt>
                <c:pt idx="118">
                  <c:v>19.237101760000002</c:v>
                </c:pt>
                <c:pt idx="119">
                  <c:v>15.437101760000001</c:v>
                </c:pt>
                <c:pt idx="120">
                  <c:v>11.852024160000001</c:v>
                </c:pt>
                <c:pt idx="121">
                  <c:v>8.2669465600000009</c:v>
                </c:pt>
                <c:pt idx="122">
                  <c:v>4.681868960000001</c:v>
                </c:pt>
                <c:pt idx="123">
                  <c:v>1.096791360000001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D6-44E1-84D0-159F4630C3BC}"/>
            </c:ext>
          </c:extLst>
        </c:ser>
        <c:ser>
          <c:idx val="4"/>
          <c:order val="4"/>
          <c:tx>
            <c:v>Speicherfüllstand [kWh]</c:v>
          </c:tx>
          <c:spPr>
            <a:ln w="25400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Berechnung!$S$190:$S$357</c:f>
              <c:numCache>
                <c:formatCode>#,##0.00</c:formatCode>
                <c:ptCount val="168"/>
                <c:pt idx="0">
                  <c:v>37.216000000000001</c:v>
                </c:pt>
                <c:pt idx="1">
                  <c:v>37.216000000000001</c:v>
                </c:pt>
                <c:pt idx="2">
                  <c:v>37.216000000000001</c:v>
                </c:pt>
                <c:pt idx="3">
                  <c:v>37.216000000000001</c:v>
                </c:pt>
                <c:pt idx="4">
                  <c:v>37.216000000000001</c:v>
                </c:pt>
                <c:pt idx="5">
                  <c:v>37.216000000000001</c:v>
                </c:pt>
                <c:pt idx="6">
                  <c:v>37.216000000000001</c:v>
                </c:pt>
                <c:pt idx="7">
                  <c:v>36.115769280000002</c:v>
                </c:pt>
                <c:pt idx="8">
                  <c:v>33.38212832</c:v>
                </c:pt>
                <c:pt idx="9">
                  <c:v>30.2401348</c:v>
                </c:pt>
                <c:pt idx="10">
                  <c:v>27.09814128</c:v>
                </c:pt>
                <c:pt idx="11">
                  <c:v>23.547795199999999</c:v>
                </c:pt>
                <c:pt idx="12">
                  <c:v>19.180743999999997</c:v>
                </c:pt>
                <c:pt idx="13">
                  <c:v>15.222045359999996</c:v>
                </c:pt>
                <c:pt idx="14">
                  <c:v>12.080051839999996</c:v>
                </c:pt>
                <c:pt idx="15">
                  <c:v>9.3464108799999934</c:v>
                </c:pt>
                <c:pt idx="16">
                  <c:v>7.0211224799999954</c:v>
                </c:pt>
                <c:pt idx="17">
                  <c:v>5.9208917599999964</c:v>
                </c:pt>
                <c:pt idx="18">
                  <c:v>6.0457187199999964</c:v>
                </c:pt>
                <c:pt idx="19">
                  <c:v>7.8039559199999964</c:v>
                </c:pt>
                <c:pt idx="20">
                  <c:v>10.378898239999998</c:v>
                </c:pt>
                <c:pt idx="21">
                  <c:v>14.178898239999999</c:v>
                </c:pt>
                <c:pt idx="22">
                  <c:v>17.978898239999999</c:v>
                </c:pt>
                <c:pt idx="23">
                  <c:v>21.77889824</c:v>
                </c:pt>
                <c:pt idx="24">
                  <c:v>25.578898240000001</c:v>
                </c:pt>
                <c:pt idx="25">
                  <c:v>29.378898240000002</c:v>
                </c:pt>
                <c:pt idx="26">
                  <c:v>33.178898240000002</c:v>
                </c:pt>
                <c:pt idx="27">
                  <c:v>36.978898239999999</c:v>
                </c:pt>
                <c:pt idx="28">
                  <c:v>37.216000000000001</c:v>
                </c:pt>
                <c:pt idx="29">
                  <c:v>37.216000000000001</c:v>
                </c:pt>
                <c:pt idx="30">
                  <c:v>37.216000000000001</c:v>
                </c:pt>
                <c:pt idx="31">
                  <c:v>36.115769280000002</c:v>
                </c:pt>
                <c:pt idx="32">
                  <c:v>33.38212832</c:v>
                </c:pt>
                <c:pt idx="33">
                  <c:v>30.2401348</c:v>
                </c:pt>
                <c:pt idx="34">
                  <c:v>27.09814128</c:v>
                </c:pt>
                <c:pt idx="35">
                  <c:v>23.547795199999999</c:v>
                </c:pt>
                <c:pt idx="36">
                  <c:v>19.180743999999997</c:v>
                </c:pt>
                <c:pt idx="37">
                  <c:v>15.222045359999996</c:v>
                </c:pt>
                <c:pt idx="38">
                  <c:v>12.080051839999996</c:v>
                </c:pt>
                <c:pt idx="39">
                  <c:v>9.3464108799999934</c:v>
                </c:pt>
                <c:pt idx="40">
                  <c:v>7.0211224799999954</c:v>
                </c:pt>
                <c:pt idx="41">
                  <c:v>5.9208917599999964</c:v>
                </c:pt>
                <c:pt idx="42">
                  <c:v>6.0457187199999964</c:v>
                </c:pt>
                <c:pt idx="43">
                  <c:v>7.8039559199999964</c:v>
                </c:pt>
                <c:pt idx="44">
                  <c:v>10.378898239999998</c:v>
                </c:pt>
                <c:pt idx="45">
                  <c:v>14.178898239999999</c:v>
                </c:pt>
                <c:pt idx="46">
                  <c:v>17.978898239999999</c:v>
                </c:pt>
                <c:pt idx="47">
                  <c:v>21.77889824</c:v>
                </c:pt>
                <c:pt idx="48">
                  <c:v>25.578898240000001</c:v>
                </c:pt>
                <c:pt idx="49">
                  <c:v>29.378898240000002</c:v>
                </c:pt>
                <c:pt idx="50">
                  <c:v>33.178898240000002</c:v>
                </c:pt>
                <c:pt idx="51">
                  <c:v>36.978898239999999</c:v>
                </c:pt>
                <c:pt idx="52">
                  <c:v>37.216000000000001</c:v>
                </c:pt>
                <c:pt idx="53">
                  <c:v>37.216000000000001</c:v>
                </c:pt>
                <c:pt idx="54">
                  <c:v>37.216000000000001</c:v>
                </c:pt>
                <c:pt idx="55">
                  <c:v>36.115769280000002</c:v>
                </c:pt>
                <c:pt idx="56">
                  <c:v>33.38212832</c:v>
                </c:pt>
                <c:pt idx="57">
                  <c:v>30.2401348</c:v>
                </c:pt>
                <c:pt idx="58">
                  <c:v>27.09814128</c:v>
                </c:pt>
                <c:pt idx="59">
                  <c:v>23.547795199999999</c:v>
                </c:pt>
                <c:pt idx="60">
                  <c:v>19.180743999999997</c:v>
                </c:pt>
                <c:pt idx="61">
                  <c:v>15.222045359999996</c:v>
                </c:pt>
                <c:pt idx="62">
                  <c:v>12.080051839999996</c:v>
                </c:pt>
                <c:pt idx="63">
                  <c:v>9.3464108799999934</c:v>
                </c:pt>
                <c:pt idx="64">
                  <c:v>7.0211224799999954</c:v>
                </c:pt>
                <c:pt idx="65">
                  <c:v>5.9208917599999964</c:v>
                </c:pt>
                <c:pt idx="66">
                  <c:v>6.0457187199999964</c:v>
                </c:pt>
                <c:pt idx="67">
                  <c:v>7.8039559199999964</c:v>
                </c:pt>
                <c:pt idx="68">
                  <c:v>10.378898239999998</c:v>
                </c:pt>
                <c:pt idx="69">
                  <c:v>14.178898239999999</c:v>
                </c:pt>
                <c:pt idx="70">
                  <c:v>17.978898239999999</c:v>
                </c:pt>
                <c:pt idx="71">
                  <c:v>21.77889824</c:v>
                </c:pt>
                <c:pt idx="72">
                  <c:v>25.578898240000001</c:v>
                </c:pt>
                <c:pt idx="73">
                  <c:v>29.378898240000002</c:v>
                </c:pt>
                <c:pt idx="74">
                  <c:v>33.178898240000002</c:v>
                </c:pt>
                <c:pt idx="75">
                  <c:v>36.978898239999999</c:v>
                </c:pt>
                <c:pt idx="76">
                  <c:v>37.216000000000001</c:v>
                </c:pt>
                <c:pt idx="77">
                  <c:v>37.216000000000001</c:v>
                </c:pt>
                <c:pt idx="78">
                  <c:v>37.216000000000001</c:v>
                </c:pt>
                <c:pt idx="79">
                  <c:v>36.115769280000002</c:v>
                </c:pt>
                <c:pt idx="80">
                  <c:v>33.38212832</c:v>
                </c:pt>
                <c:pt idx="81">
                  <c:v>30.2401348</c:v>
                </c:pt>
                <c:pt idx="82">
                  <c:v>27.09814128</c:v>
                </c:pt>
                <c:pt idx="83">
                  <c:v>23.547795199999999</c:v>
                </c:pt>
                <c:pt idx="84">
                  <c:v>19.180743999999997</c:v>
                </c:pt>
                <c:pt idx="85">
                  <c:v>15.222045359999996</c:v>
                </c:pt>
                <c:pt idx="86">
                  <c:v>12.080051839999996</c:v>
                </c:pt>
                <c:pt idx="87">
                  <c:v>9.3464108799999934</c:v>
                </c:pt>
                <c:pt idx="88">
                  <c:v>7.0211224799999954</c:v>
                </c:pt>
                <c:pt idx="89">
                  <c:v>5.9208917599999964</c:v>
                </c:pt>
                <c:pt idx="90">
                  <c:v>6.0457187199999964</c:v>
                </c:pt>
                <c:pt idx="91">
                  <c:v>7.8039559199999964</c:v>
                </c:pt>
                <c:pt idx="92">
                  <c:v>10.378898239999998</c:v>
                </c:pt>
                <c:pt idx="93">
                  <c:v>14.178898239999999</c:v>
                </c:pt>
                <c:pt idx="94">
                  <c:v>17.978898239999999</c:v>
                </c:pt>
                <c:pt idx="95">
                  <c:v>21.77889824</c:v>
                </c:pt>
                <c:pt idx="96">
                  <c:v>25.578898240000001</c:v>
                </c:pt>
                <c:pt idx="97">
                  <c:v>29.378898240000002</c:v>
                </c:pt>
                <c:pt idx="98">
                  <c:v>33.178898240000002</c:v>
                </c:pt>
                <c:pt idx="99">
                  <c:v>36.978898239999999</c:v>
                </c:pt>
                <c:pt idx="100">
                  <c:v>37.216000000000001</c:v>
                </c:pt>
                <c:pt idx="101">
                  <c:v>37.216000000000001</c:v>
                </c:pt>
                <c:pt idx="102">
                  <c:v>37.216000000000001</c:v>
                </c:pt>
                <c:pt idx="103">
                  <c:v>36.115769280000002</c:v>
                </c:pt>
                <c:pt idx="104">
                  <c:v>33.38212832</c:v>
                </c:pt>
                <c:pt idx="105">
                  <c:v>30.2401348</c:v>
                </c:pt>
                <c:pt idx="106">
                  <c:v>27.09814128</c:v>
                </c:pt>
                <c:pt idx="107">
                  <c:v>23.547795199999999</c:v>
                </c:pt>
                <c:pt idx="108">
                  <c:v>19.180743999999997</c:v>
                </c:pt>
                <c:pt idx="109">
                  <c:v>15.222045359999996</c:v>
                </c:pt>
                <c:pt idx="110">
                  <c:v>12.080051839999996</c:v>
                </c:pt>
                <c:pt idx="111">
                  <c:v>9.3464108799999934</c:v>
                </c:pt>
                <c:pt idx="112">
                  <c:v>7.0211224799999954</c:v>
                </c:pt>
                <c:pt idx="113">
                  <c:v>5.9208917599999964</c:v>
                </c:pt>
                <c:pt idx="114">
                  <c:v>6.0457187199999964</c:v>
                </c:pt>
                <c:pt idx="115">
                  <c:v>7.8039559199999964</c:v>
                </c:pt>
                <c:pt idx="116">
                  <c:v>10.378898239999998</c:v>
                </c:pt>
                <c:pt idx="117">
                  <c:v>14.178898239999999</c:v>
                </c:pt>
                <c:pt idx="118">
                  <c:v>17.978898239999999</c:v>
                </c:pt>
                <c:pt idx="119">
                  <c:v>21.77889824</c:v>
                </c:pt>
                <c:pt idx="120">
                  <c:v>25.363975840000002</c:v>
                </c:pt>
                <c:pt idx="121">
                  <c:v>28.94905344</c:v>
                </c:pt>
                <c:pt idx="122">
                  <c:v>32.534131039999998</c:v>
                </c:pt>
                <c:pt idx="123">
                  <c:v>36.119208639999997</c:v>
                </c:pt>
                <c:pt idx="124">
                  <c:v>37.216000000000001</c:v>
                </c:pt>
                <c:pt idx="125">
                  <c:v>37.216000000000001</c:v>
                </c:pt>
                <c:pt idx="126">
                  <c:v>37.216000000000001</c:v>
                </c:pt>
                <c:pt idx="127">
                  <c:v>37.216000000000001</c:v>
                </c:pt>
                <c:pt idx="128">
                  <c:v>37.216000000000001</c:v>
                </c:pt>
                <c:pt idx="129">
                  <c:v>37.216000000000001</c:v>
                </c:pt>
                <c:pt idx="130">
                  <c:v>37.216000000000001</c:v>
                </c:pt>
                <c:pt idx="131">
                  <c:v>37.216000000000001</c:v>
                </c:pt>
                <c:pt idx="132">
                  <c:v>37.216000000000001</c:v>
                </c:pt>
                <c:pt idx="133">
                  <c:v>37.216000000000001</c:v>
                </c:pt>
                <c:pt idx="134">
                  <c:v>37.216000000000001</c:v>
                </c:pt>
                <c:pt idx="135">
                  <c:v>37.216000000000001</c:v>
                </c:pt>
                <c:pt idx="136">
                  <c:v>37.216000000000001</c:v>
                </c:pt>
                <c:pt idx="137">
                  <c:v>37.216000000000001</c:v>
                </c:pt>
                <c:pt idx="138">
                  <c:v>37.216000000000001</c:v>
                </c:pt>
                <c:pt idx="139">
                  <c:v>37.216000000000001</c:v>
                </c:pt>
                <c:pt idx="140">
                  <c:v>37.216000000000001</c:v>
                </c:pt>
                <c:pt idx="141">
                  <c:v>37.216000000000001</c:v>
                </c:pt>
                <c:pt idx="142">
                  <c:v>37.216000000000001</c:v>
                </c:pt>
                <c:pt idx="143">
                  <c:v>37.216000000000001</c:v>
                </c:pt>
                <c:pt idx="144">
                  <c:v>37.216000000000001</c:v>
                </c:pt>
                <c:pt idx="145">
                  <c:v>37.216000000000001</c:v>
                </c:pt>
                <c:pt idx="146">
                  <c:v>37.216000000000001</c:v>
                </c:pt>
                <c:pt idx="147">
                  <c:v>37.216000000000001</c:v>
                </c:pt>
                <c:pt idx="148">
                  <c:v>37.216000000000001</c:v>
                </c:pt>
                <c:pt idx="149">
                  <c:v>37.216000000000001</c:v>
                </c:pt>
                <c:pt idx="150">
                  <c:v>37.216000000000001</c:v>
                </c:pt>
                <c:pt idx="151">
                  <c:v>37.216000000000001</c:v>
                </c:pt>
                <c:pt idx="152">
                  <c:v>37.216000000000001</c:v>
                </c:pt>
                <c:pt idx="153">
                  <c:v>37.216000000000001</c:v>
                </c:pt>
                <c:pt idx="154">
                  <c:v>37.216000000000001</c:v>
                </c:pt>
                <c:pt idx="155">
                  <c:v>37.216000000000001</c:v>
                </c:pt>
                <c:pt idx="156">
                  <c:v>37.216000000000001</c:v>
                </c:pt>
                <c:pt idx="157">
                  <c:v>37.216000000000001</c:v>
                </c:pt>
                <c:pt idx="158">
                  <c:v>37.216000000000001</c:v>
                </c:pt>
                <c:pt idx="159">
                  <c:v>37.216000000000001</c:v>
                </c:pt>
                <c:pt idx="160">
                  <c:v>37.216000000000001</c:v>
                </c:pt>
                <c:pt idx="161">
                  <c:v>37.216000000000001</c:v>
                </c:pt>
                <c:pt idx="162">
                  <c:v>37.216000000000001</c:v>
                </c:pt>
                <c:pt idx="163">
                  <c:v>37.216000000000001</c:v>
                </c:pt>
                <c:pt idx="164">
                  <c:v>37.216000000000001</c:v>
                </c:pt>
                <c:pt idx="165">
                  <c:v>37.216000000000001</c:v>
                </c:pt>
                <c:pt idx="166">
                  <c:v>37.216000000000001</c:v>
                </c:pt>
                <c:pt idx="167">
                  <c:v>37.216000000000001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D6-44E1-84D0-159F4630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849904"/>
        <c:axId val="381845104"/>
      </c:lineChart>
      <c:catAx>
        <c:axId val="45265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(maßgebende Woche)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2651872"/>
        <c:crosses val="autoZero"/>
        <c:auto val="1"/>
        <c:lblAlgn val="ctr"/>
        <c:lblOffset val="100"/>
        <c:tickLblSkip val="12"/>
        <c:noMultiLvlLbl val="0"/>
      </c:catAx>
      <c:valAx>
        <c:axId val="4526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Leistung [kWh/h]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2653312"/>
        <c:crosses val="autoZero"/>
        <c:crossBetween val="between"/>
      </c:valAx>
      <c:valAx>
        <c:axId val="381845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Defizit kum. / Speicherfüllstand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1849904"/>
        <c:crosses val="max"/>
        <c:crossBetween val="between"/>
      </c:valAx>
      <c:catAx>
        <c:axId val="38184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18451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92</xdr:row>
      <xdr:rowOff>67320</xdr:rowOff>
    </xdr:from>
    <xdr:to>
      <xdr:col>12</xdr:col>
      <xdr:colOff>368280</xdr:colOff>
      <xdr:row>113</xdr:row>
      <xdr:rowOff>25200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6</xdr:col>
      <xdr:colOff>0</xdr:colOff>
      <xdr:row>89</xdr:row>
      <xdr:rowOff>0</xdr:rowOff>
    </xdr:to>
    <xdr:graphicFrame macro="">
      <xdr:nvGraphicFramePr>
        <xdr:cNvPr id="4" name="Zapfprofil_Woche2">
          <a:extLst>
            <a:ext uri="{FF2B5EF4-FFF2-40B4-BE49-F238E27FC236}">
              <a16:creationId xmlns:a16="http://schemas.microsoft.com/office/drawing/2014/main" id="{28BC2422-54A2-D54B-BB7C-4A1F82CDE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57D16B-6376-4DE3-9D9B-6FE3A6E29BFC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aa6130b8-cb0c-4c50-9a7e-554a9b7c33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showGridLines="0" zoomScaleNormal="100" workbookViewId="0">
      <selection activeCell="B12" sqref="B12"/>
    </sheetView>
  </sheetViews>
  <sheetFormatPr baseColWidth="10" defaultColWidth="8.6328125" defaultRowHeight="14.5" x14ac:dyDescent="0.35"/>
  <cols>
    <col min="1" max="1" width="46" customWidth="1"/>
    <col min="2" max="2" width="30" customWidth="1"/>
    <col min="3" max="3" width="21" customWidth="1"/>
    <col min="4" max="4" width="40" customWidth="1"/>
    <col min="5" max="5" width="58" customWidth="1"/>
    <col min="6" max="6" width="2" customWidth="1"/>
    <col min="7" max="7" width="30" customWidth="1"/>
  </cols>
  <sheetData>
    <row r="1" spans="1:7" ht="17.25" customHeight="1" x14ac:dyDescent="0.35">
      <c r="A1" s="89" t="s">
        <v>0</v>
      </c>
      <c r="B1" s="1"/>
      <c r="C1" s="1"/>
      <c r="D1" s="1"/>
      <c r="E1" s="1"/>
    </row>
    <row r="2" spans="1:7" ht="15" customHeight="1" x14ac:dyDescent="0.35">
      <c r="A2" s="112" t="s">
        <v>1</v>
      </c>
      <c r="B2" s="110"/>
      <c r="C2" s="110"/>
      <c r="D2" s="110"/>
      <c r="E2" s="110"/>
      <c r="F2" s="110"/>
      <c r="G2" s="110"/>
    </row>
    <row r="4" spans="1:7" ht="15" customHeight="1" x14ac:dyDescent="0.35">
      <c r="A4" s="3" t="s">
        <v>2</v>
      </c>
      <c r="B4" s="3"/>
      <c r="C4" s="3"/>
      <c r="D4" s="3"/>
      <c r="E4" s="3"/>
    </row>
    <row r="5" spans="1:7" ht="15" customHeight="1" x14ac:dyDescent="0.35">
      <c r="A5" s="4" t="s">
        <v>3</v>
      </c>
      <c r="B5" s="5" t="s">
        <v>4</v>
      </c>
    </row>
    <row r="6" spans="1:7" ht="15" customHeight="1" x14ac:dyDescent="0.35">
      <c r="A6" s="4" t="s">
        <v>5</v>
      </c>
      <c r="B6" s="5" t="s">
        <v>6</v>
      </c>
    </row>
    <row r="7" spans="1:7" ht="15" customHeight="1" x14ac:dyDescent="0.35">
      <c r="A7" s="4" t="s">
        <v>7</v>
      </c>
      <c r="B7" s="6">
        <v>46232</v>
      </c>
    </row>
    <row r="9" spans="1:7" ht="15" customHeight="1" x14ac:dyDescent="0.35">
      <c r="A9" s="3" t="s">
        <v>8</v>
      </c>
      <c r="B9" s="3"/>
      <c r="C9" s="3"/>
      <c r="D9" s="3"/>
      <c r="E9" s="3"/>
    </row>
    <row r="10" spans="1:7" ht="15" customHeight="1" x14ac:dyDescent="0.35">
      <c r="A10" s="4" t="s">
        <v>9</v>
      </c>
      <c r="B10" s="5" t="s">
        <v>73</v>
      </c>
      <c r="D10" s="7" t="s">
        <v>11</v>
      </c>
    </row>
    <row r="11" spans="1:7" ht="15" customHeight="1" x14ac:dyDescent="0.35">
      <c r="A11" s="4" t="s">
        <v>12</v>
      </c>
      <c r="B11" s="8">
        <v>60</v>
      </c>
      <c r="C11" s="7" t="s">
        <v>13</v>
      </c>
      <c r="D11" s="7" t="s">
        <v>14</v>
      </c>
    </row>
    <row r="12" spans="1:7" ht="15" customHeight="1" x14ac:dyDescent="0.35">
      <c r="A12" s="4" t="s">
        <v>15</v>
      </c>
      <c r="B12" s="9">
        <v>2.2000000000000002</v>
      </c>
      <c r="C12" s="7" t="s">
        <v>16</v>
      </c>
      <c r="D12" s="7" t="s">
        <v>17</v>
      </c>
    </row>
    <row r="13" spans="1:7" ht="15" customHeight="1" x14ac:dyDescent="0.35">
      <c r="A13" s="4" t="s">
        <v>18</v>
      </c>
      <c r="B13" s="10">
        <f>B11*B12</f>
        <v>132</v>
      </c>
      <c r="C13" s="7" t="s">
        <v>19</v>
      </c>
      <c r="D13" s="7" t="s">
        <v>20</v>
      </c>
    </row>
    <row r="15" spans="1:7" ht="15" customHeight="1" x14ac:dyDescent="0.35">
      <c r="A15" s="3" t="s">
        <v>21</v>
      </c>
      <c r="B15" s="3"/>
      <c r="C15" s="3"/>
      <c r="D15" s="3"/>
      <c r="E15" s="3"/>
    </row>
    <row r="16" spans="1:7" ht="15" customHeight="1" x14ac:dyDescent="0.35">
      <c r="A16" s="4" t="s">
        <v>22</v>
      </c>
      <c r="B16" s="5" t="s">
        <v>23</v>
      </c>
      <c r="C16" s="7" t="s">
        <v>24</v>
      </c>
      <c r="D16" s="7" t="s">
        <v>25</v>
      </c>
    </row>
    <row r="17" spans="1:5" ht="15" customHeight="1" x14ac:dyDescent="0.35">
      <c r="A17" s="4" t="s">
        <v>26</v>
      </c>
      <c r="B17" s="10">
        <f>IFERROR(INDEX($D$36:$D$46,MATCH($B$10,$A$36:$A$46,0)),0)</f>
        <v>17.600000000000001</v>
      </c>
      <c r="C17" s="7" t="s">
        <v>27</v>
      </c>
      <c r="D17" s="7" t="s">
        <v>28</v>
      </c>
    </row>
    <row r="18" spans="1:5" ht="15" customHeight="1" x14ac:dyDescent="0.35">
      <c r="A18" s="4" t="s">
        <v>29</v>
      </c>
      <c r="B18" s="9">
        <v>77</v>
      </c>
      <c r="C18" s="7" t="s">
        <v>27</v>
      </c>
      <c r="D18" s="7" t="s">
        <v>30</v>
      </c>
    </row>
    <row r="19" spans="1:5" ht="15" customHeight="1" x14ac:dyDescent="0.35">
      <c r="A19" s="11" t="s">
        <v>31</v>
      </c>
      <c r="B19" s="12">
        <f>IF($B$16="auto",$B$17,$B$18)</f>
        <v>17.600000000000001</v>
      </c>
      <c r="C19" s="7" t="s">
        <v>27</v>
      </c>
      <c r="D19" s="7" t="s">
        <v>32</v>
      </c>
    </row>
    <row r="21" spans="1:5" ht="15" customHeight="1" x14ac:dyDescent="0.35">
      <c r="A21" s="3" t="s">
        <v>33</v>
      </c>
      <c r="B21" s="3"/>
      <c r="C21" s="3"/>
      <c r="D21" s="3"/>
      <c r="E21" s="3"/>
    </row>
    <row r="22" spans="1:5" ht="15" customHeight="1" x14ac:dyDescent="0.35">
      <c r="A22" s="4" t="s">
        <v>34</v>
      </c>
      <c r="B22" s="8">
        <v>60</v>
      </c>
      <c r="C22" s="7" t="s">
        <v>35</v>
      </c>
      <c r="D22" s="7" t="s">
        <v>36</v>
      </c>
    </row>
    <row r="23" spans="1:5" ht="15" customHeight="1" x14ac:dyDescent="0.35">
      <c r="A23" s="4" t="s">
        <v>37</v>
      </c>
      <c r="B23" s="8">
        <v>10</v>
      </c>
      <c r="C23" s="7" t="s">
        <v>35</v>
      </c>
      <c r="D23" s="7" t="s">
        <v>38</v>
      </c>
    </row>
    <row r="24" spans="1:5" ht="15" customHeight="1" x14ac:dyDescent="0.35">
      <c r="A24" s="4" t="s">
        <v>39</v>
      </c>
      <c r="B24" s="8">
        <v>45</v>
      </c>
      <c r="C24" s="7" t="s">
        <v>35</v>
      </c>
      <c r="D24" s="7" t="s">
        <v>40</v>
      </c>
    </row>
    <row r="25" spans="1:5" ht="15" customHeight="1" x14ac:dyDescent="0.35">
      <c r="A25" s="4" t="s">
        <v>41</v>
      </c>
      <c r="B25" s="13">
        <f>B22-B23</f>
        <v>50</v>
      </c>
      <c r="C25" s="7" t="s">
        <v>42</v>
      </c>
      <c r="D25" s="7" t="s">
        <v>43</v>
      </c>
    </row>
    <row r="27" spans="1:5" ht="15" customHeight="1" x14ac:dyDescent="0.35">
      <c r="A27" s="3" t="s">
        <v>44</v>
      </c>
      <c r="B27" s="3"/>
      <c r="C27" s="3"/>
      <c r="D27" s="3"/>
      <c r="E27" s="3"/>
    </row>
    <row r="28" spans="1:5" ht="24" customHeight="1" x14ac:dyDescent="0.35">
      <c r="A28" s="90" t="s">
        <v>45</v>
      </c>
      <c r="B28" s="91">
        <v>4</v>
      </c>
      <c r="C28" s="92" t="s">
        <v>46</v>
      </c>
      <c r="D28" s="93" t="s">
        <v>47</v>
      </c>
      <c r="E28" s="92" t="s">
        <v>48</v>
      </c>
    </row>
    <row r="29" spans="1:5" ht="24" customHeight="1" x14ac:dyDescent="0.35">
      <c r="A29" s="90" t="s">
        <v>49</v>
      </c>
      <c r="B29" s="94">
        <v>0.2</v>
      </c>
      <c r="C29" s="92" t="s">
        <v>46</v>
      </c>
      <c r="D29" s="93" t="s">
        <v>50</v>
      </c>
      <c r="E29" s="92" t="s">
        <v>51</v>
      </c>
    </row>
    <row r="30" spans="1:5" ht="15" customHeight="1" x14ac:dyDescent="0.35">
      <c r="A30" s="4" t="s">
        <v>52</v>
      </c>
      <c r="B30" s="14">
        <v>0.8</v>
      </c>
      <c r="C30" s="7" t="s">
        <v>53</v>
      </c>
      <c r="D30" s="7" t="s">
        <v>54</v>
      </c>
    </row>
    <row r="31" spans="1:5" ht="24" customHeight="1" x14ac:dyDescent="0.35">
      <c r="A31" s="90" t="s">
        <v>55</v>
      </c>
      <c r="B31" s="95">
        <v>0.15</v>
      </c>
      <c r="C31" s="92" t="s">
        <v>53</v>
      </c>
      <c r="D31" s="93" t="s">
        <v>56</v>
      </c>
      <c r="E31" s="92" t="s">
        <v>57</v>
      </c>
    </row>
    <row r="33" spans="1:7" ht="15" customHeight="1" x14ac:dyDescent="0.35">
      <c r="A33" s="3" t="s">
        <v>58</v>
      </c>
      <c r="B33" s="3"/>
      <c r="C33" s="3"/>
      <c r="D33" s="3"/>
      <c r="E33" s="3"/>
    </row>
    <row r="34" spans="1:7" ht="15" customHeight="1" x14ac:dyDescent="0.35">
      <c r="A34" s="112" t="s">
        <v>59</v>
      </c>
      <c r="B34" s="110"/>
      <c r="C34" s="110"/>
      <c r="D34" s="110"/>
      <c r="E34" s="110"/>
      <c r="F34" s="110"/>
      <c r="G34" s="110"/>
    </row>
    <row r="35" spans="1:7" ht="21.75" customHeight="1" x14ac:dyDescent="0.35">
      <c r="A35" s="15" t="s">
        <v>9</v>
      </c>
      <c r="B35" s="15" t="s">
        <v>60</v>
      </c>
      <c r="C35" s="15" t="s">
        <v>61</v>
      </c>
      <c r="D35" s="15" t="s">
        <v>62</v>
      </c>
      <c r="E35" s="15" t="s">
        <v>63</v>
      </c>
    </row>
    <row r="36" spans="1:7" ht="15" customHeight="1" x14ac:dyDescent="0.35">
      <c r="A36" s="16" t="s">
        <v>10</v>
      </c>
      <c r="B36" s="17">
        <v>35</v>
      </c>
      <c r="C36" s="18" t="s">
        <v>64</v>
      </c>
      <c r="D36" s="19">
        <f t="shared" ref="D36:D46" si="0">IF($C36="Person",$B36*$B$12,$B36)</f>
        <v>77</v>
      </c>
      <c r="E36" s="20" t="s">
        <v>65</v>
      </c>
    </row>
    <row r="37" spans="1:7" ht="15" customHeight="1" x14ac:dyDescent="0.35">
      <c r="A37" s="21" t="s">
        <v>66</v>
      </c>
      <c r="B37" s="17">
        <v>35</v>
      </c>
      <c r="C37" s="18" t="s">
        <v>64</v>
      </c>
      <c r="D37" s="22">
        <f t="shared" si="0"/>
        <v>77</v>
      </c>
      <c r="E37" s="23" t="s">
        <v>67</v>
      </c>
    </row>
    <row r="38" spans="1:7" ht="15" customHeight="1" x14ac:dyDescent="0.35">
      <c r="A38" s="16" t="s">
        <v>68</v>
      </c>
      <c r="B38" s="17">
        <v>60</v>
      </c>
      <c r="C38" s="18" t="s">
        <v>69</v>
      </c>
      <c r="D38" s="19">
        <f t="shared" si="0"/>
        <v>60</v>
      </c>
      <c r="E38" s="20" t="s">
        <v>70</v>
      </c>
    </row>
    <row r="39" spans="1:7" ht="15" customHeight="1" x14ac:dyDescent="0.35">
      <c r="A39" s="21" t="s">
        <v>71</v>
      </c>
      <c r="B39" s="17">
        <v>50</v>
      </c>
      <c r="C39" s="18" t="s">
        <v>69</v>
      </c>
      <c r="D39" s="22">
        <f t="shared" si="0"/>
        <v>50</v>
      </c>
      <c r="E39" s="23" t="s">
        <v>72</v>
      </c>
    </row>
    <row r="40" spans="1:7" ht="15" customHeight="1" x14ac:dyDescent="0.35">
      <c r="A40" s="16" t="s">
        <v>73</v>
      </c>
      <c r="B40" s="17">
        <v>8</v>
      </c>
      <c r="C40" s="18" t="s">
        <v>64</v>
      </c>
      <c r="D40" s="19">
        <f t="shared" si="0"/>
        <v>17.600000000000001</v>
      </c>
      <c r="E40" s="20" t="s">
        <v>74</v>
      </c>
    </row>
    <row r="41" spans="1:7" ht="15" customHeight="1" x14ac:dyDescent="0.35">
      <c r="A41" s="21" t="s">
        <v>75</v>
      </c>
      <c r="B41" s="17">
        <v>30</v>
      </c>
      <c r="C41" s="18" t="s">
        <v>64</v>
      </c>
      <c r="D41" s="22">
        <f t="shared" si="0"/>
        <v>66</v>
      </c>
      <c r="E41" s="23" t="s">
        <v>76</v>
      </c>
    </row>
    <row r="42" spans="1:7" ht="15" customHeight="1" x14ac:dyDescent="0.35">
      <c r="A42" s="16" t="s">
        <v>77</v>
      </c>
      <c r="B42" s="17">
        <v>5</v>
      </c>
      <c r="C42" s="18" t="s">
        <v>64</v>
      </c>
      <c r="D42" s="19">
        <f t="shared" si="0"/>
        <v>11</v>
      </c>
      <c r="E42" s="20" t="s">
        <v>78</v>
      </c>
    </row>
    <row r="43" spans="1:7" ht="15" customHeight="1" x14ac:dyDescent="0.35">
      <c r="A43" s="21" t="s">
        <v>79</v>
      </c>
      <c r="B43" s="17">
        <v>28</v>
      </c>
      <c r="C43" s="18" t="s">
        <v>64</v>
      </c>
      <c r="D43" s="22">
        <f t="shared" si="0"/>
        <v>61.600000000000009</v>
      </c>
      <c r="E43" s="23" t="s">
        <v>80</v>
      </c>
    </row>
    <row r="44" spans="1:7" ht="15" customHeight="1" x14ac:dyDescent="0.35">
      <c r="A44" s="16" t="s">
        <v>81</v>
      </c>
      <c r="B44" s="17">
        <v>37</v>
      </c>
      <c r="C44" s="18" t="s">
        <v>69</v>
      </c>
      <c r="D44" s="19">
        <f t="shared" si="0"/>
        <v>37</v>
      </c>
      <c r="E44" s="20" t="s">
        <v>82</v>
      </c>
    </row>
    <row r="45" spans="1:7" ht="15" customHeight="1" x14ac:dyDescent="0.35">
      <c r="A45" s="21" t="s">
        <v>83</v>
      </c>
      <c r="B45" s="17">
        <v>36</v>
      </c>
      <c r="C45" s="18" t="s">
        <v>69</v>
      </c>
      <c r="D45" s="22">
        <f t="shared" si="0"/>
        <v>36</v>
      </c>
      <c r="E45" s="23" t="s">
        <v>84</v>
      </c>
    </row>
    <row r="46" spans="1:7" ht="15" customHeight="1" x14ac:dyDescent="0.35">
      <c r="A46" s="16" t="s">
        <v>85</v>
      </c>
      <c r="B46" s="17">
        <v>38</v>
      </c>
      <c r="C46" s="18" t="s">
        <v>69</v>
      </c>
      <c r="D46" s="19">
        <f t="shared" si="0"/>
        <v>38</v>
      </c>
      <c r="E46" s="20" t="s">
        <v>86</v>
      </c>
    </row>
    <row r="48" spans="1:7" ht="15" customHeight="1" x14ac:dyDescent="0.35">
      <c r="A48" s="2" t="s">
        <v>87</v>
      </c>
    </row>
    <row r="49" spans="1:7" ht="15" customHeight="1" x14ac:dyDescent="0.35">
      <c r="A49" s="112" t="s">
        <v>88</v>
      </c>
      <c r="B49" s="110"/>
      <c r="C49" s="110"/>
      <c r="D49" s="110"/>
      <c r="E49" s="110"/>
      <c r="F49" s="110"/>
      <c r="G49" s="110"/>
    </row>
    <row r="51" spans="1:7" ht="15" customHeight="1" x14ac:dyDescent="0.35">
      <c r="A51" s="3" t="s">
        <v>89</v>
      </c>
      <c r="B51" s="3"/>
      <c r="C51" s="3"/>
      <c r="D51" s="3"/>
      <c r="E51" s="3"/>
      <c r="G51" s="7" t="s">
        <v>90</v>
      </c>
    </row>
    <row r="52" spans="1:7" ht="24" customHeight="1" x14ac:dyDescent="0.35">
      <c r="A52" s="111" t="s">
        <v>91</v>
      </c>
      <c r="B52" s="110"/>
      <c r="C52" s="110"/>
      <c r="D52" s="110"/>
      <c r="E52" s="110"/>
      <c r="F52" s="110"/>
      <c r="G52" s="92" t="s">
        <v>92</v>
      </c>
    </row>
    <row r="53" spans="1:7" ht="15" customHeight="1" x14ac:dyDescent="0.35">
      <c r="A53" s="4" t="s">
        <v>93</v>
      </c>
      <c r="B53" s="24" t="s">
        <v>96</v>
      </c>
      <c r="C53" s="7" t="s">
        <v>94</v>
      </c>
      <c r="D53" s="7" t="s">
        <v>95</v>
      </c>
      <c r="G53" s="7" t="s">
        <v>96</v>
      </c>
    </row>
    <row r="54" spans="1:7" ht="15" customHeight="1" x14ac:dyDescent="0.35">
      <c r="A54" s="4" t="s">
        <v>97</v>
      </c>
      <c r="B54" s="25">
        <f>$B$11*$B$12/Berechnung!$B$373</f>
        <v>37.714285714285715</v>
      </c>
      <c r="C54" s="7" t="s">
        <v>53</v>
      </c>
      <c r="D54" s="7" t="s">
        <v>98</v>
      </c>
      <c r="G54" s="7" t="s">
        <v>23</v>
      </c>
    </row>
    <row r="55" spans="1:7" ht="15" customHeight="1" x14ac:dyDescent="0.35">
      <c r="A55" s="4" t="s">
        <v>99</v>
      </c>
      <c r="B55" s="26">
        <f>'DIN 4708-2'!$B$25</f>
        <v>17.187039764359351</v>
      </c>
      <c r="C55" s="7" t="s">
        <v>53</v>
      </c>
      <c r="D55" s="7" t="s">
        <v>100</v>
      </c>
      <c r="G55" s="7" t="s">
        <v>101</v>
      </c>
    </row>
    <row r="56" spans="1:7" ht="15" customHeight="1" x14ac:dyDescent="0.35">
      <c r="A56" s="4" t="s">
        <v>102</v>
      </c>
      <c r="B56" s="27">
        <f>IF($B$53="DIN 4708-2 (Tabelle)",$B$55,$B$54)</f>
        <v>17.187039764359351</v>
      </c>
      <c r="C56" s="7" t="s">
        <v>53</v>
      </c>
      <c r="D56" s="7" t="s">
        <v>103</v>
      </c>
      <c r="G56" s="7" t="s">
        <v>104</v>
      </c>
    </row>
    <row r="57" spans="1:7" ht="27" customHeight="1" x14ac:dyDescent="0.35">
      <c r="A57" s="90" t="s">
        <v>105</v>
      </c>
      <c r="B57" s="113" t="str">
        <f>"N vereinfacht = "&amp;ROUND($B$54,2)&amp;"   |   N nach DIN 4708-2 = "&amp;ROUND($B$55,2)&amp;"   |   Abweichung "&amp;IF($B$54=0,"—",IF($B$55/$B$54-1&gt;=0,"+","")&amp;ROUND(($B$55/$B$54-1)*100,1)&amp;" %")&amp;"   |   angesetzt: N = "&amp;ROUND($B$56,2)&amp;" ("&amp;$B$53&amp;")"</f>
        <v>N vereinfacht = 37,71   |   N nach DIN 4708-2 = 17,19   |   Abweichung -54,4 %   |   angesetzt: N = 17,19 (DIN 4708-2 (Tabelle))</v>
      </c>
      <c r="C57" s="110"/>
      <c r="D57" s="110"/>
      <c r="E57" s="110"/>
      <c r="F57" s="110"/>
      <c r="G57" s="92" t="s">
        <v>106</v>
      </c>
    </row>
    <row r="58" spans="1:7" ht="15" customHeight="1" x14ac:dyDescent="0.35">
      <c r="A58" s="4" t="s">
        <v>107</v>
      </c>
      <c r="B58" s="12">
        <f>IF($B$53="DIN 4708-2 (Tabelle)",'DIN 4708-2'!$B$27,$B$13)</f>
        <v>75</v>
      </c>
      <c r="C58" s="7" t="s">
        <v>19</v>
      </c>
      <c r="D58" s="7" t="s">
        <v>108</v>
      </c>
      <c r="G58" s="7" t="s">
        <v>101</v>
      </c>
    </row>
    <row r="59" spans="1:7" ht="15" customHeight="1" x14ac:dyDescent="0.35"/>
    <row r="60" spans="1:7" ht="15" customHeight="1" x14ac:dyDescent="0.35">
      <c r="A60" s="3" t="s">
        <v>109</v>
      </c>
      <c r="B60" s="3"/>
      <c r="C60" s="3"/>
      <c r="D60" s="3"/>
      <c r="E60" s="3"/>
    </row>
    <row r="61" spans="1:7" ht="15" customHeight="1" x14ac:dyDescent="0.35">
      <c r="A61" s="112" t="s">
        <v>110</v>
      </c>
      <c r="B61" s="110"/>
      <c r="C61" s="110"/>
      <c r="D61" s="110"/>
      <c r="E61" s="110"/>
      <c r="F61" s="110"/>
      <c r="G61" s="110"/>
    </row>
    <row r="62" spans="1:7" ht="15" customHeight="1" x14ac:dyDescent="0.35">
      <c r="A62" s="4" t="s">
        <v>111</v>
      </c>
      <c r="B62" s="24" t="s">
        <v>23</v>
      </c>
      <c r="C62" s="7" t="s">
        <v>24</v>
      </c>
      <c r="D62" s="7" t="s">
        <v>112</v>
      </c>
    </row>
    <row r="63" spans="1:7" ht="15" customHeight="1" x14ac:dyDescent="0.35">
      <c r="A63" s="4" t="s">
        <v>113</v>
      </c>
      <c r="B63" s="29">
        <v>8</v>
      </c>
      <c r="C63" s="7" t="s">
        <v>114</v>
      </c>
      <c r="D63" s="7" t="s">
        <v>115</v>
      </c>
    </row>
    <row r="64" spans="1:7" ht="15" customHeight="1" x14ac:dyDescent="0.35">
      <c r="A64" s="4" t="s">
        <v>116</v>
      </c>
      <c r="B64" s="30">
        <f>Berechnung!$B$9</f>
        <v>61.406400000000005</v>
      </c>
      <c r="C64" s="7" t="s">
        <v>117</v>
      </c>
      <c r="D64" s="7" t="s">
        <v>118</v>
      </c>
    </row>
    <row r="65" spans="1:7" ht="15" customHeight="1" x14ac:dyDescent="0.35">
      <c r="A65" s="4" t="s">
        <v>119</v>
      </c>
      <c r="B65" s="10">
        <f>$B$64*7*MAX(Zapfprofil!$B$61:$H$61)*Zapfprofil!$B$8+$B$29*24</f>
        <v>86.470511999999999</v>
      </c>
      <c r="C65" s="7" t="s">
        <v>117</v>
      </c>
      <c r="D65" s="7" t="s">
        <v>120</v>
      </c>
    </row>
    <row r="66" spans="1:7" ht="15" customHeight="1" x14ac:dyDescent="0.35">
      <c r="A66" s="4" t="s">
        <v>121</v>
      </c>
      <c r="B66" s="12">
        <f>IFERROR($B$65/$B$63,0)</f>
        <v>10.808814</v>
      </c>
      <c r="C66" s="7" t="s">
        <v>46</v>
      </c>
      <c r="D66" s="7" t="s">
        <v>122</v>
      </c>
    </row>
    <row r="67" spans="1:7" ht="15" customHeight="1" x14ac:dyDescent="0.35">
      <c r="A67" s="4" t="s">
        <v>123</v>
      </c>
      <c r="B67" s="29">
        <v>20</v>
      </c>
      <c r="C67" s="7" t="s">
        <v>46</v>
      </c>
      <c r="D67" s="7" t="s">
        <v>124</v>
      </c>
    </row>
    <row r="68" spans="1:7" ht="15" customHeight="1" x14ac:dyDescent="0.35">
      <c r="A68" s="4" t="s">
        <v>125</v>
      </c>
      <c r="B68" s="109" t="str">
        <f>"Vorschlag = "&amp;ROUND($B$64,1)&amp;" kWh/d × 7 × "&amp;ROUND(MAX(Zapfprofil!$B$61:$H$61)*100,1)&amp;" %"&amp;" (höchster Wochenfaktor) × "&amp;ROUND(Zapfprofil!$B$8,2)&amp;" (Saison) + "&amp;ROUND($B$29,2)&amp;" kW × 24 h = "&amp;ROUND($B$65,1)&amp;" kWh/d  ÷  "&amp;ROUND($B$63,1)&amp;" h  =  "&amp;ROUND($B$66,1)&amp;" kW   —   angesetzt: "&amp;ROUND($B$28,1)&amp;" kW ("&amp;$B$62&amp;")"</f>
        <v>Vorschlag = 61,4 kWh/d × 7 × 19 % (höchster Wochenfaktor) × 1 (Saison) + 0,2 kW × 24 h = 86,5 kWh/d  ÷  8 h  =  10,8 kW   —   angesetzt: 4 kW (auto)</v>
      </c>
      <c r="C68" s="110"/>
      <c r="D68" s="110"/>
      <c r="E68" s="110"/>
      <c r="F68" s="110"/>
      <c r="G68" s="110"/>
    </row>
    <row r="69" spans="1:7" ht="15" customHeight="1" x14ac:dyDescent="0.35"/>
    <row r="70" spans="1:7" ht="15" customHeight="1" x14ac:dyDescent="0.35">
      <c r="A70" s="3" t="s">
        <v>126</v>
      </c>
      <c r="B70" s="3"/>
      <c r="C70" s="3"/>
      <c r="D70" s="3"/>
      <c r="E70" s="3"/>
    </row>
    <row r="71" spans="1:7" ht="15" customHeight="1" x14ac:dyDescent="0.35">
      <c r="A71" s="112" t="s">
        <v>127</v>
      </c>
      <c r="B71" s="110"/>
      <c r="C71" s="110"/>
      <c r="D71" s="110"/>
      <c r="E71" s="110"/>
      <c r="F71" s="110"/>
      <c r="G71" s="110"/>
    </row>
    <row r="72" spans="1:7" ht="15" customHeight="1" x14ac:dyDescent="0.35">
      <c r="A72" s="4" t="s">
        <v>128</v>
      </c>
      <c r="B72" s="24" t="s">
        <v>104</v>
      </c>
      <c r="C72" s="7" t="s">
        <v>129</v>
      </c>
      <c r="D72" s="7" t="s">
        <v>130</v>
      </c>
    </row>
    <row r="73" spans="1:7" ht="15" customHeight="1" x14ac:dyDescent="0.35">
      <c r="A73" s="4" t="s">
        <v>131</v>
      </c>
      <c r="B73" s="31">
        <v>100</v>
      </c>
      <c r="C73" s="7" t="s">
        <v>132</v>
      </c>
      <c r="D73" s="7" t="s">
        <v>133</v>
      </c>
    </row>
    <row r="74" spans="1:7" ht="15" customHeight="1" x14ac:dyDescent="0.35">
      <c r="A74" s="4" t="s">
        <v>134</v>
      </c>
      <c r="B74" s="29">
        <v>10</v>
      </c>
      <c r="C74" s="7" t="s">
        <v>135</v>
      </c>
      <c r="D74" s="7" t="s">
        <v>136</v>
      </c>
    </row>
    <row r="75" spans="1:7" ht="15" customHeight="1" x14ac:dyDescent="0.35">
      <c r="A75" s="4" t="s">
        <v>106</v>
      </c>
      <c r="B75" s="32">
        <v>0.2</v>
      </c>
      <c r="C75" s="7" t="s">
        <v>53</v>
      </c>
      <c r="D75" s="7" t="s">
        <v>137</v>
      </c>
    </row>
    <row r="76" spans="1:7" ht="15" customHeight="1" x14ac:dyDescent="0.35">
      <c r="A76" s="4" t="s">
        <v>138</v>
      </c>
      <c r="B76" s="33">
        <v>0</v>
      </c>
      <c r="C76" s="7" t="s">
        <v>46</v>
      </c>
      <c r="D76" s="7" t="s">
        <v>139</v>
      </c>
    </row>
    <row r="77" spans="1:7" ht="15" customHeight="1" x14ac:dyDescent="0.35">
      <c r="A77" s="4" t="s">
        <v>140</v>
      </c>
      <c r="B77" s="25">
        <f>$B$73*$B$74/1000</f>
        <v>1</v>
      </c>
      <c r="C77" s="7" t="s">
        <v>46</v>
      </c>
      <c r="D77" s="7" t="s">
        <v>141</v>
      </c>
    </row>
    <row r="78" spans="1:7" ht="15" customHeight="1" x14ac:dyDescent="0.35">
      <c r="A78" s="4" t="s">
        <v>142</v>
      </c>
      <c r="B78" s="25">
        <f>$B$75*$B$64/24</f>
        <v>0.51172000000000006</v>
      </c>
      <c r="C78" s="7" t="s">
        <v>46</v>
      </c>
      <c r="D78" s="7" t="s">
        <v>143</v>
      </c>
    </row>
    <row r="79" spans="1:7" ht="15" customHeight="1" x14ac:dyDescent="0.35">
      <c r="A79" s="4" t="s">
        <v>144</v>
      </c>
      <c r="B79" s="27">
        <f>IF($B$72="Leitungslänge",$B$77,IF($B$72="Anteil am Tagesbedarf",$B$78,$B$76))</f>
        <v>1</v>
      </c>
      <c r="C79" s="7" t="s">
        <v>46</v>
      </c>
      <c r="D79" s="7" t="s">
        <v>145</v>
      </c>
    </row>
    <row r="80" spans="1:7" ht="15" customHeight="1" x14ac:dyDescent="0.35">
      <c r="A80" s="4" t="s">
        <v>125</v>
      </c>
      <c r="B80" s="109" t="str">
        <f>IF($B$72="Leitungslänge","Leitungslänge: "&amp;ROUND($B$73,0)&amp;" m × "&amp;ROUND($B$74,1)&amp;" W/m / 1000 = "&amp;ROUND($B$77,2)&amp;" kW  =  "&amp;ROUND($B$79*24,1)&amp;" kWh/d",IF($B$72="Anteil am Tagesbedarf","Anteil: "&amp;ROUND($B$75*100,0)&amp;" % × "&amp;ROUND($B$64,1)&amp;" kWh/d / 24 h = "&amp;ROUND($B$78,2)&amp;" kW  =  "&amp;ROUND($B$79*24,1)&amp;" kWh/d","manuell: "&amp;ROUND($B$76,2)&amp;" kW  =  "&amp;ROUND($B$79*24,1)&amp;" kWh/d"))</f>
        <v>Leitungslänge: 100 m × 10 W/m / 1000 = 1 kW  =  24 kWh/d</v>
      </c>
      <c r="C80" s="110"/>
      <c r="D80" s="110"/>
      <c r="E80" s="110"/>
      <c r="F80" s="110"/>
      <c r="G80" s="110"/>
    </row>
    <row r="81" spans="1:7" ht="15" customHeight="1" x14ac:dyDescent="0.35"/>
    <row r="82" spans="1:7" ht="15" customHeight="1" x14ac:dyDescent="0.35">
      <c r="A82" s="112" t="s">
        <v>146</v>
      </c>
      <c r="B82" s="110"/>
      <c r="C82" s="110"/>
      <c r="D82" s="110"/>
      <c r="E82" s="110"/>
      <c r="F82" s="110"/>
      <c r="G82" s="110"/>
    </row>
  </sheetData>
  <mergeCells count="10">
    <mergeCell ref="A82:G82"/>
    <mergeCell ref="B68:G68"/>
    <mergeCell ref="A71:G71"/>
    <mergeCell ref="A49:G49"/>
    <mergeCell ref="B57:F57"/>
    <mergeCell ref="B80:G80"/>
    <mergeCell ref="A52:F52"/>
    <mergeCell ref="A61:G61"/>
    <mergeCell ref="A34:G34"/>
    <mergeCell ref="A2:G2"/>
  </mergeCells>
  <dataValidations count="17">
    <dataValidation type="list" allowBlank="1" showErrorMessage="1" errorTitle="Ungültige Eingabe" error="Bitte einen Nutzungstyp aus der Liste wählen." sqref="B10" xr:uid="{00000000-0002-0000-0000-000000000000}">
      <formula1>$A$36:$A$46</formula1>
      <formula2>0</formula2>
    </dataValidation>
    <dataValidation type="list" allowBlank="1" showErrorMessage="1" errorTitle="Ungültige Eingabe" error="Bitte 'auto' oder 'manuell' wählen." sqref="B16" xr:uid="{00000000-0002-0000-0000-000001000000}">
      <formula1>"auto,manuell"</formula1>
      <formula2>0</formula2>
    </dataValidation>
    <dataValidation type="decimal" allowBlank="1" showErrorMessage="1" errorTitle="Einheiten" error="1 bis 100.000 Einheiten." sqref="B11" xr:uid="{00000000-0002-0000-0000-000002000000}">
      <formula1>1</formula1>
      <formula2>100000</formula2>
    </dataValidation>
    <dataValidation type="decimal" allowBlank="1" showErrorMessage="1" errorTitle="Personen je Einheit" error="0,1 bis 50 Personen je Einheit." sqref="B12" xr:uid="{00000000-0002-0000-0000-000003000000}">
      <formula1>0.1</formula1>
      <formula2>50</formula2>
    </dataValidation>
    <dataValidation type="decimal" allowBlank="1" showErrorMessage="1" errorTitle="spez. Tagesbedarf" error="0 bis 2.000 l/(Einheit·d)." sqref="B18" xr:uid="{00000000-0002-0000-0000-000004000000}">
      <formula1>0</formula1>
      <formula2>2000</formula2>
    </dataValidation>
    <dataValidation type="decimal" allowBlank="1" showErrorMessage="1" errorTitle="Speichertemperatur" error="40 bis 95 °C." sqref="B22" xr:uid="{00000000-0002-0000-0000-000005000000}">
      <formula1>40</formula1>
      <formula2>95</formula2>
    </dataValidation>
    <dataValidation type="decimal" allowBlank="1" showErrorMessage="1" errorTitle="Kaltwassertemperatur" error="2 bis 25 °C." sqref="B23" xr:uid="{00000000-0002-0000-0000-000006000000}">
      <formula1>2</formula1>
      <formula2>25</formula2>
    </dataValidation>
    <dataValidation type="decimal" allowBlank="1" showErrorMessage="1" errorTitle="Zapftemperatur" error="30 bis 60 °C." sqref="B24" xr:uid="{00000000-0002-0000-0000-000007000000}">
      <formula1>30</formula1>
      <formula2>60</formula2>
    </dataValidation>
    <dataValidation type="decimal" allowBlank="1" showErrorMessage="1" errorTitle="nutzbarer Anteil" error="0,30 bis 1,00." sqref="B30" xr:uid="{00000000-0002-0000-0000-000008000000}">
      <formula1>0.3</formula1>
      <formula2>1</formula2>
    </dataValidation>
    <dataValidation type="decimal" allowBlank="1" showErrorMessage="1" errorTitle="Zuschlag" error="0 % bis 100 %." sqref="B31" xr:uid="{00000000-0002-0000-0000-000009000000}">
      <formula1>0</formula1>
      <formula2>1</formula2>
    </dataValidation>
    <dataValidation type="list" allowBlank="1" showErrorMessage="1" errorTitle="Ungültige Eingabe" error="Bezug 'Person' oder 'Einheit'." sqref="C36:C46" xr:uid="{00000000-0002-0000-0000-00000A000000}">
      <formula1>"Person,Einheit"</formula1>
      <formula2>0</formula2>
    </dataValidation>
    <dataValidation type="decimal" allowBlank="1" showErrorMessage="1" errorTitle="Richtwert" error="0 bis 2.000 l/d." sqref="B36:B46" xr:uid="{00000000-0002-0000-0000-00000B000000}">
      <formula1>0</formula1>
      <formula2>2000</formula2>
    </dataValidation>
    <dataValidation type="list" sqref="B53" xr:uid="{00000000-0002-0000-0000-00000C000000}">
      <formula1>$G$52:$G$53</formula1>
      <formula2>0</formula2>
    </dataValidation>
    <dataValidation type="list" sqref="B62" xr:uid="{00000000-0002-0000-0000-00000D000000}">
      <formula1>$G$54:$G$55</formula1>
      <formula2>0</formula2>
    </dataValidation>
    <dataValidation type="list" sqref="B72" xr:uid="{00000000-0002-0000-0000-00000E000000}">
      <formula1>$G$56:$G$58</formula1>
      <formula2>0</formula2>
    </dataValidation>
    <dataValidation type="decimal" operator="greaterThan" sqref="B63" xr:uid="{00000000-0002-0000-0000-00000F000000}">
      <formula1>0</formula1>
      <formula2>0</formula2>
    </dataValidation>
    <dataValidation type="decimal" operator="greaterThanOrEqual" sqref="B67 B73:B76" xr:uid="{00000000-0002-0000-0000-00001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"/>
  <sheetViews>
    <sheetView showGridLines="0" topLeftCell="A97" zoomScaleNormal="100" workbookViewId="0">
      <selection activeCell="B7" sqref="B7:C7"/>
    </sheetView>
  </sheetViews>
  <sheetFormatPr baseColWidth="10" defaultColWidth="8.6328125" defaultRowHeight="14.5" x14ac:dyDescent="0.35"/>
  <cols>
    <col min="1" max="1" width="34" customWidth="1"/>
    <col min="2" max="40" width="8.453125" customWidth="1"/>
  </cols>
  <sheetData>
    <row r="1" spans="1:40" ht="17.25" customHeight="1" x14ac:dyDescent="0.35">
      <c r="A1" s="89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x14ac:dyDescent="0.35">
      <c r="A2" s="112" t="s">
        <v>148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</row>
    <row r="4" spans="1:40" ht="15" customHeight="1" x14ac:dyDescent="0.35">
      <c r="A4" s="3" t="s">
        <v>149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5">
      <c r="A5" s="4" t="s">
        <v>150</v>
      </c>
      <c r="B5" s="123" t="s">
        <v>151</v>
      </c>
      <c r="C5" s="116"/>
      <c r="D5" s="7" t="s">
        <v>152</v>
      </c>
    </row>
    <row r="6" spans="1:40" ht="15" customHeight="1" x14ac:dyDescent="0.35">
      <c r="A6" s="4" t="s">
        <v>153</v>
      </c>
      <c r="B6" s="122" t="str">
        <f>Eingaben!B10</f>
        <v>Büro/Verwaltung</v>
      </c>
      <c r="C6" s="110"/>
    </row>
    <row r="7" spans="1:40" ht="15" customHeight="1" x14ac:dyDescent="0.35">
      <c r="A7" s="11" t="s">
        <v>154</v>
      </c>
      <c r="B7" s="118" t="str">
        <f>IF($B$5="(automatisch)",$B$6,$B$5)</f>
        <v>Büro/Verwaltung</v>
      </c>
      <c r="C7" s="110"/>
      <c r="D7" s="7" t="s">
        <v>155</v>
      </c>
    </row>
    <row r="8" spans="1:40" ht="15" customHeight="1" x14ac:dyDescent="0.35">
      <c r="A8" s="4" t="s">
        <v>156</v>
      </c>
      <c r="B8" s="14">
        <v>1</v>
      </c>
      <c r="C8" s="7" t="s">
        <v>53</v>
      </c>
      <c r="D8" s="7" t="s">
        <v>157</v>
      </c>
    </row>
    <row r="9" spans="1:40" ht="15" customHeight="1" x14ac:dyDescent="0.35">
      <c r="A9" s="4" t="s">
        <v>158</v>
      </c>
      <c r="B9" s="13">
        <f>(MATCH($B$7,$A$49:$A$60,0)-1)*3+1</f>
        <v>25</v>
      </c>
      <c r="D9" s="7" t="s">
        <v>159</v>
      </c>
    </row>
    <row r="10" spans="1:40" ht="48" customHeight="1" x14ac:dyDescent="0.35">
      <c r="A10" s="90" t="s">
        <v>160</v>
      </c>
      <c r="B10" s="96">
        <f>SUM($AL$19:$AL$42)</f>
        <v>0.99999999999999989</v>
      </c>
      <c r="C10" s="97" t="str">
        <f>IF(ABS($B$10-1)&gt;0.005,"WARNUNG: Summe ≠ 100 % — korrigieren!","OK — summiert zu 100 %.")</f>
        <v>OK — summiert zu 100 %.</v>
      </c>
      <c r="D10" s="92" t="s">
        <v>161</v>
      </c>
    </row>
    <row r="11" spans="1:40" ht="48" customHeight="1" x14ac:dyDescent="0.35">
      <c r="A11" s="90" t="s">
        <v>162</v>
      </c>
      <c r="B11" s="96">
        <f>SUM($AM$19:$AM$42)</f>
        <v>1.0000000000000002</v>
      </c>
      <c r="C11" s="97" t="str">
        <f>IF(ABS($B$11-1)&gt;0.005,"WARNUNG: Summe ≠ 100 % — korrigieren!","OK — summiert zu 100 %.")</f>
        <v>OK — summiert zu 100 %.</v>
      </c>
      <c r="D11" s="92" t="s">
        <v>161</v>
      </c>
    </row>
    <row r="12" spans="1:40" ht="48" customHeight="1" x14ac:dyDescent="0.35">
      <c r="A12" s="90" t="s">
        <v>163</v>
      </c>
      <c r="B12" s="96">
        <f>SUM($AN$19:$AN$42)</f>
        <v>1.0000000000000002</v>
      </c>
      <c r="C12" s="97" t="str">
        <f>IF(ABS($B$12-1)&gt;0.005,"WARNUNG: Summe ≠ 100 % — korrigieren!","OK — summiert zu 100 %.")</f>
        <v>OK — summiert zu 100 %.</v>
      </c>
      <c r="D12" s="92" t="s">
        <v>161</v>
      </c>
    </row>
    <row r="13" spans="1:40" ht="48" customHeight="1" x14ac:dyDescent="0.35">
      <c r="A13" s="90" t="s">
        <v>164</v>
      </c>
      <c r="B13" s="96">
        <f>SUM($B$61:$H$61)</f>
        <v>1</v>
      </c>
      <c r="C13" s="97" t="str">
        <f>IF(ABS($B$13-1)&gt;0.005,"WARNUNG: Summe ≠ 100 % — korrigieren!","OK — summiert zu 100 %.")</f>
        <v>OK — summiert zu 100 %.</v>
      </c>
      <c r="D13" s="92" t="s">
        <v>161</v>
      </c>
    </row>
    <row r="16" spans="1:40" ht="15" customHeight="1" x14ac:dyDescent="0.35">
      <c r="A16" s="121" t="s">
        <v>165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spans="1:40" ht="30" customHeight="1" x14ac:dyDescent="0.35">
      <c r="A17" s="15" t="s">
        <v>166</v>
      </c>
      <c r="B17" s="114" t="s">
        <v>79</v>
      </c>
      <c r="C17" s="115"/>
      <c r="D17" s="116"/>
      <c r="E17" s="114" t="s">
        <v>81</v>
      </c>
      <c r="F17" s="115"/>
      <c r="G17" s="116"/>
      <c r="H17" s="114" t="s">
        <v>83</v>
      </c>
      <c r="I17" s="115"/>
      <c r="J17" s="116"/>
      <c r="K17" s="114" t="s">
        <v>85</v>
      </c>
      <c r="L17" s="115"/>
      <c r="M17" s="116"/>
      <c r="N17" s="114" t="s">
        <v>10</v>
      </c>
      <c r="O17" s="115"/>
      <c r="P17" s="116"/>
      <c r="Q17" s="114" t="s">
        <v>66</v>
      </c>
      <c r="R17" s="115"/>
      <c r="S17" s="116"/>
      <c r="T17" s="114" t="s">
        <v>68</v>
      </c>
      <c r="U17" s="115"/>
      <c r="V17" s="116"/>
      <c r="W17" s="114" t="s">
        <v>71</v>
      </c>
      <c r="X17" s="115"/>
      <c r="Y17" s="116"/>
      <c r="Z17" s="114" t="s">
        <v>73</v>
      </c>
      <c r="AA17" s="115"/>
      <c r="AB17" s="116"/>
      <c r="AC17" s="114" t="s">
        <v>75</v>
      </c>
      <c r="AD17" s="115"/>
      <c r="AE17" s="116"/>
      <c r="AF17" s="114" t="s">
        <v>77</v>
      </c>
      <c r="AG17" s="115"/>
      <c r="AH17" s="116"/>
      <c r="AI17" s="114" t="s">
        <v>167</v>
      </c>
      <c r="AJ17" s="115"/>
      <c r="AK17" s="116"/>
      <c r="AL17" s="114" t="s">
        <v>168</v>
      </c>
      <c r="AM17" s="115"/>
      <c r="AN17" s="116"/>
    </row>
    <row r="18" spans="1:40" ht="15" customHeight="1" x14ac:dyDescent="0.35">
      <c r="A18" s="15" t="s">
        <v>169</v>
      </c>
      <c r="B18" s="15" t="s">
        <v>170</v>
      </c>
      <c r="C18" s="15" t="s">
        <v>171</v>
      </c>
      <c r="D18" s="15" t="s">
        <v>172</v>
      </c>
      <c r="E18" s="15" t="s">
        <v>170</v>
      </c>
      <c r="F18" s="15" t="s">
        <v>171</v>
      </c>
      <c r="G18" s="15" t="s">
        <v>172</v>
      </c>
      <c r="H18" s="15" t="s">
        <v>170</v>
      </c>
      <c r="I18" s="15" t="s">
        <v>171</v>
      </c>
      <c r="J18" s="15" t="s">
        <v>172</v>
      </c>
      <c r="K18" s="15" t="s">
        <v>170</v>
      </c>
      <c r="L18" s="15" t="s">
        <v>171</v>
      </c>
      <c r="M18" s="15" t="s">
        <v>172</v>
      </c>
      <c r="N18" s="15" t="s">
        <v>170</v>
      </c>
      <c r="O18" s="15" t="s">
        <v>171</v>
      </c>
      <c r="P18" s="15" t="s">
        <v>172</v>
      </c>
      <c r="Q18" s="15" t="s">
        <v>170</v>
      </c>
      <c r="R18" s="15" t="s">
        <v>171</v>
      </c>
      <c r="S18" s="15" t="s">
        <v>172</v>
      </c>
      <c r="T18" s="15" t="s">
        <v>170</v>
      </c>
      <c r="U18" s="15" t="s">
        <v>171</v>
      </c>
      <c r="V18" s="15" t="s">
        <v>172</v>
      </c>
      <c r="W18" s="15" t="s">
        <v>170</v>
      </c>
      <c r="X18" s="15" t="s">
        <v>171</v>
      </c>
      <c r="Y18" s="15" t="s">
        <v>172</v>
      </c>
      <c r="Z18" s="15" t="s">
        <v>170</v>
      </c>
      <c r="AA18" s="15" t="s">
        <v>171</v>
      </c>
      <c r="AB18" s="15" t="s">
        <v>172</v>
      </c>
      <c r="AC18" s="15" t="s">
        <v>170</v>
      </c>
      <c r="AD18" s="15" t="s">
        <v>171</v>
      </c>
      <c r="AE18" s="15" t="s">
        <v>172</v>
      </c>
      <c r="AF18" s="15" t="s">
        <v>170</v>
      </c>
      <c r="AG18" s="15" t="s">
        <v>171</v>
      </c>
      <c r="AH18" s="15" t="s">
        <v>172</v>
      </c>
      <c r="AI18" s="15" t="s">
        <v>170</v>
      </c>
      <c r="AJ18" s="15" t="s">
        <v>171</v>
      </c>
      <c r="AK18" s="15" t="s">
        <v>172</v>
      </c>
      <c r="AL18" s="15" t="s">
        <v>170</v>
      </c>
      <c r="AM18" s="15" t="s">
        <v>171</v>
      </c>
      <c r="AN18" s="15" t="s">
        <v>172</v>
      </c>
    </row>
    <row r="19" spans="1:40" ht="15" customHeight="1" x14ac:dyDescent="0.35">
      <c r="A19" s="34">
        <v>0</v>
      </c>
      <c r="B19" s="35">
        <v>1.6E-2</v>
      </c>
      <c r="C19" s="35">
        <v>1.7000000000000001E-2</v>
      </c>
      <c r="D19" s="35">
        <v>1.9019019000000002E-2</v>
      </c>
      <c r="E19" s="35">
        <v>1.2E-2</v>
      </c>
      <c r="F19" s="35">
        <v>0.02</v>
      </c>
      <c r="G19" s="35">
        <v>1.2999999999999999E-2</v>
      </c>
      <c r="H19" s="35">
        <v>3.0000000000000001E-3</v>
      </c>
      <c r="I19" s="35">
        <v>4.0000000000000001E-3</v>
      </c>
      <c r="J19" s="35">
        <v>4.0000000000000001E-3</v>
      </c>
      <c r="K19" s="35">
        <v>4.0000000000000001E-3</v>
      </c>
      <c r="L19" s="35">
        <v>4.0000000000000001E-3</v>
      </c>
      <c r="M19" s="35">
        <v>4.0000000000000001E-3</v>
      </c>
      <c r="N19" s="35">
        <v>5.0000000000000001E-3</v>
      </c>
      <c r="O19" s="35">
        <v>7.0000000000000001E-3</v>
      </c>
      <c r="P19" s="35">
        <v>8.0000000000000002E-3</v>
      </c>
      <c r="Q19" s="35">
        <v>4.0000000000000001E-3</v>
      </c>
      <c r="R19" s="35">
        <v>6.0000000000000001E-3</v>
      </c>
      <c r="S19" s="35">
        <v>7.0000000000000001E-3</v>
      </c>
      <c r="T19" s="35">
        <v>5.0000000000000001E-3</v>
      </c>
      <c r="U19" s="35">
        <v>6.0000000000000001E-3</v>
      </c>
      <c r="V19" s="35">
        <v>7.0000000000000001E-3</v>
      </c>
      <c r="W19" s="35">
        <v>5.0000000000000001E-3</v>
      </c>
      <c r="X19" s="35">
        <v>6.0000000000000001E-3</v>
      </c>
      <c r="Y19" s="35">
        <v>6.0000000000000001E-3</v>
      </c>
      <c r="Z19" s="35">
        <v>0</v>
      </c>
      <c r="AA19" s="35">
        <v>0.02</v>
      </c>
      <c r="AB19" s="35">
        <v>0.02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6">
        <v>5.0000000000000001E-3</v>
      </c>
      <c r="AJ19" s="36">
        <v>7.0000000000000001E-3</v>
      </c>
      <c r="AK19" s="36">
        <v>8.0000000000000002E-3</v>
      </c>
      <c r="AL19" s="37">
        <f t="shared" ref="AL19:AL42" si="0">INDEX($B19:$AK19,$B$9+0)</f>
        <v>0</v>
      </c>
      <c r="AM19" s="37">
        <f t="shared" ref="AM19:AM42" si="1">INDEX($B19:$AK19,$B$9+1)</f>
        <v>0.02</v>
      </c>
      <c r="AN19" s="37">
        <f t="shared" ref="AN19:AN42" si="2">INDEX($B19:$AK19,$B$9+2)</f>
        <v>0.02</v>
      </c>
    </row>
    <row r="20" spans="1:40" ht="15" customHeight="1" x14ac:dyDescent="0.35">
      <c r="A20" s="38">
        <v>1</v>
      </c>
      <c r="B20" s="39">
        <v>8.0000000000000002E-3</v>
      </c>
      <c r="C20" s="39">
        <v>1.0999999999999999E-2</v>
      </c>
      <c r="D20" s="39">
        <v>1.2012012000000001E-2</v>
      </c>
      <c r="E20" s="39">
        <v>8.9999999999999993E-3</v>
      </c>
      <c r="F20" s="39">
        <v>7.0000000000000001E-3</v>
      </c>
      <c r="G20" s="39">
        <v>1.2E-2</v>
      </c>
      <c r="H20" s="39">
        <v>3.0000000000000001E-3</v>
      </c>
      <c r="I20" s="39">
        <v>4.0000000000000001E-3</v>
      </c>
      <c r="J20" s="39">
        <v>4.0000000000000001E-3</v>
      </c>
      <c r="K20" s="39">
        <v>4.0000000000000001E-3</v>
      </c>
      <c r="L20" s="39">
        <v>4.0000000000000001E-3</v>
      </c>
      <c r="M20" s="39">
        <v>4.0000000000000001E-3</v>
      </c>
      <c r="N20" s="39">
        <v>5.0000000000000001E-3</v>
      </c>
      <c r="O20" s="39">
        <v>6.0000000000000001E-3</v>
      </c>
      <c r="P20" s="39">
        <v>7.0000000000000001E-3</v>
      </c>
      <c r="Q20" s="39">
        <v>3.0000000000000001E-3</v>
      </c>
      <c r="R20" s="39">
        <v>5.0000000000000001E-3</v>
      </c>
      <c r="S20" s="39">
        <v>6.0000000000000001E-3</v>
      </c>
      <c r="T20" s="39">
        <v>3.0000000000000001E-3</v>
      </c>
      <c r="U20" s="39">
        <v>4.0000000000000001E-3</v>
      </c>
      <c r="V20" s="39">
        <v>5.0000000000000001E-3</v>
      </c>
      <c r="W20" s="39">
        <v>5.0000000000000001E-3</v>
      </c>
      <c r="X20" s="39">
        <v>6.0000000000000001E-3</v>
      </c>
      <c r="Y20" s="39">
        <v>6.0000000000000001E-3</v>
      </c>
      <c r="Z20" s="39">
        <v>0</v>
      </c>
      <c r="AA20" s="39">
        <v>0.02</v>
      </c>
      <c r="AB20" s="39">
        <v>0.02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6">
        <v>5.0000000000000001E-3</v>
      </c>
      <c r="AJ20" s="36">
        <v>6.0000000000000001E-3</v>
      </c>
      <c r="AK20" s="36">
        <v>7.0000000000000001E-3</v>
      </c>
      <c r="AL20" s="37">
        <f t="shared" si="0"/>
        <v>0</v>
      </c>
      <c r="AM20" s="37">
        <f t="shared" si="1"/>
        <v>0.02</v>
      </c>
      <c r="AN20" s="37">
        <f t="shared" si="2"/>
        <v>0.02</v>
      </c>
    </row>
    <row r="21" spans="1:40" ht="15" customHeight="1" x14ac:dyDescent="0.35">
      <c r="A21" s="34">
        <v>2</v>
      </c>
      <c r="B21" s="35">
        <v>3.0000000000000001E-3</v>
      </c>
      <c r="C21" s="35">
        <v>5.0000000000000001E-3</v>
      </c>
      <c r="D21" s="35">
        <v>7.007007E-3</v>
      </c>
      <c r="E21" s="35">
        <v>4.0000000000000001E-3</v>
      </c>
      <c r="F21" s="35">
        <v>3.0000000000000001E-3</v>
      </c>
      <c r="G21" s="35">
        <v>7.0000000000000001E-3</v>
      </c>
      <c r="H21" s="35">
        <v>4.0000000000000001E-3</v>
      </c>
      <c r="I21" s="35">
        <v>5.0000000000000001E-3</v>
      </c>
      <c r="J21" s="35">
        <v>5.0000000000000001E-3</v>
      </c>
      <c r="K21" s="35">
        <v>5.0000000000000001E-3</v>
      </c>
      <c r="L21" s="35">
        <v>5.0000000000000001E-3</v>
      </c>
      <c r="M21" s="35">
        <v>5.0000000000000001E-3</v>
      </c>
      <c r="N21" s="35">
        <v>5.0000000000000001E-3</v>
      </c>
      <c r="O21" s="35">
        <v>5.0000000000000001E-3</v>
      </c>
      <c r="P21" s="35">
        <v>5.0000000000000001E-3</v>
      </c>
      <c r="Q21" s="35">
        <v>3.0000000000000001E-3</v>
      </c>
      <c r="R21" s="35">
        <v>4.0000000000000001E-3</v>
      </c>
      <c r="S21" s="35">
        <v>4.0000000000000001E-3</v>
      </c>
      <c r="T21" s="35">
        <v>2E-3</v>
      </c>
      <c r="U21" s="35">
        <v>3.0000000000000001E-3</v>
      </c>
      <c r="V21" s="35">
        <v>3.0000000000000001E-3</v>
      </c>
      <c r="W21" s="35">
        <v>5.0000000000000001E-3</v>
      </c>
      <c r="X21" s="35">
        <v>6.0000000000000001E-3</v>
      </c>
      <c r="Y21" s="35">
        <v>6.0000000000000001E-3</v>
      </c>
      <c r="Z21" s="35">
        <v>0</v>
      </c>
      <c r="AA21" s="35">
        <v>0.02</v>
      </c>
      <c r="AB21" s="35">
        <v>0.02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6">
        <v>5.0000000000000001E-3</v>
      </c>
      <c r="AJ21" s="36">
        <v>5.0000000000000001E-3</v>
      </c>
      <c r="AK21" s="36">
        <v>5.0000000000000001E-3</v>
      </c>
      <c r="AL21" s="37">
        <f t="shared" si="0"/>
        <v>0</v>
      </c>
      <c r="AM21" s="37">
        <f t="shared" si="1"/>
        <v>0.02</v>
      </c>
      <c r="AN21" s="37">
        <f t="shared" si="2"/>
        <v>0.02</v>
      </c>
    </row>
    <row r="22" spans="1:40" ht="15" customHeight="1" x14ac:dyDescent="0.35">
      <c r="A22" s="38">
        <v>3</v>
      </c>
      <c r="B22" s="39">
        <v>3.0000000000000001E-3</v>
      </c>
      <c r="C22" s="39">
        <v>3.0000000000000001E-3</v>
      </c>
      <c r="D22" s="39">
        <v>4.0040040000000002E-3</v>
      </c>
      <c r="E22" s="39">
        <v>6.0000000000000001E-3</v>
      </c>
      <c r="F22" s="39">
        <v>7.0000000000000001E-3</v>
      </c>
      <c r="G22" s="39">
        <v>5.0000000000000001E-3</v>
      </c>
      <c r="H22" s="39">
        <v>6.0000000000000001E-3</v>
      </c>
      <c r="I22" s="39">
        <v>8.0000000000000002E-3</v>
      </c>
      <c r="J22" s="39">
        <v>8.0000000000000002E-3</v>
      </c>
      <c r="K22" s="39">
        <v>8.0000000000000002E-3</v>
      </c>
      <c r="L22" s="39">
        <v>8.0000000000000002E-3</v>
      </c>
      <c r="M22" s="39">
        <v>8.0000000000000002E-3</v>
      </c>
      <c r="N22" s="39">
        <v>5.0000000000000001E-3</v>
      </c>
      <c r="O22" s="39">
        <v>5.0000000000000001E-3</v>
      </c>
      <c r="P22" s="39">
        <v>5.0000000000000001E-3</v>
      </c>
      <c r="Q22" s="39">
        <v>3.0000000000000001E-3</v>
      </c>
      <c r="R22" s="39">
        <v>3.0000000000000001E-3</v>
      </c>
      <c r="S22" s="39">
        <v>3.0000000000000001E-3</v>
      </c>
      <c r="T22" s="39">
        <v>2E-3</v>
      </c>
      <c r="U22" s="39">
        <v>2E-3</v>
      </c>
      <c r="V22" s="39">
        <v>2E-3</v>
      </c>
      <c r="W22" s="39">
        <v>5.0000000000000001E-3</v>
      </c>
      <c r="X22" s="39">
        <v>6.0000000000000001E-3</v>
      </c>
      <c r="Y22" s="39">
        <v>6.0000000000000001E-3</v>
      </c>
      <c r="Z22" s="39">
        <v>0</v>
      </c>
      <c r="AA22" s="39">
        <v>0.02</v>
      </c>
      <c r="AB22" s="39">
        <v>0.02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6">
        <v>5.0000000000000001E-3</v>
      </c>
      <c r="AJ22" s="36">
        <v>5.0000000000000001E-3</v>
      </c>
      <c r="AK22" s="36">
        <v>5.0000000000000001E-3</v>
      </c>
      <c r="AL22" s="37">
        <f t="shared" si="0"/>
        <v>0</v>
      </c>
      <c r="AM22" s="37">
        <f t="shared" si="1"/>
        <v>0.02</v>
      </c>
      <c r="AN22" s="37">
        <f t="shared" si="2"/>
        <v>0.02</v>
      </c>
    </row>
    <row r="23" spans="1:40" ht="15" customHeight="1" x14ac:dyDescent="0.35">
      <c r="A23" s="34">
        <v>4</v>
      </c>
      <c r="B23" s="35">
        <v>8.0000000000000002E-3</v>
      </c>
      <c r="C23" s="35">
        <v>6.0000000000000001E-3</v>
      </c>
      <c r="D23" s="35">
        <v>4.0040040000000002E-3</v>
      </c>
      <c r="E23" s="35">
        <v>1.4E-2</v>
      </c>
      <c r="F23" s="35">
        <v>1.2999999999999999E-2</v>
      </c>
      <c r="G23" s="35">
        <v>6.0000000000000001E-3</v>
      </c>
      <c r="H23" s="35">
        <v>8.9999999999999993E-3</v>
      </c>
      <c r="I23" s="35">
        <v>1.2E-2</v>
      </c>
      <c r="J23" s="35">
        <v>1.2E-2</v>
      </c>
      <c r="K23" s="35">
        <v>1.2E-2</v>
      </c>
      <c r="L23" s="35">
        <v>1.2E-2</v>
      </c>
      <c r="M23" s="35">
        <v>1.2E-2</v>
      </c>
      <c r="N23" s="35">
        <v>0.01</v>
      </c>
      <c r="O23" s="35">
        <v>7.0000000000000001E-3</v>
      </c>
      <c r="P23" s="35">
        <v>5.0000000000000001E-3</v>
      </c>
      <c r="Q23" s="35">
        <v>7.0000000000000001E-3</v>
      </c>
      <c r="R23" s="35">
        <v>5.0000000000000001E-3</v>
      </c>
      <c r="S23" s="35">
        <v>4.0000000000000001E-3</v>
      </c>
      <c r="T23" s="35">
        <v>5.0000000000000001E-3</v>
      </c>
      <c r="U23" s="35">
        <v>4.0000000000000001E-3</v>
      </c>
      <c r="V23" s="35">
        <v>4.0000000000000001E-3</v>
      </c>
      <c r="W23" s="35">
        <v>0.01</v>
      </c>
      <c r="X23" s="35">
        <v>0.01</v>
      </c>
      <c r="Y23" s="35">
        <v>0.01</v>
      </c>
      <c r="Z23" s="35">
        <v>0</v>
      </c>
      <c r="AA23" s="35">
        <v>0.02</v>
      </c>
      <c r="AB23" s="35">
        <v>0.02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6">
        <v>0.01</v>
      </c>
      <c r="AJ23" s="36">
        <v>7.0000000000000001E-3</v>
      </c>
      <c r="AK23" s="36">
        <v>5.0000000000000001E-3</v>
      </c>
      <c r="AL23" s="37">
        <f t="shared" si="0"/>
        <v>0</v>
      </c>
      <c r="AM23" s="37">
        <f t="shared" si="1"/>
        <v>0.02</v>
      </c>
      <c r="AN23" s="37">
        <f t="shared" si="2"/>
        <v>0.02</v>
      </c>
    </row>
    <row r="24" spans="1:40" ht="15" customHeight="1" x14ac:dyDescent="0.35">
      <c r="A24" s="38">
        <v>5</v>
      </c>
      <c r="B24" s="39">
        <v>2.5000000000000001E-2</v>
      </c>
      <c r="C24" s="39">
        <v>7.0000000000000001E-3</v>
      </c>
      <c r="D24" s="39">
        <v>4.0040040000000002E-3</v>
      </c>
      <c r="E24" s="39">
        <v>4.2000000000000003E-2</v>
      </c>
      <c r="F24" s="39">
        <v>2.5000000000000001E-2</v>
      </c>
      <c r="G24" s="39">
        <v>7.0000000000000001E-3</v>
      </c>
      <c r="H24" s="39">
        <v>1.7000000000000001E-2</v>
      </c>
      <c r="I24" s="39">
        <v>2.1999999999999999E-2</v>
      </c>
      <c r="J24" s="39">
        <v>2.1999999999999999E-2</v>
      </c>
      <c r="K24" s="39">
        <v>2.8000000000000001E-2</v>
      </c>
      <c r="L24" s="39">
        <v>2.8000000000000001E-2</v>
      </c>
      <c r="M24" s="39">
        <v>2.8000000000000001E-2</v>
      </c>
      <c r="N24" s="39">
        <v>2.5000000000000001E-2</v>
      </c>
      <c r="O24" s="39">
        <v>1.2E-2</v>
      </c>
      <c r="P24" s="39">
        <v>8.0000000000000002E-3</v>
      </c>
      <c r="Q24" s="39">
        <v>0.02</v>
      </c>
      <c r="R24" s="39">
        <v>0.01</v>
      </c>
      <c r="S24" s="39">
        <v>7.0000000000000001E-3</v>
      </c>
      <c r="T24" s="39">
        <v>0.02</v>
      </c>
      <c r="U24" s="39">
        <v>1.2E-2</v>
      </c>
      <c r="V24" s="39">
        <v>0.01</v>
      </c>
      <c r="W24" s="39">
        <v>0.03</v>
      </c>
      <c r="X24" s="39">
        <v>2.1999999999999999E-2</v>
      </c>
      <c r="Y24" s="39">
        <v>2.1999999999999999E-2</v>
      </c>
      <c r="Z24" s="39">
        <v>0</v>
      </c>
      <c r="AA24" s="39">
        <v>0.02</v>
      </c>
      <c r="AB24" s="39">
        <v>0.02</v>
      </c>
      <c r="AC24" s="39">
        <v>0</v>
      </c>
      <c r="AD24" s="39">
        <v>5.0000000000000001E-3</v>
      </c>
      <c r="AE24" s="39">
        <v>0</v>
      </c>
      <c r="AF24" s="39">
        <v>0</v>
      </c>
      <c r="AG24" s="39">
        <v>0</v>
      </c>
      <c r="AH24" s="39">
        <v>0</v>
      </c>
      <c r="AI24" s="36">
        <v>2.5000000000000001E-2</v>
      </c>
      <c r="AJ24" s="36">
        <v>1.2E-2</v>
      </c>
      <c r="AK24" s="36">
        <v>8.0000000000000002E-3</v>
      </c>
      <c r="AL24" s="37">
        <f t="shared" si="0"/>
        <v>0</v>
      </c>
      <c r="AM24" s="37">
        <f t="shared" si="1"/>
        <v>0.02</v>
      </c>
      <c r="AN24" s="37">
        <f t="shared" si="2"/>
        <v>0.02</v>
      </c>
    </row>
    <row r="25" spans="1:40" ht="15" customHeight="1" x14ac:dyDescent="0.35">
      <c r="A25" s="34">
        <v>6</v>
      </c>
      <c r="B25" s="35">
        <v>7.2999999999999995E-2</v>
      </c>
      <c r="C25" s="35">
        <v>0.01</v>
      </c>
      <c r="D25" s="35">
        <v>5.0050049999999999E-3</v>
      </c>
      <c r="E25" s="35">
        <v>7.2999999999999995E-2</v>
      </c>
      <c r="F25" s="35">
        <v>3.7999999999999999E-2</v>
      </c>
      <c r="G25" s="35">
        <v>1.2E-2</v>
      </c>
      <c r="H25" s="35">
        <v>0.1</v>
      </c>
      <c r="I25" s="35">
        <v>7.4999999999999997E-2</v>
      </c>
      <c r="J25" s="35">
        <v>7.4999999999999997E-2</v>
      </c>
      <c r="K25" s="35">
        <v>7.4999999999999997E-2</v>
      </c>
      <c r="L25" s="35">
        <v>7.4999999999999997E-2</v>
      </c>
      <c r="M25" s="35">
        <v>7.4999999999999997E-2</v>
      </c>
      <c r="N25" s="35">
        <v>0.06</v>
      </c>
      <c r="O25" s="35">
        <v>2.5000000000000001E-2</v>
      </c>
      <c r="P25" s="35">
        <v>1.4999999999999999E-2</v>
      </c>
      <c r="Q25" s="35">
        <v>7.0000000000000007E-2</v>
      </c>
      <c r="R25" s="35">
        <v>0.02</v>
      </c>
      <c r="S25" s="35">
        <v>1.4999999999999999E-2</v>
      </c>
      <c r="T25" s="35">
        <v>7.0000000000000007E-2</v>
      </c>
      <c r="U25" s="35">
        <v>0.04</v>
      </c>
      <c r="V25" s="35">
        <v>0.03</v>
      </c>
      <c r="W25" s="35">
        <v>0.08</v>
      </c>
      <c r="X25" s="35">
        <v>0.06</v>
      </c>
      <c r="Y25" s="35">
        <v>0.06</v>
      </c>
      <c r="Z25" s="35">
        <v>0.02</v>
      </c>
      <c r="AA25" s="35">
        <v>0.03</v>
      </c>
      <c r="AB25" s="35">
        <v>0.03</v>
      </c>
      <c r="AC25" s="35">
        <v>0.01</v>
      </c>
      <c r="AD25" s="35">
        <v>1.4999999999999999E-2</v>
      </c>
      <c r="AE25" s="35">
        <v>0.01</v>
      </c>
      <c r="AF25" s="35">
        <v>0</v>
      </c>
      <c r="AG25" s="35">
        <v>0</v>
      </c>
      <c r="AH25" s="35">
        <v>0</v>
      </c>
      <c r="AI25" s="36">
        <v>0.06</v>
      </c>
      <c r="AJ25" s="36">
        <v>2.5000000000000001E-2</v>
      </c>
      <c r="AK25" s="36">
        <v>1.4999999999999999E-2</v>
      </c>
      <c r="AL25" s="37">
        <f t="shared" si="0"/>
        <v>0.02</v>
      </c>
      <c r="AM25" s="37">
        <f t="shared" si="1"/>
        <v>0.03</v>
      </c>
      <c r="AN25" s="37">
        <f t="shared" si="2"/>
        <v>0.03</v>
      </c>
    </row>
    <row r="26" spans="1:40" ht="15" customHeight="1" x14ac:dyDescent="0.35">
      <c r="A26" s="38">
        <v>7</v>
      </c>
      <c r="B26" s="39">
        <v>7.6999999999999999E-2</v>
      </c>
      <c r="C26" s="39">
        <v>2.1999999999999999E-2</v>
      </c>
      <c r="D26" s="39">
        <v>1.001001E-2</v>
      </c>
      <c r="E26" s="39">
        <v>6.6000000000000003E-2</v>
      </c>
      <c r="F26" s="39">
        <v>4.5999999999999999E-2</v>
      </c>
      <c r="G26" s="39">
        <v>3.7999999999999999E-2</v>
      </c>
      <c r="H26" s="39">
        <v>0.17</v>
      </c>
      <c r="I26" s="39">
        <v>0.125</v>
      </c>
      <c r="J26" s="39">
        <v>0.125</v>
      </c>
      <c r="K26" s="39">
        <v>0.105</v>
      </c>
      <c r="L26" s="39">
        <v>0.105</v>
      </c>
      <c r="M26" s="39">
        <v>0.105</v>
      </c>
      <c r="N26" s="39">
        <v>0.09</v>
      </c>
      <c r="O26" s="39">
        <v>4.4999999999999998E-2</v>
      </c>
      <c r="P26" s="39">
        <v>0.03</v>
      </c>
      <c r="Q26" s="39">
        <v>0.11</v>
      </c>
      <c r="R26" s="39">
        <v>0.04</v>
      </c>
      <c r="S26" s="39">
        <v>0.03</v>
      </c>
      <c r="T26" s="39">
        <v>0.13</v>
      </c>
      <c r="U26" s="39">
        <v>0.09</v>
      </c>
      <c r="V26" s="39">
        <v>7.4999999999999997E-2</v>
      </c>
      <c r="W26" s="39">
        <v>0.11</v>
      </c>
      <c r="X26" s="39">
        <v>8.5000000000000006E-2</v>
      </c>
      <c r="Y26" s="39">
        <v>8.5000000000000006E-2</v>
      </c>
      <c r="Z26" s="39">
        <v>0.06</v>
      </c>
      <c r="AA26" s="39">
        <v>0.04</v>
      </c>
      <c r="AB26" s="39">
        <v>0.04</v>
      </c>
      <c r="AC26" s="39">
        <v>0.03</v>
      </c>
      <c r="AD26" s="39">
        <v>0.03</v>
      </c>
      <c r="AE26" s="39">
        <v>2.5000000000000001E-2</v>
      </c>
      <c r="AF26" s="39">
        <v>0.05</v>
      </c>
      <c r="AG26" s="39">
        <v>0.02</v>
      </c>
      <c r="AH26" s="39">
        <v>0.02</v>
      </c>
      <c r="AI26" s="36">
        <v>0.09</v>
      </c>
      <c r="AJ26" s="36">
        <v>4.4999999999999998E-2</v>
      </c>
      <c r="AK26" s="36">
        <v>0.03</v>
      </c>
      <c r="AL26" s="37">
        <f t="shared" si="0"/>
        <v>0.06</v>
      </c>
      <c r="AM26" s="37">
        <f t="shared" si="1"/>
        <v>0.04</v>
      </c>
      <c r="AN26" s="37">
        <f t="shared" si="2"/>
        <v>0.04</v>
      </c>
    </row>
    <row r="27" spans="1:40" ht="15" customHeight="1" x14ac:dyDescent="0.35">
      <c r="A27" s="34">
        <v>8</v>
      </c>
      <c r="B27" s="35">
        <v>6.5000000000000002E-2</v>
      </c>
      <c r="C27" s="35">
        <v>5.0999999999999997E-2</v>
      </c>
      <c r="D27" s="35">
        <v>3.5035034999999999E-2</v>
      </c>
      <c r="E27" s="35">
        <v>6.3E-2</v>
      </c>
      <c r="F27" s="35">
        <v>7.8E-2</v>
      </c>
      <c r="G27" s="35">
        <v>0.05</v>
      </c>
      <c r="H27" s="35">
        <v>0.08</v>
      </c>
      <c r="I27" s="35">
        <v>8.3000000000000004E-2</v>
      </c>
      <c r="J27" s="35">
        <v>8.3000000000000004E-2</v>
      </c>
      <c r="K27" s="35">
        <v>0.08</v>
      </c>
      <c r="L27" s="35">
        <v>0.08</v>
      </c>
      <c r="M27" s="35">
        <v>0.08</v>
      </c>
      <c r="N27" s="35">
        <v>0.08</v>
      </c>
      <c r="O27" s="35">
        <v>7.0000000000000007E-2</v>
      </c>
      <c r="P27" s="35">
        <v>5.5E-2</v>
      </c>
      <c r="Q27" s="35">
        <v>7.4999999999999997E-2</v>
      </c>
      <c r="R27" s="35">
        <v>7.4999999999999997E-2</v>
      </c>
      <c r="S27" s="35">
        <v>0.06</v>
      </c>
      <c r="T27" s="35">
        <v>0.14000000000000001</v>
      </c>
      <c r="U27" s="35">
        <v>0.13500000000000001</v>
      </c>
      <c r="V27" s="35">
        <v>0.13</v>
      </c>
      <c r="W27" s="35">
        <v>0.1</v>
      </c>
      <c r="X27" s="35">
        <v>0.09</v>
      </c>
      <c r="Y27" s="35">
        <v>0.09</v>
      </c>
      <c r="Z27" s="35">
        <v>0.08</v>
      </c>
      <c r="AA27" s="35">
        <v>0.05</v>
      </c>
      <c r="AB27" s="35">
        <v>0.05</v>
      </c>
      <c r="AC27" s="35">
        <v>0.03</v>
      </c>
      <c r="AD27" s="35">
        <v>0.05</v>
      </c>
      <c r="AE27" s="35">
        <v>0.05</v>
      </c>
      <c r="AF27" s="35">
        <v>0.1</v>
      </c>
      <c r="AG27" s="35">
        <v>0.05</v>
      </c>
      <c r="AH27" s="35">
        <v>0.05</v>
      </c>
      <c r="AI27" s="36">
        <v>0.08</v>
      </c>
      <c r="AJ27" s="36">
        <v>7.0000000000000007E-2</v>
      </c>
      <c r="AK27" s="36">
        <v>5.5E-2</v>
      </c>
      <c r="AL27" s="37">
        <f t="shared" si="0"/>
        <v>0.08</v>
      </c>
      <c r="AM27" s="37">
        <f t="shared" si="1"/>
        <v>0.05</v>
      </c>
      <c r="AN27" s="37">
        <f t="shared" si="2"/>
        <v>0.05</v>
      </c>
    </row>
    <row r="28" spans="1:40" ht="15" customHeight="1" x14ac:dyDescent="0.35">
      <c r="A28" s="38">
        <v>9</v>
      </c>
      <c r="B28" s="39">
        <v>5.2999999999999999E-2</v>
      </c>
      <c r="C28" s="39">
        <v>9.0999999999999998E-2</v>
      </c>
      <c r="D28" s="39">
        <v>7.0070069999999998E-2</v>
      </c>
      <c r="E28" s="39">
        <v>0.05</v>
      </c>
      <c r="F28" s="39">
        <v>6.9000000000000006E-2</v>
      </c>
      <c r="G28" s="39">
        <v>5.8000000000000003E-2</v>
      </c>
      <c r="H28" s="39">
        <v>7.4999999999999997E-2</v>
      </c>
      <c r="I28" s="39">
        <v>7.4999999999999997E-2</v>
      </c>
      <c r="J28" s="39">
        <v>7.4999999999999997E-2</v>
      </c>
      <c r="K28" s="39">
        <v>7.4999999999999997E-2</v>
      </c>
      <c r="L28" s="39">
        <v>7.4999999999999997E-2</v>
      </c>
      <c r="M28" s="39">
        <v>7.4999999999999997E-2</v>
      </c>
      <c r="N28" s="39">
        <v>5.5E-2</v>
      </c>
      <c r="O28" s="39">
        <v>8.5000000000000006E-2</v>
      </c>
      <c r="P28" s="39">
        <v>0.08</v>
      </c>
      <c r="Q28" s="39">
        <v>4.4999999999999998E-2</v>
      </c>
      <c r="R28" s="39">
        <v>9.5000000000000001E-2</v>
      </c>
      <c r="S28" s="39">
        <v>0.09</v>
      </c>
      <c r="T28" s="39">
        <v>0.09</v>
      </c>
      <c r="U28" s="39">
        <v>0.11</v>
      </c>
      <c r="V28" s="39">
        <v>0.12</v>
      </c>
      <c r="W28" s="39">
        <v>7.4999999999999997E-2</v>
      </c>
      <c r="X28" s="39">
        <v>0.08</v>
      </c>
      <c r="Y28" s="39">
        <v>0.08</v>
      </c>
      <c r="Z28" s="39">
        <v>8.5000000000000006E-2</v>
      </c>
      <c r="AA28" s="39">
        <v>6.5000000000000002E-2</v>
      </c>
      <c r="AB28" s="39">
        <v>6.5000000000000002E-2</v>
      </c>
      <c r="AC28" s="39">
        <v>3.5000000000000003E-2</v>
      </c>
      <c r="AD28" s="39">
        <v>7.4999999999999997E-2</v>
      </c>
      <c r="AE28" s="39">
        <v>0.08</v>
      </c>
      <c r="AF28" s="39">
        <v>0.12</v>
      </c>
      <c r="AG28" s="39">
        <v>0.08</v>
      </c>
      <c r="AH28" s="39">
        <v>0.08</v>
      </c>
      <c r="AI28" s="36">
        <v>5.5E-2</v>
      </c>
      <c r="AJ28" s="36">
        <v>8.5000000000000006E-2</v>
      </c>
      <c r="AK28" s="36">
        <v>0.08</v>
      </c>
      <c r="AL28" s="37">
        <f t="shared" si="0"/>
        <v>8.5000000000000006E-2</v>
      </c>
      <c r="AM28" s="37">
        <f t="shared" si="1"/>
        <v>6.5000000000000002E-2</v>
      </c>
      <c r="AN28" s="37">
        <f t="shared" si="2"/>
        <v>6.5000000000000002E-2</v>
      </c>
    </row>
    <row r="29" spans="1:40" ht="15" customHeight="1" x14ac:dyDescent="0.35">
      <c r="A29" s="34">
        <v>10</v>
      </c>
      <c r="B29" s="35">
        <v>4.7E-2</v>
      </c>
      <c r="C29" s="35">
        <v>8.7999999999999995E-2</v>
      </c>
      <c r="D29" s="35">
        <v>8.3083083000000002E-2</v>
      </c>
      <c r="E29" s="35">
        <v>4.3999999999999997E-2</v>
      </c>
      <c r="F29" s="35">
        <v>5.5E-2</v>
      </c>
      <c r="G29" s="35">
        <v>0.08</v>
      </c>
      <c r="H29" s="35">
        <v>7.0000000000000007E-2</v>
      </c>
      <c r="I29" s="35">
        <v>7.0000000000000007E-2</v>
      </c>
      <c r="J29" s="35">
        <v>7.0000000000000007E-2</v>
      </c>
      <c r="K29" s="35">
        <v>7.4999999999999997E-2</v>
      </c>
      <c r="L29" s="35">
        <v>7.4999999999999997E-2</v>
      </c>
      <c r="M29" s="35">
        <v>7.4999999999999997E-2</v>
      </c>
      <c r="N29" s="35">
        <v>0.04</v>
      </c>
      <c r="O29" s="35">
        <v>0.08</v>
      </c>
      <c r="P29" s="35">
        <v>0.09</v>
      </c>
      <c r="Q29" s="35">
        <v>0.03</v>
      </c>
      <c r="R29" s="35">
        <v>8.5000000000000006E-2</v>
      </c>
      <c r="S29" s="35">
        <v>9.5000000000000001E-2</v>
      </c>
      <c r="T29" s="35">
        <v>4.4999999999999998E-2</v>
      </c>
      <c r="U29" s="35">
        <v>0.06</v>
      </c>
      <c r="V29" s="35">
        <v>7.0000000000000007E-2</v>
      </c>
      <c r="W29" s="35">
        <v>5.5E-2</v>
      </c>
      <c r="X29" s="35">
        <v>6.5000000000000002E-2</v>
      </c>
      <c r="Y29" s="35">
        <v>6.5000000000000002E-2</v>
      </c>
      <c r="Z29" s="35">
        <v>8.5000000000000006E-2</v>
      </c>
      <c r="AA29" s="35">
        <v>7.0000000000000007E-2</v>
      </c>
      <c r="AB29" s="35">
        <v>7.0000000000000007E-2</v>
      </c>
      <c r="AC29" s="35">
        <v>0.04</v>
      </c>
      <c r="AD29" s="35">
        <v>0.09</v>
      </c>
      <c r="AE29" s="35">
        <v>0.1</v>
      </c>
      <c r="AF29" s="35">
        <v>0.13</v>
      </c>
      <c r="AG29" s="35">
        <v>0.1</v>
      </c>
      <c r="AH29" s="35">
        <v>0.1</v>
      </c>
      <c r="AI29" s="36">
        <v>0.04</v>
      </c>
      <c r="AJ29" s="36">
        <v>0.08</v>
      </c>
      <c r="AK29" s="36">
        <v>0.09</v>
      </c>
      <c r="AL29" s="37">
        <f t="shared" si="0"/>
        <v>8.5000000000000006E-2</v>
      </c>
      <c r="AM29" s="37">
        <f t="shared" si="1"/>
        <v>7.0000000000000007E-2</v>
      </c>
      <c r="AN29" s="37">
        <f t="shared" si="2"/>
        <v>7.0000000000000007E-2</v>
      </c>
    </row>
    <row r="30" spans="1:40" ht="15" customHeight="1" x14ac:dyDescent="0.35">
      <c r="A30" s="38">
        <v>11</v>
      </c>
      <c r="B30" s="39">
        <v>4.2999999999999997E-2</v>
      </c>
      <c r="C30" s="39">
        <v>8.5000000000000006E-2</v>
      </c>
      <c r="D30" s="39">
        <v>9.2092092E-2</v>
      </c>
      <c r="E30" s="39">
        <v>3.7999999999999999E-2</v>
      </c>
      <c r="F30" s="39">
        <v>6.3E-2</v>
      </c>
      <c r="G30" s="39">
        <v>7.3999999999999996E-2</v>
      </c>
      <c r="H30" s="39">
        <v>6.5000000000000002E-2</v>
      </c>
      <c r="I30" s="39">
        <v>7.0000000000000007E-2</v>
      </c>
      <c r="J30" s="39">
        <v>7.0000000000000007E-2</v>
      </c>
      <c r="K30" s="39">
        <v>7.0000000000000007E-2</v>
      </c>
      <c r="L30" s="39">
        <v>7.0000000000000007E-2</v>
      </c>
      <c r="M30" s="39">
        <v>7.0000000000000007E-2</v>
      </c>
      <c r="N30" s="39">
        <v>3.5000000000000003E-2</v>
      </c>
      <c r="O30" s="39">
        <v>6.5000000000000002E-2</v>
      </c>
      <c r="P30" s="39">
        <v>0.08</v>
      </c>
      <c r="Q30" s="39">
        <v>0.03</v>
      </c>
      <c r="R30" s="39">
        <v>6.5000000000000002E-2</v>
      </c>
      <c r="S30" s="39">
        <v>7.4999999999999997E-2</v>
      </c>
      <c r="T30" s="39">
        <v>2.5000000000000001E-2</v>
      </c>
      <c r="U30" s="39">
        <v>0.03</v>
      </c>
      <c r="V30" s="39">
        <v>3.5000000000000003E-2</v>
      </c>
      <c r="W30" s="39">
        <v>0.05</v>
      </c>
      <c r="X30" s="39">
        <v>0.06</v>
      </c>
      <c r="Y30" s="39">
        <v>0.06</v>
      </c>
      <c r="Z30" s="39">
        <v>0.09</v>
      </c>
      <c r="AA30" s="39">
        <v>7.4999999999999997E-2</v>
      </c>
      <c r="AB30" s="39">
        <v>7.4999999999999997E-2</v>
      </c>
      <c r="AC30" s="39">
        <v>0.04</v>
      </c>
      <c r="AD30" s="39">
        <v>0.09</v>
      </c>
      <c r="AE30" s="39">
        <v>0.105</v>
      </c>
      <c r="AF30" s="39">
        <v>0.13</v>
      </c>
      <c r="AG30" s="39">
        <v>0.11</v>
      </c>
      <c r="AH30" s="39">
        <v>0.11</v>
      </c>
      <c r="AI30" s="36">
        <v>3.5000000000000003E-2</v>
      </c>
      <c r="AJ30" s="36">
        <v>6.5000000000000002E-2</v>
      </c>
      <c r="AK30" s="36">
        <v>0.08</v>
      </c>
      <c r="AL30" s="37">
        <f t="shared" si="0"/>
        <v>0.09</v>
      </c>
      <c r="AM30" s="37">
        <f t="shared" si="1"/>
        <v>7.4999999999999997E-2</v>
      </c>
      <c r="AN30" s="37">
        <f t="shared" si="2"/>
        <v>7.4999999999999997E-2</v>
      </c>
    </row>
    <row r="31" spans="1:40" ht="15" customHeight="1" x14ac:dyDescent="0.35">
      <c r="A31" s="34">
        <v>12</v>
      </c>
      <c r="B31" s="35">
        <v>4.2000000000000003E-2</v>
      </c>
      <c r="C31" s="35">
        <v>7.0999999999999994E-2</v>
      </c>
      <c r="D31" s="35">
        <v>8.5085085000000005E-2</v>
      </c>
      <c r="E31" s="35">
        <v>3.2000000000000001E-2</v>
      </c>
      <c r="F31" s="35">
        <v>6.2E-2</v>
      </c>
      <c r="G31" s="35">
        <v>7.0999999999999994E-2</v>
      </c>
      <c r="H31" s="35">
        <v>7.0000000000000007E-2</v>
      </c>
      <c r="I31" s="35">
        <v>7.4999999999999997E-2</v>
      </c>
      <c r="J31" s="35">
        <v>7.4999999999999997E-2</v>
      </c>
      <c r="K31" s="35">
        <v>7.4999999999999997E-2</v>
      </c>
      <c r="L31" s="35">
        <v>7.4999999999999997E-2</v>
      </c>
      <c r="M31" s="35">
        <v>7.4999999999999997E-2</v>
      </c>
      <c r="N31" s="35">
        <v>0.04</v>
      </c>
      <c r="O31" s="35">
        <v>5.5E-2</v>
      </c>
      <c r="P31" s="35">
        <v>6.5000000000000002E-2</v>
      </c>
      <c r="Q31" s="35">
        <v>3.5000000000000003E-2</v>
      </c>
      <c r="R31" s="35">
        <v>0.05</v>
      </c>
      <c r="S31" s="35">
        <v>5.5E-2</v>
      </c>
      <c r="T31" s="35">
        <v>0.02</v>
      </c>
      <c r="U31" s="35">
        <v>2.1999999999999999E-2</v>
      </c>
      <c r="V31" s="35">
        <v>2.4E-2</v>
      </c>
      <c r="W31" s="35">
        <v>0.06</v>
      </c>
      <c r="X31" s="35">
        <v>6.5000000000000002E-2</v>
      </c>
      <c r="Y31" s="35">
        <v>6.5000000000000002E-2</v>
      </c>
      <c r="Z31" s="35">
        <v>0.1</v>
      </c>
      <c r="AA31" s="35">
        <v>7.4999999999999997E-2</v>
      </c>
      <c r="AB31" s="35">
        <v>7.4999999999999997E-2</v>
      </c>
      <c r="AC31" s="35">
        <v>4.4999999999999998E-2</v>
      </c>
      <c r="AD31" s="35">
        <v>7.0000000000000007E-2</v>
      </c>
      <c r="AE31" s="35">
        <v>8.5000000000000006E-2</v>
      </c>
      <c r="AF31" s="35">
        <v>0.13</v>
      </c>
      <c r="AG31" s="35">
        <v>0.11</v>
      </c>
      <c r="AH31" s="35">
        <v>0.11</v>
      </c>
      <c r="AI31" s="36">
        <v>0.04</v>
      </c>
      <c r="AJ31" s="36">
        <v>5.5E-2</v>
      </c>
      <c r="AK31" s="36">
        <v>6.5000000000000002E-2</v>
      </c>
      <c r="AL31" s="37">
        <f t="shared" si="0"/>
        <v>0.1</v>
      </c>
      <c r="AM31" s="37">
        <f t="shared" si="1"/>
        <v>7.4999999999999997E-2</v>
      </c>
      <c r="AN31" s="37">
        <f t="shared" si="2"/>
        <v>7.4999999999999997E-2</v>
      </c>
    </row>
    <row r="32" spans="1:40" ht="15" customHeight="1" x14ac:dyDescent="0.35">
      <c r="A32" s="38">
        <v>13</v>
      </c>
      <c r="B32" s="39">
        <v>0.04</v>
      </c>
      <c r="C32" s="39">
        <v>5.3999999999999999E-2</v>
      </c>
      <c r="D32" s="39">
        <v>7.1071071E-2</v>
      </c>
      <c r="E32" s="39">
        <v>0.04</v>
      </c>
      <c r="F32" s="39">
        <v>0.06</v>
      </c>
      <c r="G32" s="39">
        <v>0.05</v>
      </c>
      <c r="H32" s="39">
        <v>0.05</v>
      </c>
      <c r="I32" s="39">
        <v>5.5E-2</v>
      </c>
      <c r="J32" s="39">
        <v>5.5E-2</v>
      </c>
      <c r="K32" s="39">
        <v>5.5E-2</v>
      </c>
      <c r="L32" s="39">
        <v>5.5E-2</v>
      </c>
      <c r="M32" s="39">
        <v>5.5E-2</v>
      </c>
      <c r="N32" s="39">
        <v>3.5000000000000003E-2</v>
      </c>
      <c r="O32" s="39">
        <v>4.4999999999999998E-2</v>
      </c>
      <c r="P32" s="39">
        <v>0.05</v>
      </c>
      <c r="Q32" s="39">
        <v>0.03</v>
      </c>
      <c r="R32" s="39">
        <v>0.04</v>
      </c>
      <c r="S32" s="39">
        <v>4.4999999999999998E-2</v>
      </c>
      <c r="T32" s="39">
        <v>0.02</v>
      </c>
      <c r="U32" s="39">
        <v>0.02</v>
      </c>
      <c r="V32" s="39">
        <v>0.02</v>
      </c>
      <c r="W32" s="39">
        <v>7.0000000000000007E-2</v>
      </c>
      <c r="X32" s="39">
        <v>7.0000000000000007E-2</v>
      </c>
      <c r="Y32" s="39">
        <v>7.0000000000000007E-2</v>
      </c>
      <c r="Z32" s="39">
        <v>9.5000000000000001E-2</v>
      </c>
      <c r="AA32" s="39">
        <v>7.0000000000000007E-2</v>
      </c>
      <c r="AB32" s="39">
        <v>7.0000000000000007E-2</v>
      </c>
      <c r="AC32" s="39">
        <v>0.04</v>
      </c>
      <c r="AD32" s="39">
        <v>6.5000000000000002E-2</v>
      </c>
      <c r="AE32" s="39">
        <v>7.0000000000000007E-2</v>
      </c>
      <c r="AF32" s="39">
        <v>0.11</v>
      </c>
      <c r="AG32" s="39">
        <v>0.1</v>
      </c>
      <c r="AH32" s="39">
        <v>0.1</v>
      </c>
      <c r="AI32" s="36">
        <v>3.5000000000000003E-2</v>
      </c>
      <c r="AJ32" s="36">
        <v>4.4999999999999998E-2</v>
      </c>
      <c r="AK32" s="36">
        <v>0.05</v>
      </c>
      <c r="AL32" s="37">
        <f t="shared" si="0"/>
        <v>9.5000000000000001E-2</v>
      </c>
      <c r="AM32" s="37">
        <f t="shared" si="1"/>
        <v>7.0000000000000007E-2</v>
      </c>
      <c r="AN32" s="37">
        <f t="shared" si="2"/>
        <v>7.0000000000000007E-2</v>
      </c>
    </row>
    <row r="33" spans="1:40" ht="15" customHeight="1" x14ac:dyDescent="0.35">
      <c r="A33" s="34">
        <v>14</v>
      </c>
      <c r="B33" s="35">
        <v>3.5999999999999997E-2</v>
      </c>
      <c r="C33" s="35">
        <v>5.1999999999999998E-2</v>
      </c>
      <c r="D33" s="35">
        <v>5.8058058000000003E-2</v>
      </c>
      <c r="E33" s="35">
        <v>4.1000000000000002E-2</v>
      </c>
      <c r="F33" s="35">
        <v>0.04</v>
      </c>
      <c r="G33" s="35">
        <v>0.04</v>
      </c>
      <c r="H33" s="35">
        <v>3.6999999999999998E-2</v>
      </c>
      <c r="I33" s="35">
        <v>4.2000000000000003E-2</v>
      </c>
      <c r="J33" s="35">
        <v>4.2000000000000003E-2</v>
      </c>
      <c r="K33" s="35">
        <v>4.2999999999999997E-2</v>
      </c>
      <c r="L33" s="35">
        <v>4.2999999999999997E-2</v>
      </c>
      <c r="M33" s="35">
        <v>4.2999999999999997E-2</v>
      </c>
      <c r="N33" s="35">
        <v>0.03</v>
      </c>
      <c r="O33" s="35">
        <v>0.04</v>
      </c>
      <c r="P33" s="35">
        <v>4.4999999999999998E-2</v>
      </c>
      <c r="Q33" s="35">
        <v>2.5000000000000001E-2</v>
      </c>
      <c r="R33" s="35">
        <v>3.5000000000000003E-2</v>
      </c>
      <c r="S33" s="35">
        <v>0.04</v>
      </c>
      <c r="T33" s="35">
        <v>0.02</v>
      </c>
      <c r="U33" s="35">
        <v>2.1999999999999999E-2</v>
      </c>
      <c r="V33" s="35">
        <v>2.1999999999999999E-2</v>
      </c>
      <c r="W33" s="35">
        <v>0.06</v>
      </c>
      <c r="X33" s="35">
        <v>0.06</v>
      </c>
      <c r="Y33" s="35">
        <v>0.06</v>
      </c>
      <c r="Z33" s="35">
        <v>8.5000000000000006E-2</v>
      </c>
      <c r="AA33" s="35">
        <v>6.5000000000000002E-2</v>
      </c>
      <c r="AB33" s="35">
        <v>6.5000000000000002E-2</v>
      </c>
      <c r="AC33" s="35">
        <v>0.04</v>
      </c>
      <c r="AD33" s="35">
        <v>7.0000000000000007E-2</v>
      </c>
      <c r="AE33" s="35">
        <v>7.4999999999999997E-2</v>
      </c>
      <c r="AF33" s="35">
        <v>0.09</v>
      </c>
      <c r="AG33" s="35">
        <v>0.09</v>
      </c>
      <c r="AH33" s="35">
        <v>0.09</v>
      </c>
      <c r="AI33" s="36">
        <v>0.03</v>
      </c>
      <c r="AJ33" s="36">
        <v>0.04</v>
      </c>
      <c r="AK33" s="36">
        <v>4.4999999999999998E-2</v>
      </c>
      <c r="AL33" s="37">
        <f t="shared" si="0"/>
        <v>8.5000000000000006E-2</v>
      </c>
      <c r="AM33" s="37">
        <f t="shared" si="1"/>
        <v>6.5000000000000002E-2</v>
      </c>
      <c r="AN33" s="37">
        <f t="shared" si="2"/>
        <v>6.5000000000000002E-2</v>
      </c>
    </row>
    <row r="34" spans="1:40" ht="15" customHeight="1" x14ac:dyDescent="0.35">
      <c r="A34" s="38">
        <v>15</v>
      </c>
      <c r="B34" s="39">
        <v>3.2000000000000001E-2</v>
      </c>
      <c r="C34" s="39">
        <v>4.8000000000000001E-2</v>
      </c>
      <c r="D34" s="39">
        <v>4.9049048999999997E-2</v>
      </c>
      <c r="E34" s="39">
        <v>4.2999999999999997E-2</v>
      </c>
      <c r="F34" s="39">
        <v>4.1000000000000002E-2</v>
      </c>
      <c r="G34" s="39">
        <v>4.3999999999999997E-2</v>
      </c>
      <c r="H34" s="39">
        <v>3.2000000000000001E-2</v>
      </c>
      <c r="I34" s="39">
        <v>3.5000000000000003E-2</v>
      </c>
      <c r="J34" s="39">
        <v>3.5000000000000003E-2</v>
      </c>
      <c r="K34" s="39">
        <v>3.6999999999999998E-2</v>
      </c>
      <c r="L34" s="39">
        <v>3.6999999999999998E-2</v>
      </c>
      <c r="M34" s="39">
        <v>3.6999999999999998E-2</v>
      </c>
      <c r="N34" s="39">
        <v>0.03</v>
      </c>
      <c r="O34" s="39">
        <v>0.04</v>
      </c>
      <c r="P34" s="39">
        <v>0.04</v>
      </c>
      <c r="Q34" s="39">
        <v>2.5000000000000001E-2</v>
      </c>
      <c r="R34" s="39">
        <v>3.5000000000000003E-2</v>
      </c>
      <c r="S34" s="39">
        <v>3.5000000000000003E-2</v>
      </c>
      <c r="T34" s="39">
        <v>2.5000000000000001E-2</v>
      </c>
      <c r="U34" s="39">
        <v>2.5999999999999999E-2</v>
      </c>
      <c r="V34" s="39">
        <v>2.5999999999999999E-2</v>
      </c>
      <c r="W34" s="39">
        <v>4.4999999999999998E-2</v>
      </c>
      <c r="X34" s="39">
        <v>0.05</v>
      </c>
      <c r="Y34" s="39">
        <v>0.05</v>
      </c>
      <c r="Z34" s="39">
        <v>0.08</v>
      </c>
      <c r="AA34" s="39">
        <v>0.06</v>
      </c>
      <c r="AB34" s="39">
        <v>0.06</v>
      </c>
      <c r="AC34" s="39">
        <v>4.4999999999999998E-2</v>
      </c>
      <c r="AD34" s="39">
        <v>0.08</v>
      </c>
      <c r="AE34" s="39">
        <v>8.5000000000000006E-2</v>
      </c>
      <c r="AF34" s="39">
        <v>7.0000000000000007E-2</v>
      </c>
      <c r="AG34" s="39">
        <v>0.08</v>
      </c>
      <c r="AH34" s="39">
        <v>0.08</v>
      </c>
      <c r="AI34" s="36">
        <v>0.03</v>
      </c>
      <c r="AJ34" s="36">
        <v>0.04</v>
      </c>
      <c r="AK34" s="36">
        <v>0.04</v>
      </c>
      <c r="AL34" s="37">
        <f t="shared" si="0"/>
        <v>0.08</v>
      </c>
      <c r="AM34" s="37">
        <f t="shared" si="1"/>
        <v>0.06</v>
      </c>
      <c r="AN34" s="37">
        <f t="shared" si="2"/>
        <v>0.06</v>
      </c>
    </row>
    <row r="35" spans="1:40" ht="15" customHeight="1" x14ac:dyDescent="0.35">
      <c r="A35" s="34">
        <v>16</v>
      </c>
      <c r="B35" s="35">
        <v>3.6999999999999998E-2</v>
      </c>
      <c r="C35" s="35">
        <v>4.8000000000000001E-2</v>
      </c>
      <c r="D35" s="35">
        <v>4.3043043000000003E-2</v>
      </c>
      <c r="E35" s="35">
        <v>5.5E-2</v>
      </c>
      <c r="F35" s="35">
        <v>5.1999999999999998E-2</v>
      </c>
      <c r="G35" s="35">
        <v>4.5999999999999999E-2</v>
      </c>
      <c r="H35" s="35">
        <v>0.04</v>
      </c>
      <c r="I35" s="35">
        <v>4.3999999999999997E-2</v>
      </c>
      <c r="J35" s="35">
        <v>4.3999999999999997E-2</v>
      </c>
      <c r="K35" s="35">
        <v>4.4999999999999998E-2</v>
      </c>
      <c r="L35" s="35">
        <v>4.4999999999999998E-2</v>
      </c>
      <c r="M35" s="35">
        <v>4.4999999999999998E-2</v>
      </c>
      <c r="N35" s="35">
        <v>3.5000000000000003E-2</v>
      </c>
      <c r="O35" s="35">
        <v>4.4999999999999998E-2</v>
      </c>
      <c r="P35" s="35">
        <v>4.4999999999999998E-2</v>
      </c>
      <c r="Q35" s="35">
        <v>3.5000000000000003E-2</v>
      </c>
      <c r="R35" s="35">
        <v>4.4999999999999998E-2</v>
      </c>
      <c r="S35" s="35">
        <v>4.4999999999999998E-2</v>
      </c>
      <c r="T35" s="35">
        <v>0.03</v>
      </c>
      <c r="U35" s="35">
        <v>3.2000000000000001E-2</v>
      </c>
      <c r="V35" s="35">
        <v>3.2000000000000001E-2</v>
      </c>
      <c r="W35" s="35">
        <v>0.04</v>
      </c>
      <c r="X35" s="35">
        <v>4.4999999999999998E-2</v>
      </c>
      <c r="Y35" s="35">
        <v>4.4999999999999998E-2</v>
      </c>
      <c r="Z35" s="35">
        <v>7.4999999999999997E-2</v>
      </c>
      <c r="AA35" s="35">
        <v>5.5E-2</v>
      </c>
      <c r="AB35" s="35">
        <v>5.5E-2</v>
      </c>
      <c r="AC35" s="35">
        <v>0.06</v>
      </c>
      <c r="AD35" s="35">
        <v>0.09</v>
      </c>
      <c r="AE35" s="35">
        <v>9.5000000000000001E-2</v>
      </c>
      <c r="AF35" s="35">
        <v>0.04</v>
      </c>
      <c r="AG35" s="35">
        <v>7.0000000000000007E-2</v>
      </c>
      <c r="AH35" s="35">
        <v>7.0000000000000007E-2</v>
      </c>
      <c r="AI35" s="36">
        <v>3.5000000000000003E-2</v>
      </c>
      <c r="AJ35" s="36">
        <v>4.4999999999999998E-2</v>
      </c>
      <c r="AK35" s="36">
        <v>4.4999999999999998E-2</v>
      </c>
      <c r="AL35" s="37">
        <f t="shared" si="0"/>
        <v>7.4999999999999997E-2</v>
      </c>
      <c r="AM35" s="37">
        <f t="shared" si="1"/>
        <v>5.5E-2</v>
      </c>
      <c r="AN35" s="37">
        <f t="shared" si="2"/>
        <v>5.5E-2</v>
      </c>
    </row>
    <row r="36" spans="1:40" ht="15" customHeight="1" x14ac:dyDescent="0.35">
      <c r="A36" s="38">
        <v>17</v>
      </c>
      <c r="B36" s="39">
        <v>4.9000000000000002E-2</v>
      </c>
      <c r="C36" s="39">
        <v>5.5E-2</v>
      </c>
      <c r="D36" s="39">
        <v>4.7047047000000002E-2</v>
      </c>
      <c r="E36" s="39">
        <v>6.0999999999999999E-2</v>
      </c>
      <c r="F36" s="39">
        <v>5.3999999999999999E-2</v>
      </c>
      <c r="G36" s="39">
        <v>6.2E-2</v>
      </c>
      <c r="H36" s="39">
        <v>2.8000000000000001E-2</v>
      </c>
      <c r="I36" s="39">
        <v>0.03</v>
      </c>
      <c r="J36" s="39">
        <v>0.03</v>
      </c>
      <c r="K36" s="39">
        <v>3.2000000000000001E-2</v>
      </c>
      <c r="L36" s="39">
        <v>3.2000000000000001E-2</v>
      </c>
      <c r="M36" s="39">
        <v>3.2000000000000001E-2</v>
      </c>
      <c r="N36" s="39">
        <v>0.05</v>
      </c>
      <c r="O36" s="39">
        <v>5.5E-2</v>
      </c>
      <c r="P36" s="39">
        <v>5.5E-2</v>
      </c>
      <c r="Q36" s="39">
        <v>5.5E-2</v>
      </c>
      <c r="R36" s="39">
        <v>0.06</v>
      </c>
      <c r="S36" s="39">
        <v>0.06</v>
      </c>
      <c r="T36" s="39">
        <v>0.04</v>
      </c>
      <c r="U36" s="39">
        <v>4.2000000000000003E-2</v>
      </c>
      <c r="V36" s="39">
        <v>4.2000000000000003E-2</v>
      </c>
      <c r="W36" s="39">
        <v>4.4999999999999998E-2</v>
      </c>
      <c r="X36" s="39">
        <v>0.05</v>
      </c>
      <c r="Y36" s="39">
        <v>0.05</v>
      </c>
      <c r="Z36" s="39">
        <v>0.06</v>
      </c>
      <c r="AA36" s="39">
        <v>4.4999999999999998E-2</v>
      </c>
      <c r="AB36" s="39">
        <v>4.4999999999999998E-2</v>
      </c>
      <c r="AC36" s="39">
        <v>0.09</v>
      </c>
      <c r="AD36" s="39">
        <v>9.5000000000000001E-2</v>
      </c>
      <c r="AE36" s="39">
        <v>0.09</v>
      </c>
      <c r="AF36" s="39">
        <v>0.02</v>
      </c>
      <c r="AG36" s="39">
        <v>0.06</v>
      </c>
      <c r="AH36" s="39">
        <v>0.06</v>
      </c>
      <c r="AI36" s="36">
        <v>0.05</v>
      </c>
      <c r="AJ36" s="36">
        <v>5.5E-2</v>
      </c>
      <c r="AK36" s="36">
        <v>5.5E-2</v>
      </c>
      <c r="AL36" s="37">
        <f t="shared" si="0"/>
        <v>0.06</v>
      </c>
      <c r="AM36" s="37">
        <f t="shared" si="1"/>
        <v>4.4999999999999998E-2</v>
      </c>
      <c r="AN36" s="37">
        <f t="shared" si="2"/>
        <v>4.4999999999999998E-2</v>
      </c>
    </row>
    <row r="37" spans="1:40" ht="15" customHeight="1" x14ac:dyDescent="0.35">
      <c r="A37" s="34">
        <v>18</v>
      </c>
      <c r="B37" s="35">
        <v>5.6000000000000001E-2</v>
      </c>
      <c r="C37" s="35">
        <v>5.6000000000000001E-2</v>
      </c>
      <c r="D37" s="35">
        <v>5.8058058000000003E-2</v>
      </c>
      <c r="E37" s="35">
        <v>6.4000000000000001E-2</v>
      </c>
      <c r="F37" s="35">
        <v>6.6000000000000003E-2</v>
      </c>
      <c r="G37" s="35">
        <v>7.5999999999999998E-2</v>
      </c>
      <c r="H37" s="35">
        <v>0.06</v>
      </c>
      <c r="I37" s="35">
        <v>6.5000000000000002E-2</v>
      </c>
      <c r="J37" s="35">
        <v>6.5000000000000002E-2</v>
      </c>
      <c r="K37" s="35">
        <v>7.0000000000000007E-2</v>
      </c>
      <c r="L37" s="35">
        <v>7.0000000000000007E-2</v>
      </c>
      <c r="M37" s="35">
        <v>7.0000000000000007E-2</v>
      </c>
      <c r="N37" s="35">
        <v>7.0000000000000007E-2</v>
      </c>
      <c r="O37" s="35">
        <v>6.5000000000000002E-2</v>
      </c>
      <c r="P37" s="35">
        <v>6.5000000000000002E-2</v>
      </c>
      <c r="Q37" s="35">
        <v>0.08</v>
      </c>
      <c r="R37" s="35">
        <v>7.4999999999999997E-2</v>
      </c>
      <c r="S37" s="35">
        <v>7.4999999999999997E-2</v>
      </c>
      <c r="T37" s="35">
        <v>0.05</v>
      </c>
      <c r="U37" s="35">
        <v>5.1999999999999998E-2</v>
      </c>
      <c r="V37" s="35">
        <v>5.1999999999999998E-2</v>
      </c>
      <c r="W37" s="35">
        <v>4.4999999999999998E-2</v>
      </c>
      <c r="X37" s="35">
        <v>0.05</v>
      </c>
      <c r="Y37" s="35">
        <v>0.05</v>
      </c>
      <c r="Z37" s="35">
        <v>4.4999999999999998E-2</v>
      </c>
      <c r="AA37" s="35">
        <v>0.04</v>
      </c>
      <c r="AB37" s="35">
        <v>0.04</v>
      </c>
      <c r="AC37" s="35">
        <v>0.12</v>
      </c>
      <c r="AD37" s="35">
        <v>8.5000000000000006E-2</v>
      </c>
      <c r="AE37" s="35">
        <v>7.0000000000000007E-2</v>
      </c>
      <c r="AF37" s="35">
        <v>0.01</v>
      </c>
      <c r="AG37" s="35">
        <v>0.05</v>
      </c>
      <c r="AH37" s="35">
        <v>0.05</v>
      </c>
      <c r="AI37" s="36">
        <v>7.0000000000000007E-2</v>
      </c>
      <c r="AJ37" s="36">
        <v>6.5000000000000002E-2</v>
      </c>
      <c r="AK37" s="36">
        <v>6.5000000000000002E-2</v>
      </c>
      <c r="AL37" s="37">
        <f t="shared" si="0"/>
        <v>4.4999999999999998E-2</v>
      </c>
      <c r="AM37" s="37">
        <f t="shared" si="1"/>
        <v>0.04</v>
      </c>
      <c r="AN37" s="37">
        <f t="shared" si="2"/>
        <v>0.04</v>
      </c>
    </row>
    <row r="38" spans="1:40" ht="15" customHeight="1" x14ac:dyDescent="0.35">
      <c r="A38" s="38">
        <v>19</v>
      </c>
      <c r="B38" s="39">
        <v>7.2999999999999995E-2</v>
      </c>
      <c r="C38" s="39">
        <v>5.8000000000000003E-2</v>
      </c>
      <c r="D38" s="39">
        <v>6.3063063000000003E-2</v>
      </c>
      <c r="E38" s="39">
        <v>6.2E-2</v>
      </c>
      <c r="F38" s="39">
        <v>5.1999999999999998E-2</v>
      </c>
      <c r="G38" s="39">
        <v>6.0999999999999999E-2</v>
      </c>
      <c r="H38" s="39">
        <v>0.04</v>
      </c>
      <c r="I38" s="39">
        <v>4.4999999999999998E-2</v>
      </c>
      <c r="J38" s="39">
        <v>4.4999999999999998E-2</v>
      </c>
      <c r="K38" s="39">
        <v>4.4999999999999998E-2</v>
      </c>
      <c r="L38" s="39">
        <v>4.4999999999999998E-2</v>
      </c>
      <c r="M38" s="39">
        <v>4.4999999999999998E-2</v>
      </c>
      <c r="N38" s="39">
        <v>0.08</v>
      </c>
      <c r="O38" s="39">
        <v>7.0000000000000007E-2</v>
      </c>
      <c r="P38" s="39">
        <v>7.0000000000000007E-2</v>
      </c>
      <c r="Q38" s="39">
        <v>0.09</v>
      </c>
      <c r="R38" s="39">
        <v>7.4999999999999997E-2</v>
      </c>
      <c r="S38" s="39">
        <v>7.4999999999999997E-2</v>
      </c>
      <c r="T38" s="39">
        <v>5.5E-2</v>
      </c>
      <c r="U38" s="39">
        <v>5.8000000000000003E-2</v>
      </c>
      <c r="V38" s="39">
        <v>5.8000000000000003E-2</v>
      </c>
      <c r="W38" s="39">
        <v>0.04</v>
      </c>
      <c r="X38" s="39">
        <v>4.3999999999999997E-2</v>
      </c>
      <c r="Y38" s="39">
        <v>4.3999999999999997E-2</v>
      </c>
      <c r="Z38" s="39">
        <v>2.5000000000000001E-2</v>
      </c>
      <c r="AA38" s="39">
        <v>3.5000000000000003E-2</v>
      </c>
      <c r="AB38" s="39">
        <v>3.5000000000000003E-2</v>
      </c>
      <c r="AC38" s="39">
        <v>0.14000000000000001</v>
      </c>
      <c r="AD38" s="39">
        <v>0.06</v>
      </c>
      <c r="AE38" s="39">
        <v>0.04</v>
      </c>
      <c r="AF38" s="39">
        <v>0</v>
      </c>
      <c r="AG38" s="39">
        <v>0.04</v>
      </c>
      <c r="AH38" s="39">
        <v>0.04</v>
      </c>
      <c r="AI38" s="36">
        <v>0.08</v>
      </c>
      <c r="AJ38" s="36">
        <v>7.0000000000000007E-2</v>
      </c>
      <c r="AK38" s="36">
        <v>7.0000000000000007E-2</v>
      </c>
      <c r="AL38" s="37">
        <f t="shared" si="0"/>
        <v>2.5000000000000001E-2</v>
      </c>
      <c r="AM38" s="37">
        <f t="shared" si="1"/>
        <v>3.5000000000000003E-2</v>
      </c>
      <c r="AN38" s="37">
        <f t="shared" si="2"/>
        <v>3.5000000000000003E-2</v>
      </c>
    </row>
    <row r="39" spans="1:40" ht="15" customHeight="1" x14ac:dyDescent="0.35">
      <c r="A39" s="34">
        <v>20</v>
      </c>
      <c r="B39" s="35">
        <v>7.6999999999999999E-2</v>
      </c>
      <c r="C39" s="35">
        <v>5.2999999999999999E-2</v>
      </c>
      <c r="D39" s="35">
        <v>6.5065065000000005E-2</v>
      </c>
      <c r="E39" s="35">
        <v>5.8999999999999997E-2</v>
      </c>
      <c r="F39" s="35">
        <v>4.2000000000000003E-2</v>
      </c>
      <c r="G39" s="35">
        <v>0.06</v>
      </c>
      <c r="H39" s="35">
        <v>1.2E-2</v>
      </c>
      <c r="I39" s="35">
        <v>0.02</v>
      </c>
      <c r="J39" s="35">
        <v>0.02</v>
      </c>
      <c r="K39" s="35">
        <v>0.02</v>
      </c>
      <c r="L39" s="35">
        <v>0.02</v>
      </c>
      <c r="M39" s="35">
        <v>0.02</v>
      </c>
      <c r="N39" s="35">
        <v>7.4999999999999997E-2</v>
      </c>
      <c r="O39" s="35">
        <v>6.5000000000000002E-2</v>
      </c>
      <c r="P39" s="35">
        <v>6.5000000000000002E-2</v>
      </c>
      <c r="Q39" s="35">
        <v>0.08</v>
      </c>
      <c r="R39" s="35">
        <v>7.0000000000000007E-2</v>
      </c>
      <c r="S39" s="35">
        <v>6.5000000000000002E-2</v>
      </c>
      <c r="T39" s="35">
        <v>5.5E-2</v>
      </c>
      <c r="U39" s="35">
        <v>0.06</v>
      </c>
      <c r="V39" s="35">
        <v>0.06</v>
      </c>
      <c r="W39" s="35">
        <v>0.03</v>
      </c>
      <c r="X39" s="35">
        <v>3.2000000000000001E-2</v>
      </c>
      <c r="Y39" s="35">
        <v>3.2000000000000001E-2</v>
      </c>
      <c r="Z39" s="35">
        <v>1.4999999999999999E-2</v>
      </c>
      <c r="AA39" s="35">
        <v>0.03</v>
      </c>
      <c r="AB39" s="35">
        <v>0.03</v>
      </c>
      <c r="AC39" s="35">
        <v>0.13</v>
      </c>
      <c r="AD39" s="35">
        <v>2.5000000000000001E-2</v>
      </c>
      <c r="AE39" s="35">
        <v>1.4999999999999999E-2</v>
      </c>
      <c r="AF39" s="35">
        <v>0</v>
      </c>
      <c r="AG39" s="35">
        <v>2.5000000000000001E-2</v>
      </c>
      <c r="AH39" s="35">
        <v>2.5000000000000001E-2</v>
      </c>
      <c r="AI39" s="36">
        <v>7.4999999999999997E-2</v>
      </c>
      <c r="AJ39" s="36">
        <v>6.5000000000000002E-2</v>
      </c>
      <c r="AK39" s="36">
        <v>6.5000000000000002E-2</v>
      </c>
      <c r="AL39" s="37">
        <f t="shared" si="0"/>
        <v>1.4999999999999999E-2</v>
      </c>
      <c r="AM39" s="37">
        <f t="shared" si="1"/>
        <v>0.03</v>
      </c>
      <c r="AN39" s="37">
        <f t="shared" si="2"/>
        <v>0.03</v>
      </c>
    </row>
    <row r="40" spans="1:40" ht="15" customHeight="1" x14ac:dyDescent="0.35">
      <c r="A40" s="38">
        <v>21</v>
      </c>
      <c r="B40" s="39">
        <v>7.2999999999999995E-2</v>
      </c>
      <c r="C40" s="39">
        <v>4.5999999999999999E-2</v>
      </c>
      <c r="D40" s="39">
        <v>5.2052052000000001E-2</v>
      </c>
      <c r="E40" s="39">
        <v>5.7000000000000002E-2</v>
      </c>
      <c r="F40" s="39">
        <v>0.04</v>
      </c>
      <c r="G40" s="39">
        <v>0.06</v>
      </c>
      <c r="H40" s="39">
        <v>1.7000000000000001E-2</v>
      </c>
      <c r="I40" s="39">
        <v>0.02</v>
      </c>
      <c r="J40" s="39">
        <v>0.02</v>
      </c>
      <c r="K40" s="39">
        <v>0.02</v>
      </c>
      <c r="L40" s="39">
        <v>0.02</v>
      </c>
      <c r="M40" s="39">
        <v>0.02</v>
      </c>
      <c r="N40" s="39">
        <v>0.06</v>
      </c>
      <c r="O40" s="39">
        <v>5.5E-2</v>
      </c>
      <c r="P40" s="39">
        <v>5.1999999999999998E-2</v>
      </c>
      <c r="Q40" s="39">
        <v>0.06</v>
      </c>
      <c r="R40" s="39">
        <v>5.1999999999999998E-2</v>
      </c>
      <c r="S40" s="39">
        <v>0.05</v>
      </c>
      <c r="T40" s="39">
        <v>7.0000000000000007E-2</v>
      </c>
      <c r="U40" s="39">
        <v>7.0000000000000007E-2</v>
      </c>
      <c r="V40" s="39">
        <v>7.0000000000000007E-2</v>
      </c>
      <c r="W40" s="39">
        <v>0.02</v>
      </c>
      <c r="X40" s="39">
        <v>2.1999999999999999E-2</v>
      </c>
      <c r="Y40" s="39">
        <v>2.1999999999999999E-2</v>
      </c>
      <c r="Z40" s="39">
        <v>0</v>
      </c>
      <c r="AA40" s="39">
        <v>2.5000000000000001E-2</v>
      </c>
      <c r="AB40" s="39">
        <v>2.5000000000000001E-2</v>
      </c>
      <c r="AC40" s="39">
        <v>7.4999999999999997E-2</v>
      </c>
      <c r="AD40" s="39">
        <v>5.0000000000000001E-3</v>
      </c>
      <c r="AE40" s="39">
        <v>5.0000000000000001E-3</v>
      </c>
      <c r="AF40" s="39">
        <v>0</v>
      </c>
      <c r="AG40" s="39">
        <v>1.4999999999999999E-2</v>
      </c>
      <c r="AH40" s="39">
        <v>1.4999999999999999E-2</v>
      </c>
      <c r="AI40" s="36">
        <v>0.06</v>
      </c>
      <c r="AJ40" s="36">
        <v>5.5E-2</v>
      </c>
      <c r="AK40" s="36">
        <v>5.1999999999999998E-2</v>
      </c>
      <c r="AL40" s="37">
        <f t="shared" si="0"/>
        <v>0</v>
      </c>
      <c r="AM40" s="37">
        <f t="shared" si="1"/>
        <v>2.5000000000000001E-2</v>
      </c>
      <c r="AN40" s="37">
        <f t="shared" si="2"/>
        <v>2.5000000000000001E-2</v>
      </c>
    </row>
    <row r="41" spans="1:40" ht="15" customHeight="1" x14ac:dyDescent="0.35">
      <c r="A41" s="34">
        <v>22</v>
      </c>
      <c r="B41" s="35">
        <v>0.04</v>
      </c>
      <c r="C41" s="35">
        <v>3.5999999999999997E-2</v>
      </c>
      <c r="D41" s="35">
        <v>4.0040039999999999E-2</v>
      </c>
      <c r="E41" s="35">
        <v>3.7999999999999999E-2</v>
      </c>
      <c r="F41" s="35">
        <v>0.04</v>
      </c>
      <c r="G41" s="35">
        <v>0.04</v>
      </c>
      <c r="H41" s="35">
        <v>8.0000000000000002E-3</v>
      </c>
      <c r="I41" s="35">
        <v>1.0999999999999999E-2</v>
      </c>
      <c r="J41" s="35">
        <v>1.0999999999999999E-2</v>
      </c>
      <c r="K41" s="35">
        <v>1.2E-2</v>
      </c>
      <c r="L41" s="35">
        <v>1.2E-2</v>
      </c>
      <c r="M41" s="35">
        <v>1.2E-2</v>
      </c>
      <c r="N41" s="35">
        <v>4.4999999999999998E-2</v>
      </c>
      <c r="O41" s="35">
        <v>3.7999999999999999E-2</v>
      </c>
      <c r="P41" s="35">
        <v>3.5000000000000003E-2</v>
      </c>
      <c r="Q41" s="35">
        <v>4.4999999999999998E-2</v>
      </c>
      <c r="R41" s="35">
        <v>3.5000000000000003E-2</v>
      </c>
      <c r="S41" s="35">
        <v>3.4000000000000002E-2</v>
      </c>
      <c r="T41" s="35">
        <v>5.5E-2</v>
      </c>
      <c r="U41" s="35">
        <v>5.6000000000000001E-2</v>
      </c>
      <c r="V41" s="35">
        <v>5.6000000000000001E-2</v>
      </c>
      <c r="W41" s="35">
        <v>0.01</v>
      </c>
      <c r="X41" s="35">
        <v>0.01</v>
      </c>
      <c r="Y41" s="35">
        <v>0.01</v>
      </c>
      <c r="Z41" s="35">
        <v>0</v>
      </c>
      <c r="AA41" s="35">
        <v>2.5000000000000001E-2</v>
      </c>
      <c r="AB41" s="35">
        <v>2.5000000000000001E-2</v>
      </c>
      <c r="AC41" s="35">
        <v>0.03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6">
        <v>4.4999999999999998E-2</v>
      </c>
      <c r="AJ41" s="36">
        <v>3.7999999999999999E-2</v>
      </c>
      <c r="AK41" s="36">
        <v>3.5000000000000003E-2</v>
      </c>
      <c r="AL41" s="37">
        <f t="shared" si="0"/>
        <v>0</v>
      </c>
      <c r="AM41" s="37">
        <f t="shared" si="1"/>
        <v>2.5000000000000001E-2</v>
      </c>
      <c r="AN41" s="37">
        <f t="shared" si="2"/>
        <v>2.5000000000000001E-2</v>
      </c>
    </row>
    <row r="42" spans="1:40" ht="15" customHeight="1" x14ac:dyDescent="0.35">
      <c r="A42" s="38">
        <v>23</v>
      </c>
      <c r="B42" s="39">
        <v>2.4E-2</v>
      </c>
      <c r="C42" s="39">
        <v>2.7E-2</v>
      </c>
      <c r="D42" s="39">
        <v>2.3023023E-2</v>
      </c>
      <c r="E42" s="39">
        <v>2.7E-2</v>
      </c>
      <c r="F42" s="39">
        <v>2.7E-2</v>
      </c>
      <c r="G42" s="39">
        <v>2.8000000000000001E-2</v>
      </c>
      <c r="H42" s="39">
        <v>4.0000000000000001E-3</v>
      </c>
      <c r="I42" s="39">
        <v>5.0000000000000001E-3</v>
      </c>
      <c r="J42" s="39">
        <v>5.0000000000000001E-3</v>
      </c>
      <c r="K42" s="39">
        <v>5.0000000000000001E-3</v>
      </c>
      <c r="L42" s="39">
        <v>5.0000000000000001E-3</v>
      </c>
      <c r="M42" s="39">
        <v>5.0000000000000001E-3</v>
      </c>
      <c r="N42" s="39">
        <v>3.5000000000000003E-2</v>
      </c>
      <c r="O42" s="39">
        <v>1.4999999999999999E-2</v>
      </c>
      <c r="P42" s="39">
        <v>2.5000000000000001E-2</v>
      </c>
      <c r="Q42" s="39">
        <v>0.04</v>
      </c>
      <c r="R42" s="39">
        <v>1.4999999999999999E-2</v>
      </c>
      <c r="S42" s="39">
        <v>2.5000000000000001E-2</v>
      </c>
      <c r="T42" s="39">
        <v>2.3E-2</v>
      </c>
      <c r="U42" s="39">
        <v>4.3999999999999997E-2</v>
      </c>
      <c r="V42" s="39">
        <v>4.7E-2</v>
      </c>
      <c r="W42" s="39">
        <v>5.0000000000000001E-3</v>
      </c>
      <c r="X42" s="39">
        <v>6.0000000000000001E-3</v>
      </c>
      <c r="Y42" s="39">
        <v>6.0000000000000001E-3</v>
      </c>
      <c r="Z42" s="39">
        <v>0</v>
      </c>
      <c r="AA42" s="39">
        <v>2.5000000000000001E-2</v>
      </c>
      <c r="AB42" s="39">
        <v>2.5000000000000001E-2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6">
        <v>3.5000000000000003E-2</v>
      </c>
      <c r="AJ42" s="36">
        <v>1.4999999999999999E-2</v>
      </c>
      <c r="AK42" s="36">
        <v>2.5000000000000001E-2</v>
      </c>
      <c r="AL42" s="37">
        <f t="shared" si="0"/>
        <v>0</v>
      </c>
      <c r="AM42" s="37">
        <f t="shared" si="1"/>
        <v>2.5000000000000001E-2</v>
      </c>
      <c r="AN42" s="37">
        <f t="shared" si="2"/>
        <v>2.5000000000000001E-2</v>
      </c>
    </row>
    <row r="43" spans="1:40" ht="15" customHeight="1" x14ac:dyDescent="0.35">
      <c r="A43" s="40" t="s">
        <v>173</v>
      </c>
      <c r="B43" s="41">
        <f t="shared" ref="B43:AN43" si="3">SUM(B19:B42)</f>
        <v>1</v>
      </c>
      <c r="C43" s="41">
        <f t="shared" si="3"/>
        <v>1.0000000000000004</v>
      </c>
      <c r="D43" s="41">
        <f t="shared" si="3"/>
        <v>0.99999999899999981</v>
      </c>
      <c r="E43" s="41">
        <f t="shared" si="3"/>
        <v>1.0000000000000002</v>
      </c>
      <c r="F43" s="41">
        <f t="shared" si="3"/>
        <v>1.0000000000000002</v>
      </c>
      <c r="G43" s="41">
        <f t="shared" si="3"/>
        <v>1.0000000000000002</v>
      </c>
      <c r="H43" s="41">
        <f t="shared" si="3"/>
        <v>1.0000000000000002</v>
      </c>
      <c r="I43" s="41">
        <f t="shared" si="3"/>
        <v>1.0000000000000002</v>
      </c>
      <c r="J43" s="41">
        <f t="shared" si="3"/>
        <v>1.0000000000000002</v>
      </c>
      <c r="K43" s="41">
        <f t="shared" si="3"/>
        <v>1.0000000000000002</v>
      </c>
      <c r="L43" s="41">
        <f t="shared" si="3"/>
        <v>1.0000000000000002</v>
      </c>
      <c r="M43" s="41">
        <f t="shared" si="3"/>
        <v>1.0000000000000002</v>
      </c>
      <c r="N43" s="41">
        <f t="shared" si="3"/>
        <v>1</v>
      </c>
      <c r="O43" s="41">
        <f t="shared" si="3"/>
        <v>1.0000000000000002</v>
      </c>
      <c r="P43" s="41">
        <f t="shared" si="3"/>
        <v>1.0000000000000004</v>
      </c>
      <c r="Q43" s="41">
        <f t="shared" si="3"/>
        <v>1</v>
      </c>
      <c r="R43" s="41">
        <f t="shared" si="3"/>
        <v>1.0000000000000002</v>
      </c>
      <c r="S43" s="41">
        <f t="shared" si="3"/>
        <v>1</v>
      </c>
      <c r="T43" s="41">
        <f t="shared" si="3"/>
        <v>1.0000000000000004</v>
      </c>
      <c r="U43" s="41">
        <f t="shared" si="3"/>
        <v>1.0000000000000004</v>
      </c>
      <c r="V43" s="41">
        <f t="shared" si="3"/>
        <v>1.0000000000000002</v>
      </c>
      <c r="W43" s="41">
        <f t="shared" si="3"/>
        <v>1.0000000000000004</v>
      </c>
      <c r="X43" s="41">
        <f t="shared" si="3"/>
        <v>1.0000000000000002</v>
      </c>
      <c r="Y43" s="41">
        <f t="shared" si="3"/>
        <v>1.0000000000000002</v>
      </c>
      <c r="Z43" s="41">
        <f t="shared" si="3"/>
        <v>0.99999999999999989</v>
      </c>
      <c r="AA43" s="41">
        <f t="shared" si="3"/>
        <v>1.0000000000000002</v>
      </c>
      <c r="AB43" s="41">
        <f t="shared" si="3"/>
        <v>1.0000000000000002</v>
      </c>
      <c r="AC43" s="41">
        <f t="shared" si="3"/>
        <v>1</v>
      </c>
      <c r="AD43" s="41">
        <f t="shared" si="3"/>
        <v>1</v>
      </c>
      <c r="AE43" s="41">
        <f t="shared" si="3"/>
        <v>1</v>
      </c>
      <c r="AF43" s="41">
        <f t="shared" si="3"/>
        <v>1</v>
      </c>
      <c r="AG43" s="41">
        <f t="shared" si="3"/>
        <v>1</v>
      </c>
      <c r="AH43" s="41">
        <f t="shared" si="3"/>
        <v>1</v>
      </c>
      <c r="AI43" s="41">
        <f t="shared" si="3"/>
        <v>1</v>
      </c>
      <c r="AJ43" s="41">
        <f t="shared" si="3"/>
        <v>1.0000000000000002</v>
      </c>
      <c r="AK43" s="41">
        <f t="shared" si="3"/>
        <v>1.0000000000000004</v>
      </c>
      <c r="AL43" s="41">
        <f t="shared" si="3"/>
        <v>0.99999999999999989</v>
      </c>
      <c r="AM43" s="41">
        <f t="shared" si="3"/>
        <v>1.0000000000000002</v>
      </c>
      <c r="AN43" s="41">
        <f t="shared" si="3"/>
        <v>1.0000000000000002</v>
      </c>
    </row>
    <row r="44" spans="1:40" ht="108" customHeight="1" x14ac:dyDescent="0.35">
      <c r="A44" s="15" t="s">
        <v>174</v>
      </c>
      <c r="B44" s="117" t="s">
        <v>175</v>
      </c>
      <c r="C44" s="115"/>
      <c r="D44" s="116"/>
      <c r="E44" s="117" t="s">
        <v>176</v>
      </c>
      <c r="F44" s="115"/>
      <c r="G44" s="116"/>
      <c r="H44" s="117" t="s">
        <v>177</v>
      </c>
      <c r="I44" s="115"/>
      <c r="J44" s="116"/>
      <c r="K44" s="117" t="s">
        <v>178</v>
      </c>
      <c r="L44" s="115"/>
      <c r="M44" s="116"/>
      <c r="N44" s="117" t="s">
        <v>179</v>
      </c>
      <c r="O44" s="115"/>
      <c r="P44" s="116"/>
      <c r="Q44" s="117" t="s">
        <v>180</v>
      </c>
      <c r="R44" s="115"/>
      <c r="S44" s="116"/>
      <c r="T44" s="117" t="s">
        <v>181</v>
      </c>
      <c r="U44" s="115"/>
      <c r="V44" s="116"/>
      <c r="W44" s="117" t="s">
        <v>182</v>
      </c>
      <c r="X44" s="115"/>
      <c r="Y44" s="116"/>
      <c r="Z44" s="117" t="s">
        <v>183</v>
      </c>
      <c r="AA44" s="115"/>
      <c r="AB44" s="116"/>
      <c r="AC44" s="117" t="s">
        <v>184</v>
      </c>
      <c r="AD44" s="115"/>
      <c r="AE44" s="116"/>
      <c r="AF44" s="117" t="s">
        <v>185</v>
      </c>
      <c r="AG44" s="115"/>
      <c r="AH44" s="116"/>
      <c r="AI44" s="117" t="s">
        <v>186</v>
      </c>
      <c r="AJ44" s="115"/>
      <c r="AK44" s="116"/>
      <c r="AL44" s="117" t="s">
        <v>187</v>
      </c>
      <c r="AM44" s="115"/>
      <c r="AN44" s="116"/>
    </row>
    <row r="45" spans="1:40" ht="24" customHeight="1" x14ac:dyDescent="0.35">
      <c r="A45" s="15" t="s">
        <v>188</v>
      </c>
      <c r="B45" s="117" t="s">
        <v>189</v>
      </c>
      <c r="C45" s="115"/>
      <c r="D45" s="116"/>
      <c r="E45" s="117" t="s">
        <v>190</v>
      </c>
      <c r="F45" s="115"/>
      <c r="G45" s="116"/>
      <c r="H45" s="117" t="s">
        <v>191</v>
      </c>
      <c r="I45" s="115"/>
      <c r="J45" s="116"/>
      <c r="K45" s="117" t="s">
        <v>192</v>
      </c>
      <c r="L45" s="115"/>
      <c r="M45" s="116"/>
      <c r="N45" s="117" t="s">
        <v>193</v>
      </c>
      <c r="O45" s="115"/>
      <c r="P45" s="116"/>
      <c r="Q45" s="117" t="s">
        <v>193</v>
      </c>
      <c r="R45" s="115"/>
      <c r="S45" s="116"/>
      <c r="T45" s="117" t="s">
        <v>193</v>
      </c>
      <c r="U45" s="115"/>
      <c r="V45" s="116"/>
      <c r="W45" s="117" t="s">
        <v>193</v>
      </c>
      <c r="X45" s="115"/>
      <c r="Y45" s="116"/>
      <c r="Z45" s="117" t="s">
        <v>193</v>
      </c>
      <c r="AA45" s="115"/>
      <c r="AB45" s="116"/>
      <c r="AC45" s="117" t="s">
        <v>193</v>
      </c>
      <c r="AD45" s="115"/>
      <c r="AE45" s="116"/>
      <c r="AF45" s="117" t="s">
        <v>193</v>
      </c>
      <c r="AG45" s="115"/>
      <c r="AH45" s="116"/>
      <c r="AI45" s="117" t="s">
        <v>194</v>
      </c>
      <c r="AJ45" s="115"/>
      <c r="AK45" s="116"/>
      <c r="AL45" s="117" t="s">
        <v>195</v>
      </c>
      <c r="AM45" s="115"/>
      <c r="AN45" s="116"/>
    </row>
    <row r="47" spans="1:40" ht="15" customHeight="1" x14ac:dyDescent="0.35">
      <c r="A47" s="3" t="s">
        <v>196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ht="15" customHeight="1" x14ac:dyDescent="0.35">
      <c r="A48" s="15" t="s">
        <v>9</v>
      </c>
      <c r="B48" s="15" t="s">
        <v>197</v>
      </c>
      <c r="C48" s="15" t="s">
        <v>198</v>
      </c>
      <c r="D48" s="15" t="s">
        <v>199</v>
      </c>
      <c r="E48" s="15" t="s">
        <v>200</v>
      </c>
      <c r="F48" s="15" t="s">
        <v>201</v>
      </c>
      <c r="G48" s="15" t="s">
        <v>202</v>
      </c>
      <c r="H48" s="15" t="s">
        <v>203</v>
      </c>
      <c r="I48" s="15" t="s">
        <v>204</v>
      </c>
      <c r="J48" s="114" t="s">
        <v>205</v>
      </c>
      <c r="K48" s="115"/>
      <c r="L48" s="115"/>
      <c r="M48" s="115"/>
      <c r="N48" s="116"/>
    </row>
    <row r="49" spans="1:40" ht="15" customHeight="1" x14ac:dyDescent="0.35">
      <c r="A49" s="16" t="s">
        <v>79</v>
      </c>
      <c r="B49" s="35">
        <v>0.13800000000000001</v>
      </c>
      <c r="C49" s="35">
        <v>0.13800000000000001</v>
      </c>
      <c r="D49" s="35">
        <v>0.13800000000000001</v>
      </c>
      <c r="E49" s="35">
        <v>0.13800000000000001</v>
      </c>
      <c r="F49" s="35">
        <v>0.13800000000000001</v>
      </c>
      <c r="G49" s="35">
        <v>0.15</v>
      </c>
      <c r="H49" s="35">
        <v>0.16</v>
      </c>
      <c r="I49" s="41">
        <f t="shared" ref="I49:I61" si="4">SUM(B49:H49)</f>
        <v>1</v>
      </c>
      <c r="J49" s="119" t="s">
        <v>206</v>
      </c>
      <c r="K49" s="115"/>
      <c r="L49" s="115"/>
      <c r="M49" s="115"/>
      <c r="N49" s="116"/>
    </row>
    <row r="50" spans="1:40" ht="15" customHeight="1" x14ac:dyDescent="0.35">
      <c r="A50" s="21" t="s">
        <v>81</v>
      </c>
      <c r="B50" s="39">
        <v>0.14000000000000001</v>
      </c>
      <c r="C50" s="39">
        <v>0.16500000000000001</v>
      </c>
      <c r="D50" s="39">
        <v>0.17</v>
      </c>
      <c r="E50" s="39">
        <v>0.16500000000000001</v>
      </c>
      <c r="F50" s="39">
        <v>0.14000000000000001</v>
      </c>
      <c r="G50" s="39">
        <v>0.105</v>
      </c>
      <c r="H50" s="39">
        <v>0.115</v>
      </c>
      <c r="I50" s="42">
        <f t="shared" si="4"/>
        <v>1.0000000000000002</v>
      </c>
      <c r="J50" s="120" t="s">
        <v>207</v>
      </c>
      <c r="K50" s="115"/>
      <c r="L50" s="115"/>
      <c r="M50" s="115"/>
      <c r="N50" s="116"/>
    </row>
    <row r="51" spans="1:40" ht="15" customHeight="1" x14ac:dyDescent="0.35">
      <c r="A51" s="16" t="s">
        <v>83</v>
      </c>
      <c r="B51" s="35">
        <v>0.154</v>
      </c>
      <c r="C51" s="35">
        <v>0.154</v>
      </c>
      <c r="D51" s="35">
        <v>0.154</v>
      </c>
      <c r="E51" s="35">
        <v>0.154</v>
      </c>
      <c r="F51" s="35">
        <v>0.154</v>
      </c>
      <c r="G51" s="35">
        <v>0.115</v>
      </c>
      <c r="H51" s="35">
        <v>0.115</v>
      </c>
      <c r="I51" s="41">
        <f t="shared" si="4"/>
        <v>1</v>
      </c>
      <c r="J51" s="119" t="s">
        <v>208</v>
      </c>
      <c r="K51" s="115"/>
      <c r="L51" s="115"/>
      <c r="M51" s="115"/>
      <c r="N51" s="116"/>
    </row>
    <row r="52" spans="1:40" ht="15" customHeight="1" x14ac:dyDescent="0.35">
      <c r="A52" s="21" t="s">
        <v>85</v>
      </c>
      <c r="B52" s="39">
        <v>0.154</v>
      </c>
      <c r="C52" s="39">
        <v>0.154</v>
      </c>
      <c r="D52" s="39">
        <v>0.154</v>
      </c>
      <c r="E52" s="39">
        <v>0.154</v>
      </c>
      <c r="F52" s="39">
        <v>0.154</v>
      </c>
      <c r="G52" s="39">
        <v>0.115</v>
      </c>
      <c r="H52" s="39">
        <v>0.115</v>
      </c>
      <c r="I52" s="42">
        <f t="shared" si="4"/>
        <v>1</v>
      </c>
      <c r="J52" s="120" t="s">
        <v>209</v>
      </c>
      <c r="K52" s="115"/>
      <c r="L52" s="115"/>
      <c r="M52" s="115"/>
      <c r="N52" s="116"/>
    </row>
    <row r="53" spans="1:40" ht="15" customHeight="1" x14ac:dyDescent="0.35">
      <c r="A53" s="16" t="s">
        <v>10</v>
      </c>
      <c r="B53" s="35">
        <v>0.13800000000000001</v>
      </c>
      <c r="C53" s="35">
        <v>0.13800000000000001</v>
      </c>
      <c r="D53" s="35">
        <v>0.13800000000000001</v>
      </c>
      <c r="E53" s="35">
        <v>0.13800000000000001</v>
      </c>
      <c r="F53" s="35">
        <v>0.13800000000000001</v>
      </c>
      <c r="G53" s="35">
        <v>0.15</v>
      </c>
      <c r="H53" s="35">
        <v>0.16</v>
      </c>
      <c r="I53" s="41">
        <f t="shared" si="4"/>
        <v>1</v>
      </c>
      <c r="J53" s="119" t="s">
        <v>193</v>
      </c>
      <c r="K53" s="115"/>
      <c r="L53" s="115"/>
      <c r="M53" s="115"/>
      <c r="N53" s="116"/>
    </row>
    <row r="54" spans="1:40" ht="15" customHeight="1" x14ac:dyDescent="0.35">
      <c r="A54" s="21" t="s">
        <v>66</v>
      </c>
      <c r="B54" s="39">
        <v>0.13500000000000001</v>
      </c>
      <c r="C54" s="39">
        <v>0.13500000000000001</v>
      </c>
      <c r="D54" s="39">
        <v>0.13500000000000001</v>
      </c>
      <c r="E54" s="39">
        <v>0.13500000000000001</v>
      </c>
      <c r="F54" s="39">
        <v>0.13500000000000001</v>
      </c>
      <c r="G54" s="39">
        <v>0.155</v>
      </c>
      <c r="H54" s="39">
        <v>0.17</v>
      </c>
      <c r="I54" s="42">
        <f t="shared" si="4"/>
        <v>1</v>
      </c>
      <c r="J54" s="120" t="s">
        <v>193</v>
      </c>
      <c r="K54" s="115"/>
      <c r="L54" s="115"/>
      <c r="M54" s="115"/>
      <c r="N54" s="116"/>
    </row>
    <row r="55" spans="1:40" ht="15" customHeight="1" x14ac:dyDescent="0.35">
      <c r="A55" s="16" t="s">
        <v>68</v>
      </c>
      <c r="B55" s="35">
        <v>0.13500000000000001</v>
      </c>
      <c r="C55" s="35">
        <v>0.13500000000000001</v>
      </c>
      <c r="D55" s="35">
        <v>0.13500000000000001</v>
      </c>
      <c r="E55" s="35">
        <v>0.13500000000000001</v>
      </c>
      <c r="F55" s="35">
        <v>0.14000000000000001</v>
      </c>
      <c r="G55" s="35">
        <v>0.16</v>
      </c>
      <c r="H55" s="35">
        <v>0.16</v>
      </c>
      <c r="I55" s="41">
        <f t="shared" si="4"/>
        <v>1</v>
      </c>
      <c r="J55" s="119" t="s">
        <v>193</v>
      </c>
      <c r="K55" s="115"/>
      <c r="L55" s="115"/>
      <c r="M55" s="115"/>
      <c r="N55" s="116"/>
    </row>
    <row r="56" spans="1:40" ht="15" customHeight="1" x14ac:dyDescent="0.35">
      <c r="A56" s="21" t="s">
        <v>71</v>
      </c>
      <c r="B56" s="39">
        <v>0.14599999999999999</v>
      </c>
      <c r="C56" s="39">
        <v>0.14599999999999999</v>
      </c>
      <c r="D56" s="39">
        <v>0.14599999999999999</v>
      </c>
      <c r="E56" s="39">
        <v>0.14599999999999999</v>
      </c>
      <c r="F56" s="39">
        <v>0.14599999999999999</v>
      </c>
      <c r="G56" s="39">
        <v>0.13500000000000001</v>
      </c>
      <c r="H56" s="39">
        <v>0.13500000000000001</v>
      </c>
      <c r="I56" s="42">
        <f t="shared" si="4"/>
        <v>1</v>
      </c>
      <c r="J56" s="120" t="s">
        <v>193</v>
      </c>
      <c r="K56" s="115"/>
      <c r="L56" s="115"/>
      <c r="M56" s="115"/>
      <c r="N56" s="116"/>
    </row>
    <row r="57" spans="1:40" ht="15" customHeight="1" x14ac:dyDescent="0.35">
      <c r="A57" s="16" t="s">
        <v>73</v>
      </c>
      <c r="B57" s="35">
        <v>0.19</v>
      </c>
      <c r="C57" s="35">
        <v>0.19</v>
      </c>
      <c r="D57" s="35">
        <v>0.19</v>
      </c>
      <c r="E57" s="35">
        <v>0.19</v>
      </c>
      <c r="F57" s="35">
        <v>0.19</v>
      </c>
      <c r="G57" s="35">
        <v>2.5000000000000001E-2</v>
      </c>
      <c r="H57" s="35">
        <v>2.5000000000000001E-2</v>
      </c>
      <c r="I57" s="41">
        <f t="shared" si="4"/>
        <v>1</v>
      </c>
      <c r="J57" s="119" t="s">
        <v>193</v>
      </c>
      <c r="K57" s="115"/>
      <c r="L57" s="115"/>
      <c r="M57" s="115"/>
      <c r="N57" s="116"/>
    </row>
    <row r="58" spans="1:40" ht="15" customHeight="1" x14ac:dyDescent="0.35">
      <c r="A58" s="21" t="s">
        <v>75</v>
      </c>
      <c r="B58" s="39">
        <v>0.13</v>
      </c>
      <c r="C58" s="39">
        <v>0.13</v>
      </c>
      <c r="D58" s="39">
        <v>0.13</v>
      </c>
      <c r="E58" s="39">
        <v>0.13</v>
      </c>
      <c r="F58" s="39">
        <v>0.13</v>
      </c>
      <c r="G58" s="39">
        <v>0.19</v>
      </c>
      <c r="H58" s="39">
        <v>0.16</v>
      </c>
      <c r="I58" s="42">
        <f t="shared" si="4"/>
        <v>1</v>
      </c>
      <c r="J58" s="120" t="s">
        <v>193</v>
      </c>
      <c r="K58" s="115"/>
      <c r="L58" s="115"/>
      <c r="M58" s="115"/>
      <c r="N58" s="116"/>
    </row>
    <row r="59" spans="1:40" ht="15" customHeight="1" x14ac:dyDescent="0.35">
      <c r="A59" s="16" t="s">
        <v>77</v>
      </c>
      <c r="B59" s="35">
        <v>0.19400000000000001</v>
      </c>
      <c r="C59" s="35">
        <v>0.19400000000000001</v>
      </c>
      <c r="D59" s="35">
        <v>0.19400000000000001</v>
      </c>
      <c r="E59" s="35">
        <v>0.19400000000000001</v>
      </c>
      <c r="F59" s="35">
        <v>0.19400000000000001</v>
      </c>
      <c r="G59" s="35">
        <v>1.4999999999999999E-2</v>
      </c>
      <c r="H59" s="35">
        <v>1.4999999999999999E-2</v>
      </c>
      <c r="I59" s="41">
        <f t="shared" si="4"/>
        <v>1</v>
      </c>
      <c r="J59" s="119" t="s">
        <v>193</v>
      </c>
      <c r="K59" s="115"/>
      <c r="L59" s="115"/>
      <c r="M59" s="115"/>
      <c r="N59" s="116"/>
    </row>
    <row r="60" spans="1:40" ht="15" customHeight="1" x14ac:dyDescent="0.35">
      <c r="A60" s="21" t="s">
        <v>167</v>
      </c>
      <c r="B60" s="36">
        <v>0.13800000000000001</v>
      </c>
      <c r="C60" s="36">
        <v>0.13800000000000001</v>
      </c>
      <c r="D60" s="36">
        <v>0.13800000000000001</v>
      </c>
      <c r="E60" s="36">
        <v>0.13800000000000001</v>
      </c>
      <c r="F60" s="36">
        <v>0.13800000000000001</v>
      </c>
      <c r="G60" s="36">
        <v>0.15</v>
      </c>
      <c r="H60" s="36">
        <v>0.16</v>
      </c>
      <c r="I60" s="42">
        <f t="shared" si="4"/>
        <v>1</v>
      </c>
      <c r="J60" s="120" t="s">
        <v>194</v>
      </c>
      <c r="K60" s="115"/>
      <c r="L60" s="115"/>
      <c r="M60" s="115"/>
      <c r="N60" s="116"/>
    </row>
    <row r="61" spans="1:40" ht="15" customHeight="1" x14ac:dyDescent="0.35">
      <c r="A61" s="43" t="s">
        <v>210</v>
      </c>
      <c r="B61" s="37">
        <f t="shared" ref="B61:H61" si="5">INDEX(B$49:B$60,MATCH($B$7,$A$49:$A$60,0))</f>
        <v>0.19</v>
      </c>
      <c r="C61" s="37">
        <f t="shared" si="5"/>
        <v>0.19</v>
      </c>
      <c r="D61" s="37">
        <f t="shared" si="5"/>
        <v>0.19</v>
      </c>
      <c r="E61" s="37">
        <f t="shared" si="5"/>
        <v>0.19</v>
      </c>
      <c r="F61" s="37">
        <f t="shared" si="5"/>
        <v>0.19</v>
      </c>
      <c r="G61" s="37">
        <f t="shared" si="5"/>
        <v>2.5000000000000001E-2</v>
      </c>
      <c r="H61" s="37">
        <f t="shared" si="5"/>
        <v>2.5000000000000001E-2</v>
      </c>
      <c r="I61" s="37">
        <f t="shared" si="4"/>
        <v>1</v>
      </c>
      <c r="J61" s="124" t="s">
        <v>211</v>
      </c>
      <c r="K61" s="115"/>
      <c r="L61" s="115"/>
      <c r="M61" s="115"/>
      <c r="N61" s="116"/>
    </row>
    <row r="63" spans="1:40" ht="15" customHeight="1" x14ac:dyDescent="0.35">
      <c r="A63" s="121" t="s">
        <v>212</v>
      </c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</row>
    <row r="64" spans="1:40" ht="15" customHeight="1" x14ac:dyDescent="0.35">
      <c r="A64" s="112" t="s">
        <v>213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</row>
    <row r="65" spans="1:6" ht="21.75" customHeight="1" x14ac:dyDescent="0.35">
      <c r="A65" s="15" t="s">
        <v>169</v>
      </c>
      <c r="B65" s="15" t="s">
        <v>214</v>
      </c>
      <c r="C65" s="15" t="s">
        <v>215</v>
      </c>
      <c r="D65" s="15" t="s">
        <v>216</v>
      </c>
      <c r="E65" s="15" t="s">
        <v>171</v>
      </c>
      <c r="F65" s="15" t="s">
        <v>217</v>
      </c>
    </row>
    <row r="66" spans="1:6" ht="15" customHeight="1" x14ac:dyDescent="0.35">
      <c r="A66" s="34">
        <v>0</v>
      </c>
      <c r="B66" s="35">
        <v>1.4999999999999999E-2</v>
      </c>
      <c r="C66" s="35">
        <v>1.2E-2</v>
      </c>
      <c r="D66" s="35">
        <v>1.4999999999999999E-2</v>
      </c>
      <c r="E66" s="35">
        <v>0.02</v>
      </c>
      <c r="F66" s="35">
        <v>1.2999999999999999E-2</v>
      </c>
    </row>
    <row r="67" spans="1:6" ht="15" customHeight="1" x14ac:dyDescent="0.35">
      <c r="A67" s="38">
        <v>1</v>
      </c>
      <c r="B67" s="39">
        <v>1.0999999999999999E-2</v>
      </c>
      <c r="C67" s="39">
        <v>8.9999999999999993E-3</v>
      </c>
      <c r="D67" s="39">
        <v>1.0999999999999999E-2</v>
      </c>
      <c r="E67" s="39">
        <v>7.0000000000000001E-3</v>
      </c>
      <c r="F67" s="39">
        <v>1.2E-2</v>
      </c>
    </row>
    <row r="68" spans="1:6" ht="15" customHeight="1" x14ac:dyDescent="0.35">
      <c r="A68" s="34">
        <v>2</v>
      </c>
      <c r="B68" s="35">
        <v>5.0000000000000001E-3</v>
      </c>
      <c r="C68" s="35">
        <v>4.0000000000000001E-3</v>
      </c>
      <c r="D68" s="35">
        <v>6.0000000000000001E-3</v>
      </c>
      <c r="E68" s="35">
        <v>3.0000000000000001E-3</v>
      </c>
      <c r="F68" s="35">
        <v>7.0000000000000001E-3</v>
      </c>
    </row>
    <row r="69" spans="1:6" ht="15" customHeight="1" x14ac:dyDescent="0.35">
      <c r="A69" s="38">
        <v>3</v>
      </c>
      <c r="B69" s="39">
        <v>7.0000000000000001E-3</v>
      </c>
      <c r="C69" s="39">
        <v>6.0000000000000001E-3</v>
      </c>
      <c r="D69" s="39">
        <v>8.0000000000000002E-3</v>
      </c>
      <c r="E69" s="39">
        <v>7.0000000000000001E-3</v>
      </c>
      <c r="F69" s="39">
        <v>5.0000000000000001E-3</v>
      </c>
    </row>
    <row r="70" spans="1:6" ht="15" customHeight="1" x14ac:dyDescent="0.35">
      <c r="A70" s="34">
        <v>4</v>
      </c>
      <c r="B70" s="35">
        <v>1.2999999999999999E-2</v>
      </c>
      <c r="C70" s="35">
        <v>1.4E-2</v>
      </c>
      <c r="D70" s="35">
        <v>1.7999999999999999E-2</v>
      </c>
      <c r="E70" s="35">
        <v>1.2999999999999999E-2</v>
      </c>
      <c r="F70" s="35">
        <v>6.0000000000000001E-3</v>
      </c>
    </row>
    <row r="71" spans="1:6" ht="15" customHeight="1" x14ac:dyDescent="0.35">
      <c r="A71" s="38">
        <v>5</v>
      </c>
      <c r="B71" s="39">
        <v>3.5000000000000003E-2</v>
      </c>
      <c r="C71" s="39">
        <v>4.2000000000000003E-2</v>
      </c>
      <c r="D71" s="39">
        <v>4.5999999999999999E-2</v>
      </c>
      <c r="E71" s="39">
        <v>2.5000000000000001E-2</v>
      </c>
      <c r="F71" s="39">
        <v>7.0000000000000001E-3</v>
      </c>
    </row>
    <row r="72" spans="1:6" ht="15" customHeight="1" x14ac:dyDescent="0.35">
      <c r="A72" s="34">
        <v>6</v>
      </c>
      <c r="B72" s="35">
        <v>5.6000000000000001E-2</v>
      </c>
      <c r="C72" s="35">
        <v>7.2999999999999995E-2</v>
      </c>
      <c r="D72" s="35">
        <v>8.2000000000000003E-2</v>
      </c>
      <c r="E72" s="35">
        <v>3.7999999999999999E-2</v>
      </c>
      <c r="F72" s="35">
        <v>1.2E-2</v>
      </c>
    </row>
    <row r="73" spans="1:6" ht="15" customHeight="1" x14ac:dyDescent="0.35">
      <c r="A73" s="38">
        <v>7</v>
      </c>
      <c r="B73" s="39">
        <v>5.1999999999999998E-2</v>
      </c>
      <c r="C73" s="39">
        <v>6.6000000000000003E-2</v>
      </c>
      <c r="D73" s="39">
        <v>7.3999999999999996E-2</v>
      </c>
      <c r="E73" s="39">
        <v>4.5999999999999999E-2</v>
      </c>
      <c r="F73" s="39">
        <v>3.7999999999999999E-2</v>
      </c>
    </row>
    <row r="74" spans="1:6" ht="15" customHeight="1" x14ac:dyDescent="0.35">
      <c r="A74" s="34">
        <v>8</v>
      </c>
      <c r="B74" s="35">
        <v>0.05</v>
      </c>
      <c r="C74" s="35">
        <v>6.3E-2</v>
      </c>
      <c r="D74" s="35">
        <v>7.0000000000000007E-2</v>
      </c>
      <c r="E74" s="35">
        <v>7.8E-2</v>
      </c>
      <c r="F74" s="35">
        <v>0.05</v>
      </c>
    </row>
    <row r="75" spans="1:6" ht="15" customHeight="1" x14ac:dyDescent="0.35">
      <c r="A75" s="38">
        <v>9</v>
      </c>
      <c r="B75" s="39">
        <v>4.4999999999999998E-2</v>
      </c>
      <c r="C75" s="39">
        <v>0.05</v>
      </c>
      <c r="D75" s="39">
        <v>5.5E-2</v>
      </c>
      <c r="E75" s="39">
        <v>6.9000000000000006E-2</v>
      </c>
      <c r="F75" s="39">
        <v>5.8000000000000003E-2</v>
      </c>
    </row>
    <row r="76" spans="1:6" ht="15" customHeight="1" x14ac:dyDescent="0.35">
      <c r="A76" s="34">
        <v>10</v>
      </c>
      <c r="B76" s="35">
        <v>4.2000000000000003E-2</v>
      </c>
      <c r="C76" s="35">
        <v>4.3999999999999997E-2</v>
      </c>
      <c r="D76" s="35">
        <v>4.8000000000000001E-2</v>
      </c>
      <c r="E76" s="35">
        <v>5.5E-2</v>
      </c>
      <c r="F76" s="35">
        <v>0.08</v>
      </c>
    </row>
    <row r="77" spans="1:6" ht="15" customHeight="1" x14ac:dyDescent="0.35">
      <c r="A77" s="38">
        <v>11</v>
      </c>
      <c r="B77" s="39">
        <v>3.5999999999999997E-2</v>
      </c>
      <c r="C77" s="39">
        <v>3.7999999999999999E-2</v>
      </c>
      <c r="D77" s="39">
        <v>4.2000000000000003E-2</v>
      </c>
      <c r="E77" s="39">
        <v>6.3E-2</v>
      </c>
      <c r="F77" s="39">
        <v>7.3999999999999996E-2</v>
      </c>
    </row>
    <row r="78" spans="1:6" ht="15" customHeight="1" x14ac:dyDescent="0.35">
      <c r="A78" s="34">
        <v>12</v>
      </c>
      <c r="B78" s="35">
        <v>3.2000000000000001E-2</v>
      </c>
      <c r="C78" s="35">
        <v>3.2000000000000001E-2</v>
      </c>
      <c r="D78" s="35">
        <v>3.4000000000000002E-2</v>
      </c>
      <c r="E78" s="35">
        <v>6.2E-2</v>
      </c>
      <c r="F78" s="35">
        <v>7.0999999999999994E-2</v>
      </c>
    </row>
    <row r="79" spans="1:6" ht="15" customHeight="1" x14ac:dyDescent="0.35">
      <c r="A79" s="38">
        <v>13</v>
      </c>
      <c r="B79" s="39">
        <v>4.2000000000000003E-2</v>
      </c>
      <c r="C79" s="39">
        <v>0.04</v>
      </c>
      <c r="D79" s="39">
        <v>4.1000000000000002E-2</v>
      </c>
      <c r="E79" s="39">
        <v>0.06</v>
      </c>
      <c r="F79" s="39">
        <v>0.05</v>
      </c>
    </row>
    <row r="80" spans="1:6" ht="15" customHeight="1" x14ac:dyDescent="0.35">
      <c r="A80" s="34">
        <v>14</v>
      </c>
      <c r="B80" s="35">
        <v>4.3999999999999997E-2</v>
      </c>
      <c r="C80" s="35">
        <v>4.1000000000000002E-2</v>
      </c>
      <c r="D80" s="35">
        <v>4.2000000000000003E-2</v>
      </c>
      <c r="E80" s="35">
        <v>0.04</v>
      </c>
      <c r="F80" s="35">
        <v>0.04</v>
      </c>
    </row>
    <row r="81" spans="1:6" ht="15" customHeight="1" x14ac:dyDescent="0.35">
      <c r="A81" s="38">
        <v>15</v>
      </c>
      <c r="B81" s="39">
        <v>4.8000000000000001E-2</v>
      </c>
      <c r="C81" s="39">
        <v>4.2999999999999997E-2</v>
      </c>
      <c r="D81" s="39">
        <v>4.2000000000000003E-2</v>
      </c>
      <c r="E81" s="39">
        <v>4.1000000000000002E-2</v>
      </c>
      <c r="F81" s="39">
        <v>4.3999999999999997E-2</v>
      </c>
    </row>
    <row r="82" spans="1:6" ht="15" customHeight="1" x14ac:dyDescent="0.35">
      <c r="A82" s="34">
        <v>16</v>
      </c>
      <c r="B82" s="35">
        <v>6.2E-2</v>
      </c>
      <c r="C82" s="35">
        <v>5.5E-2</v>
      </c>
      <c r="D82" s="35">
        <v>4.4999999999999998E-2</v>
      </c>
      <c r="E82" s="35">
        <v>5.1999999999999998E-2</v>
      </c>
      <c r="F82" s="35">
        <v>4.5999999999999999E-2</v>
      </c>
    </row>
    <row r="83" spans="1:6" ht="15" customHeight="1" x14ac:dyDescent="0.35">
      <c r="A83" s="38">
        <v>17</v>
      </c>
      <c r="B83" s="39">
        <v>6.6000000000000003E-2</v>
      </c>
      <c r="C83" s="39">
        <v>6.0999999999999999E-2</v>
      </c>
      <c r="D83" s="39">
        <v>5.2999999999999999E-2</v>
      </c>
      <c r="E83" s="39">
        <v>5.3999999999999999E-2</v>
      </c>
      <c r="F83" s="39">
        <v>6.2E-2</v>
      </c>
    </row>
    <row r="84" spans="1:6" ht="15" customHeight="1" x14ac:dyDescent="0.35">
      <c r="A84" s="34">
        <v>18</v>
      </c>
      <c r="B84" s="35">
        <v>7.0999999999999994E-2</v>
      </c>
      <c r="C84" s="35">
        <v>6.4000000000000001E-2</v>
      </c>
      <c r="D84" s="35">
        <v>5.5E-2</v>
      </c>
      <c r="E84" s="35">
        <v>6.6000000000000003E-2</v>
      </c>
      <c r="F84" s="35">
        <v>7.5999999999999998E-2</v>
      </c>
    </row>
    <row r="85" spans="1:6" ht="15" customHeight="1" x14ac:dyDescent="0.35">
      <c r="A85" s="38">
        <v>19</v>
      </c>
      <c r="B85" s="39">
        <v>6.8000000000000005E-2</v>
      </c>
      <c r="C85" s="39">
        <v>6.2E-2</v>
      </c>
      <c r="D85" s="39">
        <v>5.2999999999999999E-2</v>
      </c>
      <c r="E85" s="39">
        <v>5.1999999999999998E-2</v>
      </c>
      <c r="F85" s="39">
        <v>6.0999999999999999E-2</v>
      </c>
    </row>
    <row r="86" spans="1:6" ht="15" customHeight="1" x14ac:dyDescent="0.35">
      <c r="A86" s="34">
        <v>20</v>
      </c>
      <c r="B86" s="35">
        <v>6.6000000000000003E-2</v>
      </c>
      <c r="C86" s="35">
        <v>5.8999999999999997E-2</v>
      </c>
      <c r="D86" s="35">
        <v>0.05</v>
      </c>
      <c r="E86" s="35">
        <v>4.2000000000000003E-2</v>
      </c>
      <c r="F86" s="35">
        <v>0.06</v>
      </c>
    </row>
    <row r="87" spans="1:6" ht="15" customHeight="1" x14ac:dyDescent="0.35">
      <c r="A87" s="38">
        <v>21</v>
      </c>
      <c r="B87" s="39">
        <v>6.2E-2</v>
      </c>
      <c r="C87" s="39">
        <v>5.7000000000000002E-2</v>
      </c>
      <c r="D87" s="39">
        <v>4.8000000000000001E-2</v>
      </c>
      <c r="E87" s="39">
        <v>0.04</v>
      </c>
      <c r="F87" s="39">
        <v>0.06</v>
      </c>
    </row>
    <row r="88" spans="1:6" ht="15" customHeight="1" x14ac:dyDescent="0.35">
      <c r="A88" s="34">
        <v>22</v>
      </c>
      <c r="B88" s="35">
        <v>4.2000000000000003E-2</v>
      </c>
      <c r="C88" s="35">
        <v>3.7999999999999999E-2</v>
      </c>
      <c r="D88" s="35">
        <v>3.5000000000000003E-2</v>
      </c>
      <c r="E88" s="35">
        <v>0.04</v>
      </c>
      <c r="F88" s="35">
        <v>0.04</v>
      </c>
    </row>
    <row r="89" spans="1:6" ht="15" customHeight="1" x14ac:dyDescent="0.35">
      <c r="A89" s="38">
        <v>23</v>
      </c>
      <c r="B89" s="39">
        <v>0.03</v>
      </c>
      <c r="C89" s="39">
        <v>2.7E-2</v>
      </c>
      <c r="D89" s="39">
        <v>2.7E-2</v>
      </c>
      <c r="E89" s="39">
        <v>2.7E-2</v>
      </c>
      <c r="F89" s="39">
        <v>2.8000000000000001E-2</v>
      </c>
    </row>
    <row r="90" spans="1:6" ht="15" customHeight="1" x14ac:dyDescent="0.35">
      <c r="A90" s="40" t="s">
        <v>173</v>
      </c>
      <c r="B90" s="41">
        <f>SUM(B66:B89)</f>
        <v>1.0000000000000002</v>
      </c>
      <c r="C90" s="41">
        <f>SUM(C66:C89)</f>
        <v>1.0000000000000002</v>
      </c>
      <c r="D90" s="41">
        <f>SUM(D66:D89)</f>
        <v>1.0000000000000004</v>
      </c>
      <c r="E90" s="41">
        <f>SUM(E66:E89)</f>
        <v>1.0000000000000002</v>
      </c>
      <c r="F90" s="41">
        <f>SUM(F66:F89)</f>
        <v>1.0000000000000002</v>
      </c>
    </row>
    <row r="92" spans="1:6" ht="15" customHeight="1" x14ac:dyDescent="0.35">
      <c r="A92" s="2" t="s">
        <v>218</v>
      </c>
    </row>
  </sheetData>
  <mergeCells count="60">
    <mergeCell ref="J61:N61"/>
    <mergeCell ref="A64:AN64"/>
    <mergeCell ref="J54:N54"/>
    <mergeCell ref="N45:P45"/>
    <mergeCell ref="AC17:AE17"/>
    <mergeCell ref="AI17:AK17"/>
    <mergeCell ref="AL44:AN44"/>
    <mergeCell ref="Z45:AB45"/>
    <mergeCell ref="W44:Y44"/>
    <mergeCell ref="AC45:AE45"/>
    <mergeCell ref="AI44:AK44"/>
    <mergeCell ref="J50:N50"/>
    <mergeCell ref="J56:N56"/>
    <mergeCell ref="H44:J44"/>
    <mergeCell ref="T45:V45"/>
    <mergeCell ref="J51:N51"/>
    <mergeCell ref="K45:M45"/>
    <mergeCell ref="A63:AN63"/>
    <mergeCell ref="T17:V17"/>
    <mergeCell ref="AF17:AH17"/>
    <mergeCell ref="AL17:AN17"/>
    <mergeCell ref="K17:M17"/>
    <mergeCell ref="Q17:S17"/>
    <mergeCell ref="W17:Y17"/>
    <mergeCell ref="Z44:AB44"/>
    <mergeCell ref="J49:N49"/>
    <mergeCell ref="J55:N55"/>
    <mergeCell ref="Q45:S45"/>
    <mergeCell ref="E44:G44"/>
    <mergeCell ref="B45:D45"/>
    <mergeCell ref="W45:Y45"/>
    <mergeCell ref="E17:G17"/>
    <mergeCell ref="J58:N58"/>
    <mergeCell ref="J60:N60"/>
    <mergeCell ref="Q44:S44"/>
    <mergeCell ref="E45:G45"/>
    <mergeCell ref="J53:N53"/>
    <mergeCell ref="AC44:AE44"/>
    <mergeCell ref="J52:N52"/>
    <mergeCell ref="J57:N57"/>
    <mergeCell ref="AF45:AH45"/>
    <mergeCell ref="H17:J17"/>
    <mergeCell ref="J59:N59"/>
    <mergeCell ref="Z17:AB17"/>
    <mergeCell ref="H45:J45"/>
    <mergeCell ref="N44:P44"/>
    <mergeCell ref="A2:AN2"/>
    <mergeCell ref="AI45:AK45"/>
    <mergeCell ref="AF44:AH44"/>
    <mergeCell ref="B17:D17"/>
    <mergeCell ref="N17:P17"/>
    <mergeCell ref="B44:D44"/>
    <mergeCell ref="B6:C6"/>
    <mergeCell ref="A16:AN16"/>
    <mergeCell ref="B5:C5"/>
    <mergeCell ref="J48:N48"/>
    <mergeCell ref="T44:V44"/>
    <mergeCell ref="AL45:AN45"/>
    <mergeCell ref="B7:C7"/>
    <mergeCell ref="K44:M44"/>
  </mergeCells>
  <conditionalFormatting sqref="B10:C10">
    <cfRule type="expression" dxfId="18" priority="2">
      <formula>ABS($B$10-1)&gt;0.005</formula>
    </cfRule>
    <cfRule type="expression" dxfId="17" priority="3">
      <formula>ABS($B$10-1)&lt;=0.005</formula>
    </cfRule>
  </conditionalFormatting>
  <conditionalFormatting sqref="B11:C11">
    <cfRule type="expression" dxfId="16" priority="4">
      <formula>ABS($B$11-1)&gt;0.005</formula>
    </cfRule>
    <cfRule type="expression" dxfId="15" priority="5">
      <formula>ABS($B$11-1)&lt;=0.005</formula>
    </cfRule>
  </conditionalFormatting>
  <conditionalFormatting sqref="B12:C12">
    <cfRule type="expression" dxfId="14" priority="6">
      <formula>ABS($B$12-1)&gt;0.005</formula>
    </cfRule>
    <cfRule type="expression" dxfId="13" priority="7">
      <formula>ABS($B$12-1)&lt;=0.005</formula>
    </cfRule>
  </conditionalFormatting>
  <conditionalFormatting sqref="B13:C13">
    <cfRule type="expression" dxfId="12" priority="8">
      <formula>ABS($B$13-1)&gt;0.005</formula>
    </cfRule>
    <cfRule type="expression" dxfId="11" priority="9">
      <formula>ABS($B$13-1)&lt;=0.005</formula>
    </cfRule>
  </conditionalFormatting>
  <conditionalFormatting sqref="B43:AN43">
    <cfRule type="expression" dxfId="10" priority="10">
      <formula>ABS(B$43-1)&gt;0.005</formula>
    </cfRule>
  </conditionalFormatting>
  <conditionalFormatting sqref="I49:I60">
    <cfRule type="expression" dxfId="9" priority="11">
      <formula>ABS($I49-1)&gt;0.005</formula>
    </cfRule>
  </conditionalFormatting>
  <dataValidations count="3">
    <dataValidation type="list" allowBlank="1" showErrorMessage="1" errorTitle="Ungültige Eingabe" error="Bitte ein Profil aus der Liste wählen." sqref="B5" xr:uid="{00000000-0002-0000-0100-000000000000}">
      <formula1>"(automatisch),Wohnen groß (VDI 6002),Studentenwohnheim (VDI 6002-2),Seniorenheim (VDI 6002-2),Krankenhaus (VDI 6002-2),MFH Wohnen,EFH Wohnen,Hotel,Pflegeheim,Büro/Verwaltung,Sportstätte/Duschen,Schule,Benutzerdefiniert"</formula1>
      <formula2>0</formula2>
    </dataValidation>
    <dataValidation type="decimal" allowBlank="1" showErrorMessage="1" errorTitle="Profilanteil" error="Anteil zwischen 0 % und 100 %." sqref="B19:AK42 B49:H60" xr:uid="{00000000-0002-0000-0100-000001000000}">
      <formula1>0</formula1>
      <formula2>1</formula2>
    </dataValidation>
    <dataValidation type="decimal" allowBlank="1" showErrorMessage="1" errorTitle="Saisonfaktor" error="Saisonfaktor zwischen 0,10 und 3,00 (Default 1,00)." sqref="B8" xr:uid="{00000000-0002-0000-0100-000002000000}">
      <formula1>0.1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8"/>
  <sheetViews>
    <sheetView showGridLines="0" topLeftCell="A45" zoomScaleNormal="100" workbookViewId="0">
      <selection activeCell="A59" sqref="A59"/>
    </sheetView>
  </sheetViews>
  <sheetFormatPr baseColWidth="10" defaultColWidth="8.6328125" defaultRowHeight="14.5" x14ac:dyDescent="0.35"/>
  <cols>
    <col min="1" max="2" width="28" customWidth="1"/>
    <col min="3" max="4" width="13" customWidth="1"/>
    <col min="5" max="6" width="15" customWidth="1"/>
    <col min="7" max="7" width="34" customWidth="1"/>
    <col min="8" max="8" width="12" customWidth="1"/>
    <col min="9" max="9" width="8" customWidth="1"/>
    <col min="10" max="10" width="14" customWidth="1"/>
    <col min="11" max="11" width="20" customWidth="1"/>
    <col min="12" max="12" width="46" customWidth="1"/>
  </cols>
  <sheetData>
    <row r="1" spans="1:12" ht="17.25" customHeight="1" x14ac:dyDescent="0.35">
      <c r="A1" s="98" t="s">
        <v>219</v>
      </c>
    </row>
    <row r="2" spans="1:12" ht="24" customHeight="1" x14ac:dyDescent="0.35">
      <c r="A2" s="111" t="s">
        <v>220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4" spans="1:12" ht="15" customHeight="1" x14ac:dyDescent="0.35">
      <c r="A4" s="3" t="s">
        <v>221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4" customHeight="1" x14ac:dyDescent="0.35">
      <c r="A5" s="111" t="s">
        <v>222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</row>
    <row r="6" spans="1:12" ht="15" customHeight="1" x14ac:dyDescent="0.35">
      <c r="A6" s="112" t="s">
        <v>223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</row>
    <row r="7" spans="1:12" ht="30" customHeight="1" x14ac:dyDescent="0.35">
      <c r="A7" s="99" t="s">
        <v>224</v>
      </c>
      <c r="B7" s="99" t="s">
        <v>225</v>
      </c>
      <c r="C7" s="99" t="s">
        <v>226</v>
      </c>
      <c r="D7" s="99" t="s">
        <v>227</v>
      </c>
      <c r="E7" s="99" t="s">
        <v>228</v>
      </c>
      <c r="F7" s="99" t="s">
        <v>229</v>
      </c>
      <c r="G7" s="99" t="s">
        <v>230</v>
      </c>
      <c r="H7" s="99" t="s">
        <v>231</v>
      </c>
      <c r="I7" s="99" t="s">
        <v>232</v>
      </c>
      <c r="J7" s="99" t="s">
        <v>233</v>
      </c>
      <c r="K7" s="99" t="s">
        <v>234</v>
      </c>
      <c r="L7" s="99" t="s">
        <v>63</v>
      </c>
    </row>
    <row r="8" spans="1:12" ht="15" customHeight="1" x14ac:dyDescent="0.35">
      <c r="A8" s="45">
        <v>1</v>
      </c>
      <c r="B8" s="31">
        <v>20</v>
      </c>
      <c r="C8" s="29">
        <v>2</v>
      </c>
      <c r="D8" s="46">
        <f t="shared" ref="D8:D17" si="0">IF($C8="","",IFERROR(INDEX($C$34:$C$46,MATCH($C8,$B$34:$B$46,1)),""))</f>
        <v>2</v>
      </c>
      <c r="E8" s="29"/>
      <c r="F8" s="46">
        <f t="shared" ref="F8:F17" si="1">IF($E8&lt;&gt;"",$E8,IF($D8="",0,$D8))</f>
        <v>2</v>
      </c>
      <c r="G8" s="47" t="s">
        <v>235</v>
      </c>
      <c r="H8" s="48">
        <f t="shared" ref="H8:H17" si="2">IF($G8="","",IFERROR(INDEX($C$51:$C$55,MATCH($G8,$B$51:$B$55,0)),""))</f>
        <v>3660</v>
      </c>
      <c r="I8" s="31">
        <v>1</v>
      </c>
      <c r="J8" s="46">
        <f t="shared" ref="J8:J17" si="3">IF($B8="",0,$B8*$F8)</f>
        <v>40</v>
      </c>
      <c r="K8" s="48">
        <f t="shared" ref="K8:K17" si="4">IF(OR($B8="",$G8=""),0,$B8*$F8*IF($I8="",1,$I8)*$H8)</f>
        <v>146400</v>
      </c>
      <c r="L8" s="49" t="s">
        <v>236</v>
      </c>
    </row>
    <row r="9" spans="1:12" ht="15" customHeight="1" x14ac:dyDescent="0.35">
      <c r="A9" s="45">
        <v>2</v>
      </c>
      <c r="B9" s="31">
        <v>10</v>
      </c>
      <c r="C9" s="29">
        <v>4</v>
      </c>
      <c r="D9" s="46">
        <f t="shared" si="0"/>
        <v>3.5</v>
      </c>
      <c r="E9" s="29"/>
      <c r="F9" s="46">
        <f t="shared" si="1"/>
        <v>3.5</v>
      </c>
      <c r="G9" s="47" t="s">
        <v>237</v>
      </c>
      <c r="H9" s="48">
        <f t="shared" si="2"/>
        <v>5820</v>
      </c>
      <c r="I9" s="31">
        <v>1</v>
      </c>
      <c r="J9" s="46">
        <f t="shared" si="3"/>
        <v>35</v>
      </c>
      <c r="K9" s="48">
        <f t="shared" si="4"/>
        <v>203700</v>
      </c>
      <c r="L9" s="49" t="s">
        <v>236</v>
      </c>
    </row>
    <row r="10" spans="1:12" ht="15" customHeight="1" x14ac:dyDescent="0.35">
      <c r="A10" s="45">
        <v>3</v>
      </c>
      <c r="B10" s="31"/>
      <c r="C10" s="29"/>
      <c r="D10" s="46" t="str">
        <f t="shared" si="0"/>
        <v/>
      </c>
      <c r="E10" s="29"/>
      <c r="F10" s="46">
        <f t="shared" si="1"/>
        <v>0</v>
      </c>
      <c r="G10" s="47"/>
      <c r="H10" s="48" t="str">
        <f t="shared" si="2"/>
        <v/>
      </c>
      <c r="I10" s="31"/>
      <c r="J10" s="46">
        <f t="shared" si="3"/>
        <v>0</v>
      </c>
      <c r="K10" s="48">
        <f t="shared" si="4"/>
        <v>0</v>
      </c>
      <c r="L10" s="49"/>
    </row>
    <row r="11" spans="1:12" ht="15" customHeight="1" x14ac:dyDescent="0.35">
      <c r="A11" s="45">
        <v>4</v>
      </c>
      <c r="B11" s="31"/>
      <c r="C11" s="29"/>
      <c r="D11" s="46" t="str">
        <f t="shared" si="0"/>
        <v/>
      </c>
      <c r="E11" s="29"/>
      <c r="F11" s="46">
        <f t="shared" si="1"/>
        <v>0</v>
      </c>
      <c r="G11" s="47"/>
      <c r="H11" s="48" t="str">
        <f t="shared" si="2"/>
        <v/>
      </c>
      <c r="I11" s="31"/>
      <c r="J11" s="46">
        <f t="shared" si="3"/>
        <v>0</v>
      </c>
      <c r="K11" s="48">
        <f t="shared" si="4"/>
        <v>0</v>
      </c>
      <c r="L11" s="49"/>
    </row>
    <row r="12" spans="1:12" ht="15" customHeight="1" x14ac:dyDescent="0.35">
      <c r="A12" s="45">
        <v>5</v>
      </c>
      <c r="B12" s="31"/>
      <c r="C12" s="29"/>
      <c r="D12" s="46" t="str">
        <f t="shared" si="0"/>
        <v/>
      </c>
      <c r="E12" s="29"/>
      <c r="F12" s="46">
        <f t="shared" si="1"/>
        <v>0</v>
      </c>
      <c r="G12" s="47"/>
      <c r="H12" s="48" t="str">
        <f t="shared" si="2"/>
        <v/>
      </c>
      <c r="I12" s="31"/>
      <c r="J12" s="46">
        <f t="shared" si="3"/>
        <v>0</v>
      </c>
      <c r="K12" s="48">
        <f t="shared" si="4"/>
        <v>0</v>
      </c>
      <c r="L12" s="49"/>
    </row>
    <row r="13" spans="1:12" ht="15" customHeight="1" x14ac:dyDescent="0.35">
      <c r="A13" s="45">
        <v>6</v>
      </c>
      <c r="B13" s="31"/>
      <c r="C13" s="29"/>
      <c r="D13" s="46" t="str">
        <f t="shared" si="0"/>
        <v/>
      </c>
      <c r="E13" s="29"/>
      <c r="F13" s="46">
        <f t="shared" si="1"/>
        <v>0</v>
      </c>
      <c r="G13" s="47"/>
      <c r="H13" s="48" t="str">
        <f t="shared" si="2"/>
        <v/>
      </c>
      <c r="I13" s="31"/>
      <c r="J13" s="46">
        <f t="shared" si="3"/>
        <v>0</v>
      </c>
      <c r="K13" s="48">
        <f t="shared" si="4"/>
        <v>0</v>
      </c>
      <c r="L13" s="49"/>
    </row>
    <row r="14" spans="1:12" ht="15" customHeight="1" x14ac:dyDescent="0.35">
      <c r="A14" s="45">
        <v>7</v>
      </c>
      <c r="B14" s="31"/>
      <c r="C14" s="29"/>
      <c r="D14" s="46" t="str">
        <f t="shared" si="0"/>
        <v/>
      </c>
      <c r="E14" s="29"/>
      <c r="F14" s="46">
        <f t="shared" si="1"/>
        <v>0</v>
      </c>
      <c r="G14" s="47"/>
      <c r="H14" s="48" t="str">
        <f t="shared" si="2"/>
        <v/>
      </c>
      <c r="I14" s="31"/>
      <c r="J14" s="46">
        <f t="shared" si="3"/>
        <v>0</v>
      </c>
      <c r="K14" s="48">
        <f t="shared" si="4"/>
        <v>0</v>
      </c>
      <c r="L14" s="49"/>
    </row>
    <row r="15" spans="1:12" ht="15" customHeight="1" x14ac:dyDescent="0.35">
      <c r="A15" s="45">
        <v>8</v>
      </c>
      <c r="B15" s="31"/>
      <c r="C15" s="29"/>
      <c r="D15" s="46" t="str">
        <f t="shared" si="0"/>
        <v/>
      </c>
      <c r="E15" s="29"/>
      <c r="F15" s="46">
        <f t="shared" si="1"/>
        <v>0</v>
      </c>
      <c r="G15" s="47"/>
      <c r="H15" s="48" t="str">
        <f t="shared" si="2"/>
        <v/>
      </c>
      <c r="I15" s="31"/>
      <c r="J15" s="46">
        <f t="shared" si="3"/>
        <v>0</v>
      </c>
      <c r="K15" s="48">
        <f t="shared" si="4"/>
        <v>0</v>
      </c>
      <c r="L15" s="49"/>
    </row>
    <row r="16" spans="1:12" ht="15" customHeight="1" x14ac:dyDescent="0.35">
      <c r="A16" s="45">
        <v>9</v>
      </c>
      <c r="B16" s="31"/>
      <c r="C16" s="29"/>
      <c r="D16" s="46" t="str">
        <f t="shared" si="0"/>
        <v/>
      </c>
      <c r="E16" s="29"/>
      <c r="F16" s="46">
        <f t="shared" si="1"/>
        <v>0</v>
      </c>
      <c r="G16" s="47"/>
      <c r="H16" s="48" t="str">
        <f t="shared" si="2"/>
        <v/>
      </c>
      <c r="I16" s="31"/>
      <c r="J16" s="46">
        <f t="shared" si="3"/>
        <v>0</v>
      </c>
      <c r="K16" s="48">
        <f t="shared" si="4"/>
        <v>0</v>
      </c>
      <c r="L16" s="49"/>
    </row>
    <row r="17" spans="1:12" ht="15" customHeight="1" x14ac:dyDescent="0.35">
      <c r="A17" s="45">
        <v>10</v>
      </c>
      <c r="B17" s="31"/>
      <c r="C17" s="29"/>
      <c r="D17" s="46" t="str">
        <f t="shared" si="0"/>
        <v/>
      </c>
      <c r="E17" s="29"/>
      <c r="F17" s="46">
        <f t="shared" si="1"/>
        <v>0</v>
      </c>
      <c r="G17" s="47"/>
      <c r="H17" s="48" t="str">
        <f t="shared" si="2"/>
        <v/>
      </c>
      <c r="I17" s="31"/>
      <c r="J17" s="46">
        <f t="shared" si="3"/>
        <v>0</v>
      </c>
      <c r="K17" s="48">
        <f t="shared" si="4"/>
        <v>0</v>
      </c>
      <c r="L17" s="49"/>
    </row>
    <row r="18" spans="1:12" ht="15" customHeight="1" x14ac:dyDescent="0.35">
      <c r="A18" s="44"/>
      <c r="B18" s="50">
        <f>SUM(B8:B17)</f>
        <v>30</v>
      </c>
      <c r="C18" s="44"/>
      <c r="D18" s="44"/>
      <c r="E18" s="44"/>
      <c r="F18" s="44"/>
      <c r="G18" s="44" t="s">
        <v>173</v>
      </c>
      <c r="H18" s="44"/>
      <c r="I18" s="44"/>
      <c r="J18" s="51">
        <f>SUM(J8:J17)</f>
        <v>75</v>
      </c>
      <c r="K18" s="50">
        <f>SUM(K8:K17)</f>
        <v>350100</v>
      </c>
      <c r="L18" s="7" t="s">
        <v>238</v>
      </c>
    </row>
    <row r="20" spans="1:12" ht="15" customHeight="1" x14ac:dyDescent="0.35">
      <c r="A20" s="3" t="s">
        <v>239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" customHeight="1" x14ac:dyDescent="0.35">
      <c r="A21" s="4" t="s">
        <v>240</v>
      </c>
      <c r="B21" s="13">
        <f>K18</f>
        <v>350100</v>
      </c>
      <c r="C21" s="7" t="s">
        <v>241</v>
      </c>
      <c r="D21" s="7" t="s">
        <v>242</v>
      </c>
    </row>
    <row r="22" spans="1:12" ht="15" customHeight="1" x14ac:dyDescent="0.35">
      <c r="A22" s="4" t="s">
        <v>243</v>
      </c>
      <c r="B22" s="30">
        <f>Berechnung!$B$373</f>
        <v>3.5</v>
      </c>
      <c r="C22" s="7" t="s">
        <v>19</v>
      </c>
      <c r="D22" s="7" t="s">
        <v>244</v>
      </c>
    </row>
    <row r="23" spans="1:12" ht="15" customHeight="1" x14ac:dyDescent="0.35">
      <c r="A23" s="4" t="s">
        <v>245</v>
      </c>
      <c r="B23" s="52">
        <f>Berechnung!$B$376</f>
        <v>5820</v>
      </c>
      <c r="C23" s="7" t="s">
        <v>241</v>
      </c>
      <c r="D23" s="7" t="s">
        <v>246</v>
      </c>
    </row>
    <row r="24" spans="1:12" ht="15" customHeight="1" x14ac:dyDescent="0.35">
      <c r="A24" s="4" t="s">
        <v>247</v>
      </c>
      <c r="B24" s="13">
        <f>B22*B23</f>
        <v>20370</v>
      </c>
      <c r="C24" s="7" t="s">
        <v>241</v>
      </c>
      <c r="D24" s="7" t="s">
        <v>248</v>
      </c>
    </row>
    <row r="25" spans="1:12" ht="15" customHeight="1" x14ac:dyDescent="0.35">
      <c r="A25" s="4" t="s">
        <v>249</v>
      </c>
      <c r="B25" s="27">
        <f>IFERROR(B21/B24,0)</f>
        <v>17.187039764359351</v>
      </c>
      <c r="C25" s="7" t="s">
        <v>53</v>
      </c>
      <c r="D25" s="7" t="s">
        <v>250</v>
      </c>
    </row>
    <row r="26" spans="1:12" ht="15" customHeight="1" x14ac:dyDescent="0.35">
      <c r="A26" s="4" t="s">
        <v>251</v>
      </c>
      <c r="B26" s="13">
        <f>B18</f>
        <v>30</v>
      </c>
      <c r="C26" s="7" t="s">
        <v>252</v>
      </c>
      <c r="D26" s="7" t="s">
        <v>253</v>
      </c>
    </row>
    <row r="27" spans="1:12" ht="15" customHeight="1" x14ac:dyDescent="0.35">
      <c r="A27" s="4" t="s">
        <v>254</v>
      </c>
      <c r="B27" s="10">
        <f>J18</f>
        <v>75</v>
      </c>
      <c r="C27" s="7" t="s">
        <v>19</v>
      </c>
      <c r="D27" s="7" t="s">
        <v>255</v>
      </c>
    </row>
    <row r="28" spans="1:12" ht="15" customHeight="1" x14ac:dyDescent="0.35">
      <c r="A28" s="4" t="s">
        <v>256</v>
      </c>
      <c r="B28" s="25">
        <f>IFERROR(B27/B26,0)</f>
        <v>2.5</v>
      </c>
      <c r="C28" s="7" t="s">
        <v>257</v>
      </c>
      <c r="D28" s="7" t="s">
        <v>258</v>
      </c>
    </row>
    <row r="29" spans="1:12" ht="15" customHeight="1" x14ac:dyDescent="0.35">
      <c r="A29" s="4" t="s">
        <v>259</v>
      </c>
      <c r="B29" s="109" t="str">
        <f>IF($B$26=0,"HINWEIS: Noch keine Wohnungszeile ausgefüllt — das Blatt liefert N = 0.",IF(SUMPRODUCT(--($B$8:$B$17&lt;&gt;""),--($G$8:$G$17=""))&gt;0,"WARNUNG: In mindestens einer Zeile fehlt die Ausstattung — diese Zeile liefert keinen Beitrag.",IF(SUMPRODUCT(--($B$8:$B$17&lt;&gt;""),--($F$8:$F$17=0))&gt;0,"WARNUNG: In mindestens einer Zeile ist die Belegungszahl p = 0 — Zimmerzahl r prüfen oder p manuell setzen.","OK: "&amp;ROUND($B$26,0)&amp;" Wohnungen, "&amp;ROUND($B$27,1)&amp;" Personen, N = "&amp;ROUND($B$25,2)&amp;".")))</f>
        <v>OK: 30 Wohnungen, 75 Personen, N = 17,19.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</row>
    <row r="30" spans="1:12" ht="15" customHeight="1" x14ac:dyDescent="0.35">
      <c r="A30" s="4" t="s">
        <v>260</v>
      </c>
      <c r="B30" s="125" t="s">
        <v>261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</row>
    <row r="32" spans="1:12" ht="15" customHeight="1" x14ac:dyDescent="0.35">
      <c r="A32" s="3" t="s">
        <v>262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5" ht="48" customHeight="1" x14ac:dyDescent="0.35">
      <c r="A33" s="100" t="s">
        <v>263</v>
      </c>
      <c r="B33" s="99" t="s">
        <v>264</v>
      </c>
      <c r="C33" s="99" t="s">
        <v>265</v>
      </c>
      <c r="D33" s="99" t="s">
        <v>266</v>
      </c>
    </row>
    <row r="34" spans="1:5" ht="15" customHeight="1" x14ac:dyDescent="0.35">
      <c r="B34" s="29">
        <v>1</v>
      </c>
      <c r="C34" s="29">
        <v>2</v>
      </c>
      <c r="D34" s="49" t="s">
        <v>267</v>
      </c>
      <c r="E34" s="7" t="s">
        <v>268</v>
      </c>
    </row>
    <row r="35" spans="1:5" ht="15" customHeight="1" x14ac:dyDescent="0.35">
      <c r="B35" s="29">
        <v>1.5</v>
      </c>
      <c r="C35" s="29">
        <v>2</v>
      </c>
      <c r="D35" s="49" t="s">
        <v>269</v>
      </c>
    </row>
    <row r="36" spans="1:5" ht="15" customHeight="1" x14ac:dyDescent="0.35">
      <c r="B36" s="29">
        <v>2</v>
      </c>
      <c r="C36" s="29">
        <v>2</v>
      </c>
      <c r="D36" s="49" t="s">
        <v>270</v>
      </c>
    </row>
    <row r="37" spans="1:5" ht="15" customHeight="1" x14ac:dyDescent="0.35">
      <c r="B37" s="29">
        <v>2.5</v>
      </c>
      <c r="C37" s="29">
        <v>2.2999999999999998</v>
      </c>
      <c r="D37" s="49" t="s">
        <v>271</v>
      </c>
    </row>
    <row r="38" spans="1:5" ht="15" customHeight="1" x14ac:dyDescent="0.35">
      <c r="B38" s="29">
        <v>3</v>
      </c>
      <c r="C38" s="29">
        <v>2.7</v>
      </c>
      <c r="D38" s="49" t="s">
        <v>272</v>
      </c>
    </row>
    <row r="39" spans="1:5" ht="15" customHeight="1" x14ac:dyDescent="0.35">
      <c r="B39" s="29">
        <v>3.5</v>
      </c>
      <c r="C39" s="29">
        <v>3.1</v>
      </c>
      <c r="D39" s="49" t="s">
        <v>273</v>
      </c>
    </row>
    <row r="40" spans="1:5" ht="15" customHeight="1" x14ac:dyDescent="0.35">
      <c r="B40" s="29">
        <v>4</v>
      </c>
      <c r="C40" s="29">
        <v>3.5</v>
      </c>
      <c r="D40" s="49" t="s">
        <v>274</v>
      </c>
    </row>
    <row r="41" spans="1:5" ht="15" customHeight="1" x14ac:dyDescent="0.35">
      <c r="B41" s="29">
        <v>4.5</v>
      </c>
      <c r="C41" s="29">
        <v>3.9</v>
      </c>
      <c r="D41" s="49" t="s">
        <v>275</v>
      </c>
    </row>
    <row r="42" spans="1:5" ht="15" customHeight="1" x14ac:dyDescent="0.35">
      <c r="B42" s="29">
        <v>5</v>
      </c>
      <c r="C42" s="29">
        <v>4.3</v>
      </c>
      <c r="D42" s="49" t="s">
        <v>276</v>
      </c>
    </row>
    <row r="43" spans="1:5" ht="15" customHeight="1" x14ac:dyDescent="0.35">
      <c r="B43" s="29">
        <v>5.5</v>
      </c>
      <c r="C43" s="29">
        <v>4.5999999999999996</v>
      </c>
      <c r="D43" s="49" t="s">
        <v>277</v>
      </c>
    </row>
    <row r="44" spans="1:5" ht="15" customHeight="1" x14ac:dyDescent="0.35">
      <c r="B44" s="29">
        <v>6</v>
      </c>
      <c r="C44" s="29">
        <v>5</v>
      </c>
      <c r="D44" s="49" t="s">
        <v>278</v>
      </c>
    </row>
    <row r="45" spans="1:5" ht="15" customHeight="1" x14ac:dyDescent="0.35">
      <c r="B45" s="29">
        <v>6.5</v>
      </c>
      <c r="C45" s="29">
        <v>5.4</v>
      </c>
      <c r="D45" s="49" t="s">
        <v>279</v>
      </c>
    </row>
    <row r="46" spans="1:5" ht="15" customHeight="1" x14ac:dyDescent="0.35">
      <c r="B46" s="29">
        <v>7</v>
      </c>
      <c r="C46" s="29">
        <v>5.6</v>
      </c>
      <c r="D46" s="49" t="s">
        <v>280</v>
      </c>
    </row>
    <row r="49" spans="1:12" ht="15" customHeight="1" x14ac:dyDescent="0.35">
      <c r="A49" s="3" t="s">
        <v>281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48" customHeight="1" x14ac:dyDescent="0.35">
      <c r="A50" s="100" t="s">
        <v>263</v>
      </c>
      <c r="B50" s="99" t="s">
        <v>282</v>
      </c>
      <c r="C50" s="99" t="s">
        <v>231</v>
      </c>
      <c r="D50" s="99" t="s">
        <v>63</v>
      </c>
    </row>
    <row r="51" spans="1:12" ht="15" customHeight="1" x14ac:dyDescent="0.35">
      <c r="B51" s="47" t="s">
        <v>237</v>
      </c>
      <c r="C51" s="31">
        <v>5820</v>
      </c>
      <c r="D51" s="49" t="s">
        <v>283</v>
      </c>
    </row>
    <row r="52" spans="1:12" ht="15" customHeight="1" x14ac:dyDescent="0.35">
      <c r="B52" s="47" t="s">
        <v>284</v>
      </c>
      <c r="C52" s="31">
        <v>4890</v>
      </c>
      <c r="D52" s="49" t="s">
        <v>285</v>
      </c>
    </row>
    <row r="53" spans="1:12" ht="15" customHeight="1" x14ac:dyDescent="0.35">
      <c r="B53" s="47" t="s">
        <v>235</v>
      </c>
      <c r="C53" s="31">
        <v>3660</v>
      </c>
      <c r="D53" s="49" t="s">
        <v>286</v>
      </c>
    </row>
    <row r="54" spans="1:12" ht="15" customHeight="1" x14ac:dyDescent="0.35">
      <c r="B54" s="47" t="s">
        <v>287</v>
      </c>
      <c r="C54" s="31">
        <v>8720</v>
      </c>
      <c r="D54" s="49" t="s">
        <v>288</v>
      </c>
    </row>
    <row r="55" spans="1:12" ht="15" customHeight="1" x14ac:dyDescent="0.35">
      <c r="B55" s="47" t="s">
        <v>289</v>
      </c>
      <c r="C55" s="31">
        <v>5820</v>
      </c>
      <c r="D55" s="49" t="s">
        <v>290</v>
      </c>
    </row>
    <row r="57" spans="1:12" ht="24" customHeight="1" x14ac:dyDescent="0.35">
      <c r="A57" s="111" t="s">
        <v>291</v>
      </c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</row>
    <row r="58" spans="1:12" ht="15" customHeight="1" x14ac:dyDescent="0.35">
      <c r="A58" s="112" t="s">
        <v>87</v>
      </c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</row>
  </sheetData>
  <mergeCells count="7">
    <mergeCell ref="A58:L58"/>
    <mergeCell ref="A57:L57"/>
    <mergeCell ref="A2:L2"/>
    <mergeCell ref="B30:L30"/>
    <mergeCell ref="B29:L29"/>
    <mergeCell ref="A5:L5"/>
    <mergeCell ref="A6:L6"/>
  </mergeCells>
  <conditionalFormatting sqref="A29:B29">
    <cfRule type="expression" dxfId="8" priority="2">
      <formula>ISNUMBER(SEARCH("WARNUNG",$B$29))</formula>
    </cfRule>
    <cfRule type="expression" dxfId="7" priority="3">
      <formula>LEFT($B$29,2)="OK"</formula>
    </cfRule>
  </conditionalFormatting>
  <dataValidations count="2">
    <dataValidation type="list" allowBlank="1" sqref="G8:G17" xr:uid="{00000000-0002-0000-0200-000000000000}">
      <formula1>$B$51:$B$55</formula1>
      <formula2>0</formula2>
    </dataValidation>
    <dataValidation type="decimal" operator="greaterThanOrEqual" allowBlank="1" sqref="B8:C17 E8:E17 I8:I17" xr:uid="{00000000-0002-0000-02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24"/>
  <sheetViews>
    <sheetView showGridLines="0" topLeftCell="H29" zoomScale="85" zoomScaleNormal="85" workbookViewId="0">
      <selection activeCell="S22" sqref="S22"/>
    </sheetView>
  </sheetViews>
  <sheetFormatPr baseColWidth="10" defaultColWidth="8.6328125" defaultRowHeight="14.5" x14ac:dyDescent="0.35"/>
  <cols>
    <col min="1" max="1" width="46" customWidth="1"/>
    <col min="2" max="2" width="16" customWidth="1"/>
    <col min="3" max="3" width="12" customWidth="1"/>
    <col min="4" max="6" width="6" customWidth="1"/>
    <col min="7" max="8" width="8" customWidth="1"/>
    <col min="9" max="11" width="10" customWidth="1"/>
    <col min="12" max="12" width="12" customWidth="1"/>
    <col min="13" max="13" width="11" customWidth="1"/>
    <col min="14" max="14" width="12" customWidth="1"/>
    <col min="15" max="16" width="10" customWidth="1"/>
    <col min="17" max="17" width="13" customWidth="1"/>
    <col min="18" max="18" width="12" customWidth="1"/>
  </cols>
  <sheetData>
    <row r="1" spans="1:20" ht="17.25" customHeight="1" x14ac:dyDescent="0.35">
      <c r="A1" s="89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5" customHeight="1" x14ac:dyDescent="0.35">
      <c r="A2" s="112" t="s">
        <v>293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spans="1:20" ht="15" customHeight="1" x14ac:dyDescent="0.35">
      <c r="A3" s="3" t="s">
        <v>294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0" ht="15" customHeight="1" x14ac:dyDescent="0.35">
      <c r="A4" s="4" t="s">
        <v>295</v>
      </c>
      <c r="B4" s="30">
        <f>Eingaben!$B$58</f>
        <v>75</v>
      </c>
      <c r="C4" s="7" t="s">
        <v>19</v>
      </c>
      <c r="D4" s="7" t="s">
        <v>296</v>
      </c>
    </row>
    <row r="5" spans="1:20" ht="15" customHeight="1" x14ac:dyDescent="0.35">
      <c r="A5" s="4" t="s">
        <v>297</v>
      </c>
      <c r="B5" s="30">
        <f>Eingaben!B19</f>
        <v>17.600000000000001</v>
      </c>
      <c r="C5" s="7" t="s">
        <v>27</v>
      </c>
      <c r="D5" s="7" t="s">
        <v>298</v>
      </c>
    </row>
    <row r="6" spans="1:20" ht="15" customHeight="1" x14ac:dyDescent="0.35">
      <c r="A6" s="4" t="s">
        <v>299</v>
      </c>
      <c r="B6" s="13">
        <f>Eingaben!B11*B5</f>
        <v>1056</v>
      </c>
      <c r="C6" s="7" t="s">
        <v>300</v>
      </c>
      <c r="D6" s="7" t="s">
        <v>301</v>
      </c>
    </row>
    <row r="7" spans="1:20" ht="15" customHeight="1" x14ac:dyDescent="0.35">
      <c r="A7" s="4" t="s">
        <v>302</v>
      </c>
      <c r="B7" s="8">
        <v>60</v>
      </c>
      <c r="C7" s="7" t="s">
        <v>35</v>
      </c>
      <c r="D7" s="7" t="s">
        <v>303</v>
      </c>
    </row>
    <row r="8" spans="1:20" ht="15" customHeight="1" x14ac:dyDescent="0.35">
      <c r="A8" s="4" t="s">
        <v>304</v>
      </c>
      <c r="B8" s="13">
        <f>B7-Eingaben!B23</f>
        <v>50</v>
      </c>
      <c r="C8" s="7" t="s">
        <v>42</v>
      </c>
      <c r="D8" s="7" t="s">
        <v>305</v>
      </c>
    </row>
    <row r="9" spans="1:20" ht="15" customHeight="1" x14ac:dyDescent="0.35">
      <c r="A9" s="4" t="s">
        <v>306</v>
      </c>
      <c r="B9" s="10">
        <f>B6*B8*1.163/1000</f>
        <v>61.406400000000005</v>
      </c>
      <c r="C9" s="7" t="s">
        <v>117</v>
      </c>
      <c r="D9" s="7" t="s">
        <v>307</v>
      </c>
    </row>
    <row r="10" spans="1:20" ht="15" customHeight="1" x14ac:dyDescent="0.35">
      <c r="A10" s="4" t="s">
        <v>308</v>
      </c>
      <c r="B10" s="10">
        <f>Eingaben!B29*24</f>
        <v>4.8000000000000007</v>
      </c>
      <c r="C10" s="7" t="s">
        <v>117</v>
      </c>
      <c r="D10" s="7" t="s">
        <v>309</v>
      </c>
    </row>
    <row r="11" spans="1:20" ht="15" customHeight="1" x14ac:dyDescent="0.35">
      <c r="A11" s="4" t="s">
        <v>310</v>
      </c>
      <c r="B11" s="53">
        <f>B9+B10</f>
        <v>66.206400000000002</v>
      </c>
      <c r="C11" s="7" t="s">
        <v>117</v>
      </c>
      <c r="D11" s="7" t="s">
        <v>311</v>
      </c>
    </row>
    <row r="12" spans="1:20" ht="15" customHeight="1" x14ac:dyDescent="0.35">
      <c r="A12" s="4" t="s">
        <v>312</v>
      </c>
      <c r="B12" s="30">
        <f>Eingaben!B28</f>
        <v>4</v>
      </c>
      <c r="C12" s="7" t="s">
        <v>46</v>
      </c>
      <c r="D12" s="7" t="s">
        <v>313</v>
      </c>
    </row>
    <row r="13" spans="1:20" ht="15" customHeight="1" x14ac:dyDescent="0.35">
      <c r="A13" s="4" t="s">
        <v>314</v>
      </c>
      <c r="B13" s="10">
        <f>B12*24</f>
        <v>96</v>
      </c>
      <c r="C13" s="7" t="s">
        <v>117</v>
      </c>
      <c r="D13" s="7" t="s">
        <v>315</v>
      </c>
    </row>
    <row r="14" spans="1:20" ht="15" customHeight="1" x14ac:dyDescent="0.35">
      <c r="A14" s="4" t="s">
        <v>316</v>
      </c>
      <c r="B14" s="28" t="str">
        <f>IF($B$13&gt;=$B$11,"OK: P_lade × 24 h deckt den mittleren Tagesbedarf.","WARNUNG: P_lade × 24 h &lt; Tagesbedarf — Speichervolumen ersetzt keine Ladeleistung!")</f>
        <v>OK: P_lade × 24 h deckt den mittleren Tagesbedarf.</v>
      </c>
    </row>
    <row r="15" spans="1:20" ht="15" customHeight="1" x14ac:dyDescent="0.35">
      <c r="A15" s="4" t="s">
        <v>317</v>
      </c>
      <c r="B15" s="10">
        <f>B11/24</f>
        <v>2.7585999999999999</v>
      </c>
      <c r="C15" s="7" t="s">
        <v>46</v>
      </c>
      <c r="D15" s="7" t="s">
        <v>318</v>
      </c>
    </row>
    <row r="16" spans="1:20" ht="15" customHeight="1" x14ac:dyDescent="0.35">
      <c r="A16" s="4" t="s">
        <v>319</v>
      </c>
      <c r="B16" s="26">
        <f>Zapfprofil!B8</f>
        <v>1</v>
      </c>
      <c r="C16" s="7" t="s">
        <v>53</v>
      </c>
      <c r="D16" s="7" t="s">
        <v>320</v>
      </c>
    </row>
    <row r="17" spans="1:20" ht="15" customHeight="1" x14ac:dyDescent="0.35">
      <c r="A17" s="11" t="s">
        <v>321</v>
      </c>
      <c r="B17" s="53">
        <f>7*B9</f>
        <v>429.84480000000002</v>
      </c>
      <c r="C17" s="7" t="s">
        <v>322</v>
      </c>
      <c r="D17" s="7" t="s">
        <v>323</v>
      </c>
    </row>
    <row r="19" spans="1:20" ht="15" customHeight="1" x14ac:dyDescent="0.35">
      <c r="A19" s="3" t="s">
        <v>324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0" ht="24" customHeight="1" x14ac:dyDescent="0.35">
      <c r="A20" s="111" t="s">
        <v>325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</row>
    <row r="21" spans="1:20" ht="31.5" customHeight="1" x14ac:dyDescent="0.35">
      <c r="D21" s="15" t="s">
        <v>326</v>
      </c>
      <c r="E21" s="15" t="s">
        <v>327</v>
      </c>
      <c r="F21" s="15" t="s">
        <v>328</v>
      </c>
      <c r="G21" s="15" t="s">
        <v>329</v>
      </c>
      <c r="H21" s="15" t="s">
        <v>169</v>
      </c>
      <c r="I21" s="15" t="s">
        <v>330</v>
      </c>
      <c r="J21" s="15" t="s">
        <v>331</v>
      </c>
      <c r="K21" s="15" t="s">
        <v>332</v>
      </c>
      <c r="L21" s="15" t="s">
        <v>333</v>
      </c>
      <c r="M21" s="15" t="s">
        <v>334</v>
      </c>
      <c r="N21" s="15" t="s">
        <v>335</v>
      </c>
      <c r="O21" s="15" t="s">
        <v>336</v>
      </c>
      <c r="P21" s="15" t="s">
        <v>337</v>
      </c>
      <c r="Q21" s="15" t="s">
        <v>338</v>
      </c>
      <c r="R21" s="15" t="s">
        <v>339</v>
      </c>
      <c r="S21" s="15" t="s">
        <v>553</v>
      </c>
    </row>
    <row r="22" spans="1:20" ht="15" customHeight="1" x14ac:dyDescent="0.35">
      <c r="D22" s="54">
        <v>1</v>
      </c>
      <c r="E22" s="54">
        <f t="shared" ref="E22:E85" si="0">INT((D22-1)/24)+1</f>
        <v>1</v>
      </c>
      <c r="F22" s="54">
        <f t="shared" ref="F22:F85" si="1">MOD(E22-1,7)+1</f>
        <v>1</v>
      </c>
      <c r="G22" s="55" t="str">
        <f t="shared" ref="G22:G85" si="2">CHOOSE(F22,"Mo","Di","Mi","Do","Fr","Sa","So")</f>
        <v>Mo</v>
      </c>
      <c r="H22" s="56">
        <f t="shared" ref="H22:H85" si="3">MOD(D22-1,24)</f>
        <v>0</v>
      </c>
      <c r="I22" s="55" t="str">
        <f t="shared" ref="I22:I85" si="4">IF(F22&lt;=5,"Werktag",IF(F22=6,"Samstag","Sonntag"))</f>
        <v>Werktag</v>
      </c>
      <c r="J22" s="35">
        <f>INDEX(Zapfprofil!$B$61:$H$61,F22)</f>
        <v>0.19</v>
      </c>
      <c r="K22" s="35">
        <f>INDEX(Zapfprofil!$AL$19:$AN$42,H22+1,IF(F22&lt;=5,1,IF(F22=6,2,3)))</f>
        <v>0</v>
      </c>
      <c r="L22" s="57">
        <f t="shared" ref="L22:L85" si="5">$B$17*J22*K22*$B$16</f>
        <v>0</v>
      </c>
      <c r="M22" s="57">
        <f>Eingaben!$B$29</f>
        <v>0.2</v>
      </c>
      <c r="N22" s="57">
        <f t="shared" ref="N22:N85" si="6">L22+M22</f>
        <v>0.2</v>
      </c>
      <c r="O22" s="57">
        <f t="shared" ref="O22:O85" si="7">$B$12</f>
        <v>4</v>
      </c>
      <c r="P22" s="57">
        <f t="shared" ref="P22:P85" si="8">N22-O22</f>
        <v>-3.8</v>
      </c>
      <c r="Q22" s="58">
        <f>MAX(0,P22)</f>
        <v>0</v>
      </c>
      <c r="R22" s="55" t="str">
        <f t="shared" ref="R22:R85" si="9">G22&amp;" "&amp;RIGHT("0"&amp;H22,2)&amp;":00"</f>
        <v>Mo 00:00</v>
      </c>
      <c r="S22" s="58">
        <f>MAX(0,$B$419-Q22)</f>
        <v>37.216000000000001</v>
      </c>
      <c r="T22" s="7" t="s">
        <v>340</v>
      </c>
    </row>
    <row r="23" spans="1:20" ht="15" customHeight="1" x14ac:dyDescent="0.35">
      <c r="D23" s="54">
        <v>2</v>
      </c>
      <c r="E23" s="54">
        <f t="shared" si="0"/>
        <v>1</v>
      </c>
      <c r="F23" s="54">
        <f t="shared" si="1"/>
        <v>1</v>
      </c>
      <c r="G23" s="55" t="str">
        <f t="shared" si="2"/>
        <v>Mo</v>
      </c>
      <c r="H23" s="56">
        <f t="shared" si="3"/>
        <v>1</v>
      </c>
      <c r="I23" s="55" t="str">
        <f t="shared" si="4"/>
        <v>Werktag</v>
      </c>
      <c r="J23" s="35">
        <f>INDEX(Zapfprofil!$B$61:$H$61,F23)</f>
        <v>0.19</v>
      </c>
      <c r="K23" s="35">
        <f>INDEX(Zapfprofil!$AL$19:$AN$42,H23+1,IF(F23&lt;=5,1,IF(F23=6,2,3)))</f>
        <v>0</v>
      </c>
      <c r="L23" s="57">
        <f t="shared" si="5"/>
        <v>0</v>
      </c>
      <c r="M23" s="57">
        <f>Eingaben!$B$29</f>
        <v>0.2</v>
      </c>
      <c r="N23" s="57">
        <f t="shared" si="6"/>
        <v>0.2</v>
      </c>
      <c r="O23" s="57">
        <f t="shared" si="7"/>
        <v>4</v>
      </c>
      <c r="P23" s="57">
        <f t="shared" si="8"/>
        <v>-3.8</v>
      </c>
      <c r="Q23" s="58">
        <f t="shared" ref="Q23:Q86" si="10">MAX(0,Q22+P23)</f>
        <v>0</v>
      </c>
      <c r="R23" s="55" t="str">
        <f t="shared" si="9"/>
        <v>Mo 01:00</v>
      </c>
      <c r="S23" s="58">
        <f t="shared" ref="S23:S86" si="11">MAX(0,$B$419-Q23)</f>
        <v>37.216000000000001</v>
      </c>
    </row>
    <row r="24" spans="1:20" ht="15" customHeight="1" x14ac:dyDescent="0.35">
      <c r="D24" s="54">
        <v>3</v>
      </c>
      <c r="E24" s="54">
        <f t="shared" si="0"/>
        <v>1</v>
      </c>
      <c r="F24" s="54">
        <f t="shared" si="1"/>
        <v>1</v>
      </c>
      <c r="G24" s="55" t="str">
        <f t="shared" si="2"/>
        <v>Mo</v>
      </c>
      <c r="H24" s="56">
        <f t="shared" si="3"/>
        <v>2</v>
      </c>
      <c r="I24" s="55" t="str">
        <f t="shared" si="4"/>
        <v>Werktag</v>
      </c>
      <c r="J24" s="35">
        <f>INDEX(Zapfprofil!$B$61:$H$61,F24)</f>
        <v>0.19</v>
      </c>
      <c r="K24" s="35">
        <f>INDEX(Zapfprofil!$AL$19:$AN$42,H24+1,IF(F24&lt;=5,1,IF(F24=6,2,3)))</f>
        <v>0</v>
      </c>
      <c r="L24" s="57">
        <f t="shared" si="5"/>
        <v>0</v>
      </c>
      <c r="M24" s="57">
        <f>Eingaben!$B$29</f>
        <v>0.2</v>
      </c>
      <c r="N24" s="57">
        <f t="shared" si="6"/>
        <v>0.2</v>
      </c>
      <c r="O24" s="57">
        <f t="shared" si="7"/>
        <v>4</v>
      </c>
      <c r="P24" s="57">
        <f t="shared" si="8"/>
        <v>-3.8</v>
      </c>
      <c r="Q24" s="58">
        <f t="shared" si="10"/>
        <v>0</v>
      </c>
      <c r="R24" s="55" t="str">
        <f t="shared" si="9"/>
        <v>Mo 02:00</v>
      </c>
      <c r="S24" s="58">
        <f t="shared" si="11"/>
        <v>37.216000000000001</v>
      </c>
    </row>
    <row r="25" spans="1:20" ht="15" customHeight="1" x14ac:dyDescent="0.35">
      <c r="D25" s="54">
        <v>4</v>
      </c>
      <c r="E25" s="54">
        <f t="shared" si="0"/>
        <v>1</v>
      </c>
      <c r="F25" s="54">
        <f t="shared" si="1"/>
        <v>1</v>
      </c>
      <c r="G25" s="55" t="str">
        <f t="shared" si="2"/>
        <v>Mo</v>
      </c>
      <c r="H25" s="56">
        <f t="shared" si="3"/>
        <v>3</v>
      </c>
      <c r="I25" s="55" t="str">
        <f t="shared" si="4"/>
        <v>Werktag</v>
      </c>
      <c r="J25" s="35">
        <f>INDEX(Zapfprofil!$B$61:$H$61,F25)</f>
        <v>0.19</v>
      </c>
      <c r="K25" s="35">
        <f>INDEX(Zapfprofil!$AL$19:$AN$42,H25+1,IF(F25&lt;=5,1,IF(F25=6,2,3)))</f>
        <v>0</v>
      </c>
      <c r="L25" s="57">
        <f t="shared" si="5"/>
        <v>0</v>
      </c>
      <c r="M25" s="57">
        <f>Eingaben!$B$29</f>
        <v>0.2</v>
      </c>
      <c r="N25" s="57">
        <f t="shared" si="6"/>
        <v>0.2</v>
      </c>
      <c r="O25" s="57">
        <f t="shared" si="7"/>
        <v>4</v>
      </c>
      <c r="P25" s="57">
        <f t="shared" si="8"/>
        <v>-3.8</v>
      </c>
      <c r="Q25" s="58">
        <f t="shared" si="10"/>
        <v>0</v>
      </c>
      <c r="R25" s="55" t="str">
        <f t="shared" si="9"/>
        <v>Mo 03:00</v>
      </c>
      <c r="S25" s="58">
        <f t="shared" si="11"/>
        <v>37.216000000000001</v>
      </c>
    </row>
    <row r="26" spans="1:20" ht="15" customHeight="1" x14ac:dyDescent="0.35">
      <c r="D26" s="54">
        <v>5</v>
      </c>
      <c r="E26" s="54">
        <f t="shared" si="0"/>
        <v>1</v>
      </c>
      <c r="F26" s="54">
        <f t="shared" si="1"/>
        <v>1</v>
      </c>
      <c r="G26" s="55" t="str">
        <f t="shared" si="2"/>
        <v>Mo</v>
      </c>
      <c r="H26" s="56">
        <f t="shared" si="3"/>
        <v>4</v>
      </c>
      <c r="I26" s="55" t="str">
        <f t="shared" si="4"/>
        <v>Werktag</v>
      </c>
      <c r="J26" s="35">
        <f>INDEX(Zapfprofil!$B$61:$H$61,F26)</f>
        <v>0.19</v>
      </c>
      <c r="K26" s="35">
        <f>INDEX(Zapfprofil!$AL$19:$AN$42,H26+1,IF(F26&lt;=5,1,IF(F26=6,2,3)))</f>
        <v>0</v>
      </c>
      <c r="L26" s="57">
        <f t="shared" si="5"/>
        <v>0</v>
      </c>
      <c r="M26" s="57">
        <f>Eingaben!$B$29</f>
        <v>0.2</v>
      </c>
      <c r="N26" s="57">
        <f t="shared" si="6"/>
        <v>0.2</v>
      </c>
      <c r="O26" s="57">
        <f t="shared" si="7"/>
        <v>4</v>
      </c>
      <c r="P26" s="57">
        <f t="shared" si="8"/>
        <v>-3.8</v>
      </c>
      <c r="Q26" s="58">
        <f t="shared" si="10"/>
        <v>0</v>
      </c>
      <c r="R26" s="55" t="str">
        <f t="shared" si="9"/>
        <v>Mo 04:00</v>
      </c>
      <c r="S26" s="58">
        <f t="shared" si="11"/>
        <v>37.216000000000001</v>
      </c>
    </row>
    <row r="27" spans="1:20" ht="15" customHeight="1" x14ac:dyDescent="0.35">
      <c r="D27" s="54">
        <v>6</v>
      </c>
      <c r="E27" s="54">
        <f t="shared" si="0"/>
        <v>1</v>
      </c>
      <c r="F27" s="54">
        <f t="shared" si="1"/>
        <v>1</v>
      </c>
      <c r="G27" s="55" t="str">
        <f t="shared" si="2"/>
        <v>Mo</v>
      </c>
      <c r="H27" s="56">
        <f t="shared" si="3"/>
        <v>5</v>
      </c>
      <c r="I27" s="55" t="str">
        <f t="shared" si="4"/>
        <v>Werktag</v>
      </c>
      <c r="J27" s="35">
        <f>INDEX(Zapfprofil!$B$61:$H$61,F27)</f>
        <v>0.19</v>
      </c>
      <c r="K27" s="35">
        <f>INDEX(Zapfprofil!$AL$19:$AN$42,H27+1,IF(F27&lt;=5,1,IF(F27=6,2,3)))</f>
        <v>0</v>
      </c>
      <c r="L27" s="57">
        <f t="shared" si="5"/>
        <v>0</v>
      </c>
      <c r="M27" s="57">
        <f>Eingaben!$B$29</f>
        <v>0.2</v>
      </c>
      <c r="N27" s="57">
        <f t="shared" si="6"/>
        <v>0.2</v>
      </c>
      <c r="O27" s="57">
        <f t="shared" si="7"/>
        <v>4</v>
      </c>
      <c r="P27" s="57">
        <f t="shared" si="8"/>
        <v>-3.8</v>
      </c>
      <c r="Q27" s="58">
        <f t="shared" si="10"/>
        <v>0</v>
      </c>
      <c r="R27" s="55" t="str">
        <f t="shared" si="9"/>
        <v>Mo 05:00</v>
      </c>
      <c r="S27" s="58">
        <f t="shared" si="11"/>
        <v>37.216000000000001</v>
      </c>
    </row>
    <row r="28" spans="1:20" ht="15" customHeight="1" x14ac:dyDescent="0.35">
      <c r="D28" s="54">
        <v>7</v>
      </c>
      <c r="E28" s="54">
        <f t="shared" si="0"/>
        <v>1</v>
      </c>
      <c r="F28" s="54">
        <f t="shared" si="1"/>
        <v>1</v>
      </c>
      <c r="G28" s="55" t="str">
        <f t="shared" si="2"/>
        <v>Mo</v>
      </c>
      <c r="H28" s="56">
        <f t="shared" si="3"/>
        <v>6</v>
      </c>
      <c r="I28" s="55" t="str">
        <f t="shared" si="4"/>
        <v>Werktag</v>
      </c>
      <c r="J28" s="35">
        <f>INDEX(Zapfprofil!$B$61:$H$61,F28)</f>
        <v>0.19</v>
      </c>
      <c r="K28" s="35">
        <f>INDEX(Zapfprofil!$AL$19:$AN$42,H28+1,IF(F28&lt;=5,1,IF(F28=6,2,3)))</f>
        <v>0.02</v>
      </c>
      <c r="L28" s="57">
        <f t="shared" si="5"/>
        <v>1.6334102400000001</v>
      </c>
      <c r="M28" s="57">
        <f>Eingaben!$B$29</f>
        <v>0.2</v>
      </c>
      <c r="N28" s="57">
        <f t="shared" si="6"/>
        <v>1.8334102400000001</v>
      </c>
      <c r="O28" s="57">
        <f t="shared" si="7"/>
        <v>4</v>
      </c>
      <c r="P28" s="57">
        <f t="shared" si="8"/>
        <v>-2.1665897599999999</v>
      </c>
      <c r="Q28" s="58">
        <f t="shared" si="10"/>
        <v>0</v>
      </c>
      <c r="R28" s="55" t="str">
        <f t="shared" si="9"/>
        <v>Mo 06:00</v>
      </c>
      <c r="S28" s="58">
        <f t="shared" si="11"/>
        <v>37.216000000000001</v>
      </c>
    </row>
    <row r="29" spans="1:20" ht="15" customHeight="1" x14ac:dyDescent="0.35">
      <c r="D29" s="54">
        <v>8</v>
      </c>
      <c r="E29" s="54">
        <f t="shared" si="0"/>
        <v>1</v>
      </c>
      <c r="F29" s="54">
        <f t="shared" si="1"/>
        <v>1</v>
      </c>
      <c r="G29" s="55" t="str">
        <f t="shared" si="2"/>
        <v>Mo</v>
      </c>
      <c r="H29" s="56">
        <f t="shared" si="3"/>
        <v>7</v>
      </c>
      <c r="I29" s="55" t="str">
        <f t="shared" si="4"/>
        <v>Werktag</v>
      </c>
      <c r="J29" s="35">
        <f>INDEX(Zapfprofil!$B$61:$H$61,F29)</f>
        <v>0.19</v>
      </c>
      <c r="K29" s="35">
        <f>INDEX(Zapfprofil!$AL$19:$AN$42,H29+1,IF(F29&lt;=5,1,IF(F29=6,2,3)))</f>
        <v>0.06</v>
      </c>
      <c r="L29" s="57">
        <f t="shared" si="5"/>
        <v>4.9002307199999997</v>
      </c>
      <c r="M29" s="57">
        <f>Eingaben!$B$29</f>
        <v>0.2</v>
      </c>
      <c r="N29" s="57">
        <f t="shared" si="6"/>
        <v>5.1002307199999999</v>
      </c>
      <c r="O29" s="57">
        <f t="shared" si="7"/>
        <v>4</v>
      </c>
      <c r="P29" s="57">
        <f t="shared" si="8"/>
        <v>1.1002307199999999</v>
      </c>
      <c r="Q29" s="58">
        <f t="shared" si="10"/>
        <v>1.1002307199999999</v>
      </c>
      <c r="R29" s="55" t="str">
        <f t="shared" si="9"/>
        <v>Mo 07:00</v>
      </c>
      <c r="S29" s="58">
        <f t="shared" si="11"/>
        <v>36.115769280000002</v>
      </c>
    </row>
    <row r="30" spans="1:20" ht="15" customHeight="1" x14ac:dyDescent="0.35">
      <c r="D30" s="54">
        <v>9</v>
      </c>
      <c r="E30" s="54">
        <f t="shared" si="0"/>
        <v>1</v>
      </c>
      <c r="F30" s="54">
        <f t="shared" si="1"/>
        <v>1</v>
      </c>
      <c r="G30" s="55" t="str">
        <f t="shared" si="2"/>
        <v>Mo</v>
      </c>
      <c r="H30" s="56">
        <f t="shared" si="3"/>
        <v>8</v>
      </c>
      <c r="I30" s="55" t="str">
        <f t="shared" si="4"/>
        <v>Werktag</v>
      </c>
      <c r="J30" s="35">
        <f>INDEX(Zapfprofil!$B$61:$H$61,F30)</f>
        <v>0.19</v>
      </c>
      <c r="K30" s="35">
        <f>INDEX(Zapfprofil!$AL$19:$AN$42,H30+1,IF(F30&lt;=5,1,IF(F30=6,2,3)))</f>
        <v>0.08</v>
      </c>
      <c r="L30" s="57">
        <f t="shared" si="5"/>
        <v>6.5336409600000005</v>
      </c>
      <c r="M30" s="57">
        <f>Eingaben!$B$29</f>
        <v>0.2</v>
      </c>
      <c r="N30" s="57">
        <f t="shared" si="6"/>
        <v>6.7336409600000007</v>
      </c>
      <c r="O30" s="57">
        <f t="shared" si="7"/>
        <v>4</v>
      </c>
      <c r="P30" s="57">
        <f t="shared" si="8"/>
        <v>2.7336409600000007</v>
      </c>
      <c r="Q30" s="58">
        <f t="shared" si="10"/>
        <v>3.8338716800000006</v>
      </c>
      <c r="R30" s="55" t="str">
        <f t="shared" si="9"/>
        <v>Mo 08:00</v>
      </c>
      <c r="S30" s="58">
        <f t="shared" si="11"/>
        <v>33.38212832</v>
      </c>
    </row>
    <row r="31" spans="1:20" ht="15" customHeight="1" x14ac:dyDescent="0.35">
      <c r="D31" s="54">
        <v>10</v>
      </c>
      <c r="E31" s="54">
        <f t="shared" si="0"/>
        <v>1</v>
      </c>
      <c r="F31" s="54">
        <f t="shared" si="1"/>
        <v>1</v>
      </c>
      <c r="G31" s="55" t="str">
        <f t="shared" si="2"/>
        <v>Mo</v>
      </c>
      <c r="H31" s="56">
        <f t="shared" si="3"/>
        <v>9</v>
      </c>
      <c r="I31" s="55" t="str">
        <f t="shared" si="4"/>
        <v>Werktag</v>
      </c>
      <c r="J31" s="35">
        <f>INDEX(Zapfprofil!$B$61:$H$61,F31)</f>
        <v>0.19</v>
      </c>
      <c r="K31" s="35">
        <f>INDEX(Zapfprofil!$AL$19:$AN$42,H31+1,IF(F31&lt;=5,1,IF(F31=6,2,3)))</f>
        <v>8.5000000000000006E-2</v>
      </c>
      <c r="L31" s="57">
        <f t="shared" si="5"/>
        <v>6.9419935200000005</v>
      </c>
      <c r="M31" s="57">
        <f>Eingaben!$B$29</f>
        <v>0.2</v>
      </c>
      <c r="N31" s="57">
        <f t="shared" si="6"/>
        <v>7.1419935200000007</v>
      </c>
      <c r="O31" s="57">
        <f t="shared" si="7"/>
        <v>4</v>
      </c>
      <c r="P31" s="57">
        <f t="shared" si="8"/>
        <v>3.1419935200000007</v>
      </c>
      <c r="Q31" s="58">
        <f t="shared" si="10"/>
        <v>6.9758652000000012</v>
      </c>
      <c r="R31" s="55" t="str">
        <f t="shared" si="9"/>
        <v>Mo 09:00</v>
      </c>
      <c r="S31" s="58">
        <f t="shared" si="11"/>
        <v>30.2401348</v>
      </c>
    </row>
    <row r="32" spans="1:20" ht="15" customHeight="1" x14ac:dyDescent="0.35">
      <c r="D32" s="54">
        <v>11</v>
      </c>
      <c r="E32" s="54">
        <f t="shared" si="0"/>
        <v>1</v>
      </c>
      <c r="F32" s="54">
        <f t="shared" si="1"/>
        <v>1</v>
      </c>
      <c r="G32" s="55" t="str">
        <f t="shared" si="2"/>
        <v>Mo</v>
      </c>
      <c r="H32" s="56">
        <f t="shared" si="3"/>
        <v>10</v>
      </c>
      <c r="I32" s="55" t="str">
        <f t="shared" si="4"/>
        <v>Werktag</v>
      </c>
      <c r="J32" s="35">
        <f>INDEX(Zapfprofil!$B$61:$H$61,F32)</f>
        <v>0.19</v>
      </c>
      <c r="K32" s="35">
        <f>INDEX(Zapfprofil!$AL$19:$AN$42,H32+1,IF(F32&lt;=5,1,IF(F32=6,2,3)))</f>
        <v>8.5000000000000006E-2</v>
      </c>
      <c r="L32" s="57">
        <f t="shared" si="5"/>
        <v>6.9419935200000005</v>
      </c>
      <c r="M32" s="57">
        <f>Eingaben!$B$29</f>
        <v>0.2</v>
      </c>
      <c r="N32" s="57">
        <f t="shared" si="6"/>
        <v>7.1419935200000007</v>
      </c>
      <c r="O32" s="57">
        <f t="shared" si="7"/>
        <v>4</v>
      </c>
      <c r="P32" s="57">
        <f t="shared" si="8"/>
        <v>3.1419935200000007</v>
      </c>
      <c r="Q32" s="58">
        <f t="shared" si="10"/>
        <v>10.117858720000001</v>
      </c>
      <c r="R32" s="55" t="str">
        <f t="shared" si="9"/>
        <v>Mo 10:00</v>
      </c>
      <c r="S32" s="58">
        <f t="shared" si="11"/>
        <v>27.09814128</v>
      </c>
    </row>
    <row r="33" spans="4:19" ht="15" customHeight="1" x14ac:dyDescent="0.35">
      <c r="D33" s="54">
        <v>12</v>
      </c>
      <c r="E33" s="54">
        <f t="shared" si="0"/>
        <v>1</v>
      </c>
      <c r="F33" s="54">
        <f t="shared" si="1"/>
        <v>1</v>
      </c>
      <c r="G33" s="55" t="str">
        <f t="shared" si="2"/>
        <v>Mo</v>
      </c>
      <c r="H33" s="56">
        <f t="shared" si="3"/>
        <v>11</v>
      </c>
      <c r="I33" s="55" t="str">
        <f t="shared" si="4"/>
        <v>Werktag</v>
      </c>
      <c r="J33" s="35">
        <f>INDEX(Zapfprofil!$B$61:$H$61,F33)</f>
        <v>0.19</v>
      </c>
      <c r="K33" s="35">
        <f>INDEX(Zapfprofil!$AL$19:$AN$42,H33+1,IF(F33&lt;=5,1,IF(F33=6,2,3)))</f>
        <v>0.09</v>
      </c>
      <c r="L33" s="57">
        <f t="shared" si="5"/>
        <v>7.3503460799999996</v>
      </c>
      <c r="M33" s="57">
        <f>Eingaben!$B$29</f>
        <v>0.2</v>
      </c>
      <c r="N33" s="57">
        <f t="shared" si="6"/>
        <v>7.5503460799999997</v>
      </c>
      <c r="O33" s="57">
        <f t="shared" si="7"/>
        <v>4</v>
      </c>
      <c r="P33" s="57">
        <f t="shared" si="8"/>
        <v>3.5503460799999997</v>
      </c>
      <c r="Q33" s="58">
        <f t="shared" si="10"/>
        <v>13.668204800000002</v>
      </c>
      <c r="R33" s="55" t="str">
        <f t="shared" si="9"/>
        <v>Mo 11:00</v>
      </c>
      <c r="S33" s="58">
        <f t="shared" si="11"/>
        <v>23.547795199999999</v>
      </c>
    </row>
    <row r="34" spans="4:19" ht="15" customHeight="1" x14ac:dyDescent="0.35">
      <c r="D34" s="54">
        <v>13</v>
      </c>
      <c r="E34" s="54">
        <f t="shared" si="0"/>
        <v>1</v>
      </c>
      <c r="F34" s="54">
        <f t="shared" si="1"/>
        <v>1</v>
      </c>
      <c r="G34" s="55" t="str">
        <f t="shared" si="2"/>
        <v>Mo</v>
      </c>
      <c r="H34" s="56">
        <f t="shared" si="3"/>
        <v>12</v>
      </c>
      <c r="I34" s="55" t="str">
        <f t="shared" si="4"/>
        <v>Werktag</v>
      </c>
      <c r="J34" s="35">
        <f>INDEX(Zapfprofil!$B$61:$H$61,F34)</f>
        <v>0.19</v>
      </c>
      <c r="K34" s="35">
        <f>INDEX(Zapfprofil!$AL$19:$AN$42,H34+1,IF(F34&lt;=5,1,IF(F34=6,2,3)))</f>
        <v>0.1</v>
      </c>
      <c r="L34" s="57">
        <f t="shared" si="5"/>
        <v>8.1670512000000013</v>
      </c>
      <c r="M34" s="57">
        <f>Eingaben!$B$29</f>
        <v>0.2</v>
      </c>
      <c r="N34" s="57">
        <f t="shared" si="6"/>
        <v>8.3670512000000006</v>
      </c>
      <c r="O34" s="57">
        <f t="shared" si="7"/>
        <v>4</v>
      </c>
      <c r="P34" s="57">
        <f t="shared" si="8"/>
        <v>4.3670512000000006</v>
      </c>
      <c r="Q34" s="58">
        <f t="shared" si="10"/>
        <v>18.035256000000004</v>
      </c>
      <c r="R34" s="55" t="str">
        <f t="shared" si="9"/>
        <v>Mo 12:00</v>
      </c>
      <c r="S34" s="58">
        <f t="shared" si="11"/>
        <v>19.180743999999997</v>
      </c>
    </row>
    <row r="35" spans="4:19" ht="15" customHeight="1" x14ac:dyDescent="0.35">
      <c r="D35" s="54">
        <v>14</v>
      </c>
      <c r="E35" s="54">
        <f t="shared" si="0"/>
        <v>1</v>
      </c>
      <c r="F35" s="54">
        <f t="shared" si="1"/>
        <v>1</v>
      </c>
      <c r="G35" s="55" t="str">
        <f t="shared" si="2"/>
        <v>Mo</v>
      </c>
      <c r="H35" s="56">
        <f t="shared" si="3"/>
        <v>13</v>
      </c>
      <c r="I35" s="55" t="str">
        <f t="shared" si="4"/>
        <v>Werktag</v>
      </c>
      <c r="J35" s="35">
        <f>INDEX(Zapfprofil!$B$61:$H$61,F35)</f>
        <v>0.19</v>
      </c>
      <c r="K35" s="35">
        <f>INDEX(Zapfprofil!$AL$19:$AN$42,H35+1,IF(F35&lt;=5,1,IF(F35=6,2,3)))</f>
        <v>9.5000000000000001E-2</v>
      </c>
      <c r="L35" s="57">
        <f t="shared" si="5"/>
        <v>7.7586986400000004</v>
      </c>
      <c r="M35" s="57">
        <f>Eingaben!$B$29</f>
        <v>0.2</v>
      </c>
      <c r="N35" s="57">
        <f t="shared" si="6"/>
        <v>7.9586986400000006</v>
      </c>
      <c r="O35" s="57">
        <f t="shared" si="7"/>
        <v>4</v>
      </c>
      <c r="P35" s="57">
        <f t="shared" si="8"/>
        <v>3.9586986400000006</v>
      </c>
      <c r="Q35" s="58">
        <f t="shared" si="10"/>
        <v>21.993954640000005</v>
      </c>
      <c r="R35" s="55" t="str">
        <f t="shared" si="9"/>
        <v>Mo 13:00</v>
      </c>
      <c r="S35" s="58">
        <f t="shared" si="11"/>
        <v>15.222045359999996</v>
      </c>
    </row>
    <row r="36" spans="4:19" ht="15" customHeight="1" x14ac:dyDescent="0.35">
      <c r="D36" s="54">
        <v>15</v>
      </c>
      <c r="E36" s="54">
        <f t="shared" si="0"/>
        <v>1</v>
      </c>
      <c r="F36" s="54">
        <f t="shared" si="1"/>
        <v>1</v>
      </c>
      <c r="G36" s="55" t="str">
        <f t="shared" si="2"/>
        <v>Mo</v>
      </c>
      <c r="H36" s="56">
        <f t="shared" si="3"/>
        <v>14</v>
      </c>
      <c r="I36" s="55" t="str">
        <f t="shared" si="4"/>
        <v>Werktag</v>
      </c>
      <c r="J36" s="35">
        <f>INDEX(Zapfprofil!$B$61:$H$61,F36)</f>
        <v>0.19</v>
      </c>
      <c r="K36" s="35">
        <f>INDEX(Zapfprofil!$AL$19:$AN$42,H36+1,IF(F36&lt;=5,1,IF(F36=6,2,3)))</f>
        <v>8.5000000000000006E-2</v>
      </c>
      <c r="L36" s="57">
        <f t="shared" si="5"/>
        <v>6.9419935200000005</v>
      </c>
      <c r="M36" s="57">
        <f>Eingaben!$B$29</f>
        <v>0.2</v>
      </c>
      <c r="N36" s="57">
        <f t="shared" si="6"/>
        <v>7.1419935200000007</v>
      </c>
      <c r="O36" s="57">
        <f t="shared" si="7"/>
        <v>4</v>
      </c>
      <c r="P36" s="57">
        <f t="shared" si="8"/>
        <v>3.1419935200000007</v>
      </c>
      <c r="Q36" s="58">
        <f t="shared" si="10"/>
        <v>25.135948160000005</v>
      </c>
      <c r="R36" s="55" t="str">
        <f t="shared" si="9"/>
        <v>Mo 14:00</v>
      </c>
      <c r="S36" s="58">
        <f t="shared" si="11"/>
        <v>12.080051839999996</v>
      </c>
    </row>
    <row r="37" spans="4:19" ht="15" customHeight="1" x14ac:dyDescent="0.35">
      <c r="D37" s="54">
        <v>16</v>
      </c>
      <c r="E37" s="54">
        <f t="shared" si="0"/>
        <v>1</v>
      </c>
      <c r="F37" s="54">
        <f t="shared" si="1"/>
        <v>1</v>
      </c>
      <c r="G37" s="55" t="str">
        <f t="shared" si="2"/>
        <v>Mo</v>
      </c>
      <c r="H37" s="56">
        <f t="shared" si="3"/>
        <v>15</v>
      </c>
      <c r="I37" s="55" t="str">
        <f t="shared" si="4"/>
        <v>Werktag</v>
      </c>
      <c r="J37" s="35">
        <f>INDEX(Zapfprofil!$B$61:$H$61,F37)</f>
        <v>0.19</v>
      </c>
      <c r="K37" s="35">
        <f>INDEX(Zapfprofil!$AL$19:$AN$42,H37+1,IF(F37&lt;=5,1,IF(F37=6,2,3)))</f>
        <v>0.08</v>
      </c>
      <c r="L37" s="57">
        <f t="shared" si="5"/>
        <v>6.5336409600000005</v>
      </c>
      <c r="M37" s="57">
        <f>Eingaben!$B$29</f>
        <v>0.2</v>
      </c>
      <c r="N37" s="57">
        <f t="shared" si="6"/>
        <v>6.7336409600000007</v>
      </c>
      <c r="O37" s="57">
        <f t="shared" si="7"/>
        <v>4</v>
      </c>
      <c r="P37" s="57">
        <f t="shared" si="8"/>
        <v>2.7336409600000007</v>
      </c>
      <c r="Q37" s="58">
        <f t="shared" si="10"/>
        <v>27.869589120000008</v>
      </c>
      <c r="R37" s="55" t="str">
        <f t="shared" si="9"/>
        <v>Mo 15:00</v>
      </c>
      <c r="S37" s="58">
        <f t="shared" si="11"/>
        <v>9.3464108799999934</v>
      </c>
    </row>
    <row r="38" spans="4:19" ht="15" customHeight="1" x14ac:dyDescent="0.35">
      <c r="D38" s="54">
        <v>17</v>
      </c>
      <c r="E38" s="54">
        <f t="shared" si="0"/>
        <v>1</v>
      </c>
      <c r="F38" s="54">
        <f t="shared" si="1"/>
        <v>1</v>
      </c>
      <c r="G38" s="55" t="str">
        <f t="shared" si="2"/>
        <v>Mo</v>
      </c>
      <c r="H38" s="56">
        <f t="shared" si="3"/>
        <v>16</v>
      </c>
      <c r="I38" s="55" t="str">
        <f t="shared" si="4"/>
        <v>Werktag</v>
      </c>
      <c r="J38" s="35">
        <f>INDEX(Zapfprofil!$B$61:$H$61,F38)</f>
        <v>0.19</v>
      </c>
      <c r="K38" s="35">
        <f>INDEX(Zapfprofil!$AL$19:$AN$42,H38+1,IF(F38&lt;=5,1,IF(F38=6,2,3)))</f>
        <v>7.4999999999999997E-2</v>
      </c>
      <c r="L38" s="57">
        <f t="shared" si="5"/>
        <v>6.1252883999999996</v>
      </c>
      <c r="M38" s="57">
        <f>Eingaben!$B$29</f>
        <v>0.2</v>
      </c>
      <c r="N38" s="57">
        <f t="shared" si="6"/>
        <v>6.3252883999999998</v>
      </c>
      <c r="O38" s="57">
        <f t="shared" si="7"/>
        <v>4</v>
      </c>
      <c r="P38" s="57">
        <f t="shared" si="8"/>
        <v>2.3252883999999998</v>
      </c>
      <c r="Q38" s="58">
        <f t="shared" si="10"/>
        <v>30.194877520000006</v>
      </c>
      <c r="R38" s="55" t="str">
        <f t="shared" si="9"/>
        <v>Mo 16:00</v>
      </c>
      <c r="S38" s="58">
        <f t="shared" si="11"/>
        <v>7.0211224799999954</v>
      </c>
    </row>
    <row r="39" spans="4:19" ht="15" customHeight="1" x14ac:dyDescent="0.35">
      <c r="D39" s="54">
        <v>18</v>
      </c>
      <c r="E39" s="54">
        <f t="shared" si="0"/>
        <v>1</v>
      </c>
      <c r="F39" s="54">
        <f t="shared" si="1"/>
        <v>1</v>
      </c>
      <c r="G39" s="55" t="str">
        <f t="shared" si="2"/>
        <v>Mo</v>
      </c>
      <c r="H39" s="56">
        <f t="shared" si="3"/>
        <v>17</v>
      </c>
      <c r="I39" s="55" t="str">
        <f t="shared" si="4"/>
        <v>Werktag</v>
      </c>
      <c r="J39" s="35">
        <f>INDEX(Zapfprofil!$B$61:$H$61,F39)</f>
        <v>0.19</v>
      </c>
      <c r="K39" s="35">
        <f>INDEX(Zapfprofil!$AL$19:$AN$42,H39+1,IF(F39&lt;=5,1,IF(F39=6,2,3)))</f>
        <v>0.06</v>
      </c>
      <c r="L39" s="57">
        <f t="shared" si="5"/>
        <v>4.9002307199999997</v>
      </c>
      <c r="M39" s="57">
        <f>Eingaben!$B$29</f>
        <v>0.2</v>
      </c>
      <c r="N39" s="57">
        <f t="shared" si="6"/>
        <v>5.1002307199999999</v>
      </c>
      <c r="O39" s="57">
        <f t="shared" si="7"/>
        <v>4</v>
      </c>
      <c r="P39" s="57">
        <f t="shared" si="8"/>
        <v>1.1002307199999999</v>
      </c>
      <c r="Q39" s="58">
        <f t="shared" si="10"/>
        <v>31.295108240000005</v>
      </c>
      <c r="R39" s="55" t="str">
        <f t="shared" si="9"/>
        <v>Mo 17:00</v>
      </c>
      <c r="S39" s="58">
        <f t="shared" si="11"/>
        <v>5.9208917599999964</v>
      </c>
    </row>
    <row r="40" spans="4:19" ht="15" customHeight="1" x14ac:dyDescent="0.35">
      <c r="D40" s="54">
        <v>19</v>
      </c>
      <c r="E40" s="54">
        <f t="shared" si="0"/>
        <v>1</v>
      </c>
      <c r="F40" s="54">
        <f t="shared" si="1"/>
        <v>1</v>
      </c>
      <c r="G40" s="55" t="str">
        <f t="shared" si="2"/>
        <v>Mo</v>
      </c>
      <c r="H40" s="56">
        <f t="shared" si="3"/>
        <v>18</v>
      </c>
      <c r="I40" s="55" t="str">
        <f t="shared" si="4"/>
        <v>Werktag</v>
      </c>
      <c r="J40" s="35">
        <f>INDEX(Zapfprofil!$B$61:$H$61,F40)</f>
        <v>0.19</v>
      </c>
      <c r="K40" s="35">
        <f>INDEX(Zapfprofil!$AL$19:$AN$42,H40+1,IF(F40&lt;=5,1,IF(F40=6,2,3)))</f>
        <v>4.4999999999999998E-2</v>
      </c>
      <c r="L40" s="57">
        <f t="shared" si="5"/>
        <v>3.6751730399999998</v>
      </c>
      <c r="M40" s="57">
        <f>Eingaben!$B$29</f>
        <v>0.2</v>
      </c>
      <c r="N40" s="57">
        <f t="shared" si="6"/>
        <v>3.87517304</v>
      </c>
      <c r="O40" s="57">
        <f t="shared" si="7"/>
        <v>4</v>
      </c>
      <c r="P40" s="57">
        <f t="shared" si="8"/>
        <v>-0.12482696000000004</v>
      </c>
      <c r="Q40" s="58">
        <f t="shared" si="10"/>
        <v>31.170281280000005</v>
      </c>
      <c r="R40" s="55" t="str">
        <f t="shared" si="9"/>
        <v>Mo 18:00</v>
      </c>
      <c r="S40" s="58">
        <f t="shared" si="11"/>
        <v>6.0457187199999964</v>
      </c>
    </row>
    <row r="41" spans="4:19" ht="15" customHeight="1" x14ac:dyDescent="0.35">
      <c r="D41" s="54">
        <v>20</v>
      </c>
      <c r="E41" s="54">
        <f t="shared" si="0"/>
        <v>1</v>
      </c>
      <c r="F41" s="54">
        <f t="shared" si="1"/>
        <v>1</v>
      </c>
      <c r="G41" s="55" t="str">
        <f t="shared" si="2"/>
        <v>Mo</v>
      </c>
      <c r="H41" s="56">
        <f t="shared" si="3"/>
        <v>19</v>
      </c>
      <c r="I41" s="55" t="str">
        <f t="shared" si="4"/>
        <v>Werktag</v>
      </c>
      <c r="J41" s="35">
        <f>INDEX(Zapfprofil!$B$61:$H$61,F41)</f>
        <v>0.19</v>
      </c>
      <c r="K41" s="35">
        <f>INDEX(Zapfprofil!$AL$19:$AN$42,H41+1,IF(F41&lt;=5,1,IF(F41=6,2,3)))</f>
        <v>2.5000000000000001E-2</v>
      </c>
      <c r="L41" s="57">
        <f t="shared" si="5"/>
        <v>2.0417628000000003</v>
      </c>
      <c r="M41" s="57">
        <f>Eingaben!$B$29</f>
        <v>0.2</v>
      </c>
      <c r="N41" s="57">
        <f t="shared" si="6"/>
        <v>2.2417628000000005</v>
      </c>
      <c r="O41" s="57">
        <f t="shared" si="7"/>
        <v>4</v>
      </c>
      <c r="P41" s="57">
        <f t="shared" si="8"/>
        <v>-1.7582371999999995</v>
      </c>
      <c r="Q41" s="58">
        <f t="shared" si="10"/>
        <v>29.412044080000005</v>
      </c>
      <c r="R41" s="55" t="str">
        <f t="shared" si="9"/>
        <v>Mo 19:00</v>
      </c>
      <c r="S41" s="58">
        <f t="shared" si="11"/>
        <v>7.8039559199999964</v>
      </c>
    </row>
    <row r="42" spans="4:19" ht="15" customHeight="1" x14ac:dyDescent="0.35">
      <c r="D42" s="54">
        <v>21</v>
      </c>
      <c r="E42" s="54">
        <f t="shared" si="0"/>
        <v>1</v>
      </c>
      <c r="F42" s="54">
        <f t="shared" si="1"/>
        <v>1</v>
      </c>
      <c r="G42" s="55" t="str">
        <f t="shared" si="2"/>
        <v>Mo</v>
      </c>
      <c r="H42" s="56">
        <f t="shared" si="3"/>
        <v>20</v>
      </c>
      <c r="I42" s="55" t="str">
        <f t="shared" si="4"/>
        <v>Werktag</v>
      </c>
      <c r="J42" s="35">
        <f>INDEX(Zapfprofil!$B$61:$H$61,F42)</f>
        <v>0.19</v>
      </c>
      <c r="K42" s="35">
        <f>INDEX(Zapfprofil!$AL$19:$AN$42,H42+1,IF(F42&lt;=5,1,IF(F42=6,2,3)))</f>
        <v>1.4999999999999999E-2</v>
      </c>
      <c r="L42" s="57">
        <f t="shared" si="5"/>
        <v>1.2250576799999999</v>
      </c>
      <c r="M42" s="57">
        <f>Eingaben!$B$29</f>
        <v>0.2</v>
      </c>
      <c r="N42" s="57">
        <f t="shared" si="6"/>
        <v>1.4250576799999999</v>
      </c>
      <c r="O42" s="57">
        <f t="shared" si="7"/>
        <v>4</v>
      </c>
      <c r="P42" s="57">
        <f t="shared" si="8"/>
        <v>-2.5749423199999999</v>
      </c>
      <c r="Q42" s="58">
        <f t="shared" si="10"/>
        <v>26.837101760000003</v>
      </c>
      <c r="R42" s="55" t="str">
        <f t="shared" si="9"/>
        <v>Mo 20:00</v>
      </c>
      <c r="S42" s="58">
        <f t="shared" si="11"/>
        <v>10.378898239999998</v>
      </c>
    </row>
    <row r="43" spans="4:19" ht="15" customHeight="1" x14ac:dyDescent="0.35">
      <c r="D43" s="54">
        <v>22</v>
      </c>
      <c r="E43" s="54">
        <f t="shared" si="0"/>
        <v>1</v>
      </c>
      <c r="F43" s="54">
        <f t="shared" si="1"/>
        <v>1</v>
      </c>
      <c r="G43" s="55" t="str">
        <f t="shared" si="2"/>
        <v>Mo</v>
      </c>
      <c r="H43" s="56">
        <f t="shared" si="3"/>
        <v>21</v>
      </c>
      <c r="I43" s="55" t="str">
        <f t="shared" si="4"/>
        <v>Werktag</v>
      </c>
      <c r="J43" s="35">
        <f>INDEX(Zapfprofil!$B$61:$H$61,F43)</f>
        <v>0.19</v>
      </c>
      <c r="K43" s="35">
        <f>INDEX(Zapfprofil!$AL$19:$AN$42,H43+1,IF(F43&lt;=5,1,IF(F43=6,2,3)))</f>
        <v>0</v>
      </c>
      <c r="L43" s="57">
        <f t="shared" si="5"/>
        <v>0</v>
      </c>
      <c r="M43" s="57">
        <f>Eingaben!$B$29</f>
        <v>0.2</v>
      </c>
      <c r="N43" s="57">
        <f t="shared" si="6"/>
        <v>0.2</v>
      </c>
      <c r="O43" s="57">
        <f t="shared" si="7"/>
        <v>4</v>
      </c>
      <c r="P43" s="57">
        <f t="shared" si="8"/>
        <v>-3.8</v>
      </c>
      <c r="Q43" s="58">
        <f t="shared" si="10"/>
        <v>23.037101760000002</v>
      </c>
      <c r="R43" s="55" t="str">
        <f t="shared" si="9"/>
        <v>Mo 21:00</v>
      </c>
      <c r="S43" s="58">
        <f t="shared" si="11"/>
        <v>14.178898239999999</v>
      </c>
    </row>
    <row r="44" spans="4:19" ht="15" customHeight="1" x14ac:dyDescent="0.35">
      <c r="D44" s="54">
        <v>23</v>
      </c>
      <c r="E44" s="54">
        <f t="shared" si="0"/>
        <v>1</v>
      </c>
      <c r="F44" s="54">
        <f t="shared" si="1"/>
        <v>1</v>
      </c>
      <c r="G44" s="55" t="str">
        <f t="shared" si="2"/>
        <v>Mo</v>
      </c>
      <c r="H44" s="56">
        <f t="shared" si="3"/>
        <v>22</v>
      </c>
      <c r="I44" s="55" t="str">
        <f t="shared" si="4"/>
        <v>Werktag</v>
      </c>
      <c r="J44" s="35">
        <f>INDEX(Zapfprofil!$B$61:$H$61,F44)</f>
        <v>0.19</v>
      </c>
      <c r="K44" s="35">
        <f>INDEX(Zapfprofil!$AL$19:$AN$42,H44+1,IF(F44&lt;=5,1,IF(F44=6,2,3)))</f>
        <v>0</v>
      </c>
      <c r="L44" s="57">
        <f t="shared" si="5"/>
        <v>0</v>
      </c>
      <c r="M44" s="57">
        <f>Eingaben!$B$29</f>
        <v>0.2</v>
      </c>
      <c r="N44" s="57">
        <f t="shared" si="6"/>
        <v>0.2</v>
      </c>
      <c r="O44" s="57">
        <f t="shared" si="7"/>
        <v>4</v>
      </c>
      <c r="P44" s="57">
        <f t="shared" si="8"/>
        <v>-3.8</v>
      </c>
      <c r="Q44" s="58">
        <f t="shared" si="10"/>
        <v>19.237101760000002</v>
      </c>
      <c r="R44" s="55" t="str">
        <f t="shared" si="9"/>
        <v>Mo 22:00</v>
      </c>
      <c r="S44" s="58">
        <f t="shared" si="11"/>
        <v>17.978898239999999</v>
      </c>
    </row>
    <row r="45" spans="4:19" ht="15" customHeight="1" x14ac:dyDescent="0.35">
      <c r="D45" s="54">
        <v>24</v>
      </c>
      <c r="E45" s="54">
        <f t="shared" si="0"/>
        <v>1</v>
      </c>
      <c r="F45" s="54">
        <f t="shared" si="1"/>
        <v>1</v>
      </c>
      <c r="G45" s="55" t="str">
        <f t="shared" si="2"/>
        <v>Mo</v>
      </c>
      <c r="H45" s="56">
        <f t="shared" si="3"/>
        <v>23</v>
      </c>
      <c r="I45" s="55" t="str">
        <f t="shared" si="4"/>
        <v>Werktag</v>
      </c>
      <c r="J45" s="35">
        <f>INDEX(Zapfprofil!$B$61:$H$61,F45)</f>
        <v>0.19</v>
      </c>
      <c r="K45" s="35">
        <f>INDEX(Zapfprofil!$AL$19:$AN$42,H45+1,IF(F45&lt;=5,1,IF(F45=6,2,3)))</f>
        <v>0</v>
      </c>
      <c r="L45" s="57">
        <f t="shared" si="5"/>
        <v>0</v>
      </c>
      <c r="M45" s="57">
        <f>Eingaben!$B$29</f>
        <v>0.2</v>
      </c>
      <c r="N45" s="57">
        <f t="shared" si="6"/>
        <v>0.2</v>
      </c>
      <c r="O45" s="57">
        <f t="shared" si="7"/>
        <v>4</v>
      </c>
      <c r="P45" s="57">
        <f t="shared" si="8"/>
        <v>-3.8</v>
      </c>
      <c r="Q45" s="58">
        <f t="shared" si="10"/>
        <v>15.437101760000001</v>
      </c>
      <c r="R45" s="55" t="str">
        <f t="shared" si="9"/>
        <v>Mo 23:00</v>
      </c>
      <c r="S45" s="58">
        <f t="shared" si="11"/>
        <v>21.77889824</v>
      </c>
    </row>
    <row r="46" spans="4:19" ht="15" customHeight="1" x14ac:dyDescent="0.35">
      <c r="D46" s="54">
        <v>25</v>
      </c>
      <c r="E46" s="54">
        <f t="shared" si="0"/>
        <v>2</v>
      </c>
      <c r="F46" s="54">
        <f t="shared" si="1"/>
        <v>2</v>
      </c>
      <c r="G46" s="55" t="str">
        <f t="shared" si="2"/>
        <v>Di</v>
      </c>
      <c r="H46" s="56">
        <f t="shared" si="3"/>
        <v>0</v>
      </c>
      <c r="I46" s="55" t="str">
        <f t="shared" si="4"/>
        <v>Werktag</v>
      </c>
      <c r="J46" s="35">
        <f>INDEX(Zapfprofil!$B$61:$H$61,F46)</f>
        <v>0.19</v>
      </c>
      <c r="K46" s="35">
        <f>INDEX(Zapfprofil!$AL$19:$AN$42,H46+1,IF(F46&lt;=5,1,IF(F46=6,2,3)))</f>
        <v>0</v>
      </c>
      <c r="L46" s="57">
        <f t="shared" si="5"/>
        <v>0</v>
      </c>
      <c r="M46" s="57">
        <f>Eingaben!$B$29</f>
        <v>0.2</v>
      </c>
      <c r="N46" s="57">
        <f t="shared" si="6"/>
        <v>0.2</v>
      </c>
      <c r="O46" s="57">
        <f t="shared" si="7"/>
        <v>4</v>
      </c>
      <c r="P46" s="57">
        <f t="shared" si="8"/>
        <v>-3.8</v>
      </c>
      <c r="Q46" s="58">
        <f t="shared" si="10"/>
        <v>11.63710176</v>
      </c>
      <c r="R46" s="55" t="str">
        <f t="shared" si="9"/>
        <v>Di 00:00</v>
      </c>
      <c r="S46" s="58">
        <f t="shared" si="11"/>
        <v>25.578898240000001</v>
      </c>
    </row>
    <row r="47" spans="4:19" ht="15" customHeight="1" x14ac:dyDescent="0.35">
      <c r="D47" s="54">
        <v>26</v>
      </c>
      <c r="E47" s="54">
        <f t="shared" si="0"/>
        <v>2</v>
      </c>
      <c r="F47" s="54">
        <f t="shared" si="1"/>
        <v>2</v>
      </c>
      <c r="G47" s="55" t="str">
        <f t="shared" si="2"/>
        <v>Di</v>
      </c>
      <c r="H47" s="56">
        <f t="shared" si="3"/>
        <v>1</v>
      </c>
      <c r="I47" s="55" t="str">
        <f t="shared" si="4"/>
        <v>Werktag</v>
      </c>
      <c r="J47" s="35">
        <f>INDEX(Zapfprofil!$B$61:$H$61,F47)</f>
        <v>0.19</v>
      </c>
      <c r="K47" s="35">
        <f>INDEX(Zapfprofil!$AL$19:$AN$42,H47+1,IF(F47&lt;=5,1,IF(F47=6,2,3)))</f>
        <v>0</v>
      </c>
      <c r="L47" s="57">
        <f t="shared" si="5"/>
        <v>0</v>
      </c>
      <c r="M47" s="57">
        <f>Eingaben!$B$29</f>
        <v>0.2</v>
      </c>
      <c r="N47" s="57">
        <f t="shared" si="6"/>
        <v>0.2</v>
      </c>
      <c r="O47" s="57">
        <f t="shared" si="7"/>
        <v>4</v>
      </c>
      <c r="P47" s="57">
        <f t="shared" si="8"/>
        <v>-3.8</v>
      </c>
      <c r="Q47" s="58">
        <f t="shared" si="10"/>
        <v>7.8371017600000004</v>
      </c>
      <c r="R47" s="55" t="str">
        <f t="shared" si="9"/>
        <v>Di 01:00</v>
      </c>
      <c r="S47" s="58">
        <f t="shared" si="11"/>
        <v>29.378898240000002</v>
      </c>
    </row>
    <row r="48" spans="4:19" ht="15" customHeight="1" x14ac:dyDescent="0.35">
      <c r="D48" s="54">
        <v>27</v>
      </c>
      <c r="E48" s="54">
        <f t="shared" si="0"/>
        <v>2</v>
      </c>
      <c r="F48" s="54">
        <f t="shared" si="1"/>
        <v>2</v>
      </c>
      <c r="G48" s="55" t="str">
        <f t="shared" si="2"/>
        <v>Di</v>
      </c>
      <c r="H48" s="56">
        <f t="shared" si="3"/>
        <v>2</v>
      </c>
      <c r="I48" s="55" t="str">
        <f t="shared" si="4"/>
        <v>Werktag</v>
      </c>
      <c r="J48" s="35">
        <f>INDEX(Zapfprofil!$B$61:$H$61,F48)</f>
        <v>0.19</v>
      </c>
      <c r="K48" s="35">
        <f>INDEX(Zapfprofil!$AL$19:$AN$42,H48+1,IF(F48&lt;=5,1,IF(F48=6,2,3)))</f>
        <v>0</v>
      </c>
      <c r="L48" s="57">
        <f t="shared" si="5"/>
        <v>0</v>
      </c>
      <c r="M48" s="57">
        <f>Eingaben!$B$29</f>
        <v>0.2</v>
      </c>
      <c r="N48" s="57">
        <f t="shared" si="6"/>
        <v>0.2</v>
      </c>
      <c r="O48" s="57">
        <f t="shared" si="7"/>
        <v>4</v>
      </c>
      <c r="P48" s="57">
        <f t="shared" si="8"/>
        <v>-3.8</v>
      </c>
      <c r="Q48" s="58">
        <f t="shared" si="10"/>
        <v>4.0371017600000005</v>
      </c>
      <c r="R48" s="55" t="str">
        <f t="shared" si="9"/>
        <v>Di 02:00</v>
      </c>
      <c r="S48" s="58">
        <f t="shared" si="11"/>
        <v>33.178898240000002</v>
      </c>
    </row>
    <row r="49" spans="4:19" ht="15" customHeight="1" x14ac:dyDescent="0.35">
      <c r="D49" s="54">
        <v>28</v>
      </c>
      <c r="E49" s="54">
        <f t="shared" si="0"/>
        <v>2</v>
      </c>
      <c r="F49" s="54">
        <f t="shared" si="1"/>
        <v>2</v>
      </c>
      <c r="G49" s="55" t="str">
        <f t="shared" si="2"/>
        <v>Di</v>
      </c>
      <c r="H49" s="56">
        <f t="shared" si="3"/>
        <v>3</v>
      </c>
      <c r="I49" s="55" t="str">
        <f t="shared" si="4"/>
        <v>Werktag</v>
      </c>
      <c r="J49" s="35">
        <f>INDEX(Zapfprofil!$B$61:$H$61,F49)</f>
        <v>0.19</v>
      </c>
      <c r="K49" s="35">
        <f>INDEX(Zapfprofil!$AL$19:$AN$42,H49+1,IF(F49&lt;=5,1,IF(F49=6,2,3)))</f>
        <v>0</v>
      </c>
      <c r="L49" s="57">
        <f t="shared" si="5"/>
        <v>0</v>
      </c>
      <c r="M49" s="57">
        <f>Eingaben!$B$29</f>
        <v>0.2</v>
      </c>
      <c r="N49" s="57">
        <f t="shared" si="6"/>
        <v>0.2</v>
      </c>
      <c r="O49" s="57">
        <f t="shared" si="7"/>
        <v>4</v>
      </c>
      <c r="P49" s="57">
        <f t="shared" si="8"/>
        <v>-3.8</v>
      </c>
      <c r="Q49" s="58">
        <f t="shared" si="10"/>
        <v>0.23710176000000072</v>
      </c>
      <c r="R49" s="55" t="str">
        <f t="shared" si="9"/>
        <v>Di 03:00</v>
      </c>
      <c r="S49" s="58">
        <f t="shared" si="11"/>
        <v>36.978898239999999</v>
      </c>
    </row>
    <row r="50" spans="4:19" ht="15" customHeight="1" x14ac:dyDescent="0.35">
      <c r="D50" s="54">
        <v>29</v>
      </c>
      <c r="E50" s="54">
        <f t="shared" si="0"/>
        <v>2</v>
      </c>
      <c r="F50" s="54">
        <f t="shared" si="1"/>
        <v>2</v>
      </c>
      <c r="G50" s="55" t="str">
        <f t="shared" si="2"/>
        <v>Di</v>
      </c>
      <c r="H50" s="56">
        <f t="shared" si="3"/>
        <v>4</v>
      </c>
      <c r="I50" s="55" t="str">
        <f t="shared" si="4"/>
        <v>Werktag</v>
      </c>
      <c r="J50" s="35">
        <f>INDEX(Zapfprofil!$B$61:$H$61,F50)</f>
        <v>0.19</v>
      </c>
      <c r="K50" s="35">
        <f>INDEX(Zapfprofil!$AL$19:$AN$42,H50+1,IF(F50&lt;=5,1,IF(F50=6,2,3)))</f>
        <v>0</v>
      </c>
      <c r="L50" s="57">
        <f t="shared" si="5"/>
        <v>0</v>
      </c>
      <c r="M50" s="57">
        <f>Eingaben!$B$29</f>
        <v>0.2</v>
      </c>
      <c r="N50" s="57">
        <f t="shared" si="6"/>
        <v>0.2</v>
      </c>
      <c r="O50" s="57">
        <f t="shared" si="7"/>
        <v>4</v>
      </c>
      <c r="P50" s="57">
        <f t="shared" si="8"/>
        <v>-3.8</v>
      </c>
      <c r="Q50" s="58">
        <f t="shared" si="10"/>
        <v>0</v>
      </c>
      <c r="R50" s="55" t="str">
        <f t="shared" si="9"/>
        <v>Di 04:00</v>
      </c>
      <c r="S50" s="58">
        <f t="shared" si="11"/>
        <v>37.216000000000001</v>
      </c>
    </row>
    <row r="51" spans="4:19" ht="15" customHeight="1" x14ac:dyDescent="0.35">
      <c r="D51" s="54">
        <v>30</v>
      </c>
      <c r="E51" s="54">
        <f t="shared" si="0"/>
        <v>2</v>
      </c>
      <c r="F51" s="54">
        <f t="shared" si="1"/>
        <v>2</v>
      </c>
      <c r="G51" s="55" t="str">
        <f t="shared" si="2"/>
        <v>Di</v>
      </c>
      <c r="H51" s="56">
        <f t="shared" si="3"/>
        <v>5</v>
      </c>
      <c r="I51" s="55" t="str">
        <f t="shared" si="4"/>
        <v>Werktag</v>
      </c>
      <c r="J51" s="35">
        <f>INDEX(Zapfprofil!$B$61:$H$61,F51)</f>
        <v>0.19</v>
      </c>
      <c r="K51" s="35">
        <f>INDEX(Zapfprofil!$AL$19:$AN$42,H51+1,IF(F51&lt;=5,1,IF(F51=6,2,3)))</f>
        <v>0</v>
      </c>
      <c r="L51" s="57">
        <f t="shared" si="5"/>
        <v>0</v>
      </c>
      <c r="M51" s="57">
        <f>Eingaben!$B$29</f>
        <v>0.2</v>
      </c>
      <c r="N51" s="57">
        <f t="shared" si="6"/>
        <v>0.2</v>
      </c>
      <c r="O51" s="57">
        <f t="shared" si="7"/>
        <v>4</v>
      </c>
      <c r="P51" s="57">
        <f t="shared" si="8"/>
        <v>-3.8</v>
      </c>
      <c r="Q51" s="58">
        <f t="shared" si="10"/>
        <v>0</v>
      </c>
      <c r="R51" s="55" t="str">
        <f t="shared" si="9"/>
        <v>Di 05:00</v>
      </c>
      <c r="S51" s="58">
        <f t="shared" si="11"/>
        <v>37.216000000000001</v>
      </c>
    </row>
    <row r="52" spans="4:19" ht="15" customHeight="1" x14ac:dyDescent="0.35">
      <c r="D52" s="54">
        <v>31</v>
      </c>
      <c r="E52" s="54">
        <f t="shared" si="0"/>
        <v>2</v>
      </c>
      <c r="F52" s="54">
        <f t="shared" si="1"/>
        <v>2</v>
      </c>
      <c r="G52" s="55" t="str">
        <f t="shared" si="2"/>
        <v>Di</v>
      </c>
      <c r="H52" s="56">
        <f t="shared" si="3"/>
        <v>6</v>
      </c>
      <c r="I52" s="55" t="str">
        <f t="shared" si="4"/>
        <v>Werktag</v>
      </c>
      <c r="J52" s="35">
        <f>INDEX(Zapfprofil!$B$61:$H$61,F52)</f>
        <v>0.19</v>
      </c>
      <c r="K52" s="35">
        <f>INDEX(Zapfprofil!$AL$19:$AN$42,H52+1,IF(F52&lt;=5,1,IF(F52=6,2,3)))</f>
        <v>0.02</v>
      </c>
      <c r="L52" s="57">
        <f t="shared" si="5"/>
        <v>1.6334102400000001</v>
      </c>
      <c r="M52" s="57">
        <f>Eingaben!$B$29</f>
        <v>0.2</v>
      </c>
      <c r="N52" s="57">
        <f t="shared" si="6"/>
        <v>1.8334102400000001</v>
      </c>
      <c r="O52" s="57">
        <f t="shared" si="7"/>
        <v>4</v>
      </c>
      <c r="P52" s="57">
        <f t="shared" si="8"/>
        <v>-2.1665897599999999</v>
      </c>
      <c r="Q52" s="58">
        <f t="shared" si="10"/>
        <v>0</v>
      </c>
      <c r="R52" s="55" t="str">
        <f t="shared" si="9"/>
        <v>Di 06:00</v>
      </c>
      <c r="S52" s="58">
        <f t="shared" si="11"/>
        <v>37.216000000000001</v>
      </c>
    </row>
    <row r="53" spans="4:19" ht="15" customHeight="1" x14ac:dyDescent="0.35">
      <c r="D53" s="54">
        <v>32</v>
      </c>
      <c r="E53" s="54">
        <f t="shared" si="0"/>
        <v>2</v>
      </c>
      <c r="F53" s="54">
        <f t="shared" si="1"/>
        <v>2</v>
      </c>
      <c r="G53" s="55" t="str">
        <f t="shared" si="2"/>
        <v>Di</v>
      </c>
      <c r="H53" s="56">
        <f t="shared" si="3"/>
        <v>7</v>
      </c>
      <c r="I53" s="55" t="str">
        <f t="shared" si="4"/>
        <v>Werktag</v>
      </c>
      <c r="J53" s="35">
        <f>INDEX(Zapfprofil!$B$61:$H$61,F53)</f>
        <v>0.19</v>
      </c>
      <c r="K53" s="35">
        <f>INDEX(Zapfprofil!$AL$19:$AN$42,H53+1,IF(F53&lt;=5,1,IF(F53=6,2,3)))</f>
        <v>0.06</v>
      </c>
      <c r="L53" s="57">
        <f t="shared" si="5"/>
        <v>4.9002307199999997</v>
      </c>
      <c r="M53" s="57">
        <f>Eingaben!$B$29</f>
        <v>0.2</v>
      </c>
      <c r="N53" s="57">
        <f t="shared" si="6"/>
        <v>5.1002307199999999</v>
      </c>
      <c r="O53" s="57">
        <f t="shared" si="7"/>
        <v>4</v>
      </c>
      <c r="P53" s="57">
        <f t="shared" si="8"/>
        <v>1.1002307199999999</v>
      </c>
      <c r="Q53" s="58">
        <f t="shared" si="10"/>
        <v>1.1002307199999999</v>
      </c>
      <c r="R53" s="55" t="str">
        <f t="shared" si="9"/>
        <v>Di 07:00</v>
      </c>
      <c r="S53" s="58">
        <f t="shared" si="11"/>
        <v>36.115769280000002</v>
      </c>
    </row>
    <row r="54" spans="4:19" ht="15" customHeight="1" x14ac:dyDescent="0.35">
      <c r="D54" s="54">
        <v>33</v>
      </c>
      <c r="E54" s="54">
        <f t="shared" si="0"/>
        <v>2</v>
      </c>
      <c r="F54" s="54">
        <f t="shared" si="1"/>
        <v>2</v>
      </c>
      <c r="G54" s="55" t="str">
        <f t="shared" si="2"/>
        <v>Di</v>
      </c>
      <c r="H54" s="56">
        <f t="shared" si="3"/>
        <v>8</v>
      </c>
      <c r="I54" s="55" t="str">
        <f t="shared" si="4"/>
        <v>Werktag</v>
      </c>
      <c r="J54" s="35">
        <f>INDEX(Zapfprofil!$B$61:$H$61,F54)</f>
        <v>0.19</v>
      </c>
      <c r="K54" s="35">
        <f>INDEX(Zapfprofil!$AL$19:$AN$42,H54+1,IF(F54&lt;=5,1,IF(F54=6,2,3)))</f>
        <v>0.08</v>
      </c>
      <c r="L54" s="57">
        <f t="shared" si="5"/>
        <v>6.5336409600000005</v>
      </c>
      <c r="M54" s="57">
        <f>Eingaben!$B$29</f>
        <v>0.2</v>
      </c>
      <c r="N54" s="57">
        <f t="shared" si="6"/>
        <v>6.7336409600000007</v>
      </c>
      <c r="O54" s="57">
        <f t="shared" si="7"/>
        <v>4</v>
      </c>
      <c r="P54" s="57">
        <f t="shared" si="8"/>
        <v>2.7336409600000007</v>
      </c>
      <c r="Q54" s="58">
        <f t="shared" si="10"/>
        <v>3.8338716800000006</v>
      </c>
      <c r="R54" s="55" t="str">
        <f t="shared" si="9"/>
        <v>Di 08:00</v>
      </c>
      <c r="S54" s="58">
        <f t="shared" si="11"/>
        <v>33.38212832</v>
      </c>
    </row>
    <row r="55" spans="4:19" ht="15" customHeight="1" x14ac:dyDescent="0.35">
      <c r="D55" s="54">
        <v>34</v>
      </c>
      <c r="E55" s="54">
        <f t="shared" si="0"/>
        <v>2</v>
      </c>
      <c r="F55" s="54">
        <f t="shared" si="1"/>
        <v>2</v>
      </c>
      <c r="G55" s="55" t="str">
        <f t="shared" si="2"/>
        <v>Di</v>
      </c>
      <c r="H55" s="56">
        <f t="shared" si="3"/>
        <v>9</v>
      </c>
      <c r="I55" s="55" t="str">
        <f t="shared" si="4"/>
        <v>Werktag</v>
      </c>
      <c r="J55" s="35">
        <f>INDEX(Zapfprofil!$B$61:$H$61,F55)</f>
        <v>0.19</v>
      </c>
      <c r="K55" s="35">
        <f>INDEX(Zapfprofil!$AL$19:$AN$42,H55+1,IF(F55&lt;=5,1,IF(F55=6,2,3)))</f>
        <v>8.5000000000000006E-2</v>
      </c>
      <c r="L55" s="57">
        <f t="shared" si="5"/>
        <v>6.9419935200000005</v>
      </c>
      <c r="M55" s="57">
        <f>Eingaben!$B$29</f>
        <v>0.2</v>
      </c>
      <c r="N55" s="57">
        <f t="shared" si="6"/>
        <v>7.1419935200000007</v>
      </c>
      <c r="O55" s="57">
        <f t="shared" si="7"/>
        <v>4</v>
      </c>
      <c r="P55" s="57">
        <f t="shared" si="8"/>
        <v>3.1419935200000007</v>
      </c>
      <c r="Q55" s="58">
        <f t="shared" si="10"/>
        <v>6.9758652000000012</v>
      </c>
      <c r="R55" s="55" t="str">
        <f t="shared" si="9"/>
        <v>Di 09:00</v>
      </c>
      <c r="S55" s="58">
        <f t="shared" si="11"/>
        <v>30.2401348</v>
      </c>
    </row>
    <row r="56" spans="4:19" ht="15" customHeight="1" x14ac:dyDescent="0.35">
      <c r="D56" s="54">
        <v>35</v>
      </c>
      <c r="E56" s="54">
        <f t="shared" si="0"/>
        <v>2</v>
      </c>
      <c r="F56" s="54">
        <f t="shared" si="1"/>
        <v>2</v>
      </c>
      <c r="G56" s="55" t="str">
        <f t="shared" si="2"/>
        <v>Di</v>
      </c>
      <c r="H56" s="56">
        <f t="shared" si="3"/>
        <v>10</v>
      </c>
      <c r="I56" s="55" t="str">
        <f t="shared" si="4"/>
        <v>Werktag</v>
      </c>
      <c r="J56" s="35">
        <f>INDEX(Zapfprofil!$B$61:$H$61,F56)</f>
        <v>0.19</v>
      </c>
      <c r="K56" s="35">
        <f>INDEX(Zapfprofil!$AL$19:$AN$42,H56+1,IF(F56&lt;=5,1,IF(F56=6,2,3)))</f>
        <v>8.5000000000000006E-2</v>
      </c>
      <c r="L56" s="57">
        <f t="shared" si="5"/>
        <v>6.9419935200000005</v>
      </c>
      <c r="M56" s="57">
        <f>Eingaben!$B$29</f>
        <v>0.2</v>
      </c>
      <c r="N56" s="57">
        <f t="shared" si="6"/>
        <v>7.1419935200000007</v>
      </c>
      <c r="O56" s="57">
        <f t="shared" si="7"/>
        <v>4</v>
      </c>
      <c r="P56" s="57">
        <f t="shared" si="8"/>
        <v>3.1419935200000007</v>
      </c>
      <c r="Q56" s="58">
        <f t="shared" si="10"/>
        <v>10.117858720000001</v>
      </c>
      <c r="R56" s="55" t="str">
        <f t="shared" si="9"/>
        <v>Di 10:00</v>
      </c>
      <c r="S56" s="58">
        <f t="shared" si="11"/>
        <v>27.09814128</v>
      </c>
    </row>
    <row r="57" spans="4:19" ht="15" customHeight="1" x14ac:dyDescent="0.35">
      <c r="D57" s="54">
        <v>36</v>
      </c>
      <c r="E57" s="54">
        <f t="shared" si="0"/>
        <v>2</v>
      </c>
      <c r="F57" s="54">
        <f t="shared" si="1"/>
        <v>2</v>
      </c>
      <c r="G57" s="55" t="str">
        <f t="shared" si="2"/>
        <v>Di</v>
      </c>
      <c r="H57" s="56">
        <f t="shared" si="3"/>
        <v>11</v>
      </c>
      <c r="I57" s="55" t="str">
        <f t="shared" si="4"/>
        <v>Werktag</v>
      </c>
      <c r="J57" s="35">
        <f>INDEX(Zapfprofil!$B$61:$H$61,F57)</f>
        <v>0.19</v>
      </c>
      <c r="K57" s="35">
        <f>INDEX(Zapfprofil!$AL$19:$AN$42,H57+1,IF(F57&lt;=5,1,IF(F57=6,2,3)))</f>
        <v>0.09</v>
      </c>
      <c r="L57" s="57">
        <f t="shared" si="5"/>
        <v>7.3503460799999996</v>
      </c>
      <c r="M57" s="57">
        <f>Eingaben!$B$29</f>
        <v>0.2</v>
      </c>
      <c r="N57" s="57">
        <f t="shared" si="6"/>
        <v>7.5503460799999997</v>
      </c>
      <c r="O57" s="57">
        <f t="shared" si="7"/>
        <v>4</v>
      </c>
      <c r="P57" s="57">
        <f t="shared" si="8"/>
        <v>3.5503460799999997</v>
      </c>
      <c r="Q57" s="58">
        <f t="shared" si="10"/>
        <v>13.668204800000002</v>
      </c>
      <c r="R57" s="55" t="str">
        <f t="shared" si="9"/>
        <v>Di 11:00</v>
      </c>
      <c r="S57" s="58">
        <f t="shared" si="11"/>
        <v>23.547795199999999</v>
      </c>
    </row>
    <row r="58" spans="4:19" ht="15" customHeight="1" x14ac:dyDescent="0.35">
      <c r="D58" s="54">
        <v>37</v>
      </c>
      <c r="E58" s="54">
        <f t="shared" si="0"/>
        <v>2</v>
      </c>
      <c r="F58" s="54">
        <f t="shared" si="1"/>
        <v>2</v>
      </c>
      <c r="G58" s="55" t="str">
        <f t="shared" si="2"/>
        <v>Di</v>
      </c>
      <c r="H58" s="56">
        <f t="shared" si="3"/>
        <v>12</v>
      </c>
      <c r="I58" s="55" t="str">
        <f t="shared" si="4"/>
        <v>Werktag</v>
      </c>
      <c r="J58" s="35">
        <f>INDEX(Zapfprofil!$B$61:$H$61,F58)</f>
        <v>0.19</v>
      </c>
      <c r="K58" s="35">
        <f>INDEX(Zapfprofil!$AL$19:$AN$42,H58+1,IF(F58&lt;=5,1,IF(F58=6,2,3)))</f>
        <v>0.1</v>
      </c>
      <c r="L58" s="57">
        <f t="shared" si="5"/>
        <v>8.1670512000000013</v>
      </c>
      <c r="M58" s="57">
        <f>Eingaben!$B$29</f>
        <v>0.2</v>
      </c>
      <c r="N58" s="57">
        <f t="shared" si="6"/>
        <v>8.3670512000000006</v>
      </c>
      <c r="O58" s="57">
        <f t="shared" si="7"/>
        <v>4</v>
      </c>
      <c r="P58" s="57">
        <f t="shared" si="8"/>
        <v>4.3670512000000006</v>
      </c>
      <c r="Q58" s="58">
        <f t="shared" si="10"/>
        <v>18.035256000000004</v>
      </c>
      <c r="R58" s="55" t="str">
        <f t="shared" si="9"/>
        <v>Di 12:00</v>
      </c>
      <c r="S58" s="58">
        <f t="shared" si="11"/>
        <v>19.180743999999997</v>
      </c>
    </row>
    <row r="59" spans="4:19" ht="15" customHeight="1" x14ac:dyDescent="0.35">
      <c r="D59" s="54">
        <v>38</v>
      </c>
      <c r="E59" s="54">
        <f t="shared" si="0"/>
        <v>2</v>
      </c>
      <c r="F59" s="54">
        <f t="shared" si="1"/>
        <v>2</v>
      </c>
      <c r="G59" s="55" t="str">
        <f t="shared" si="2"/>
        <v>Di</v>
      </c>
      <c r="H59" s="56">
        <f t="shared" si="3"/>
        <v>13</v>
      </c>
      <c r="I59" s="55" t="str">
        <f t="shared" si="4"/>
        <v>Werktag</v>
      </c>
      <c r="J59" s="35">
        <f>INDEX(Zapfprofil!$B$61:$H$61,F59)</f>
        <v>0.19</v>
      </c>
      <c r="K59" s="35">
        <f>INDEX(Zapfprofil!$AL$19:$AN$42,H59+1,IF(F59&lt;=5,1,IF(F59=6,2,3)))</f>
        <v>9.5000000000000001E-2</v>
      </c>
      <c r="L59" s="57">
        <f t="shared" si="5"/>
        <v>7.7586986400000004</v>
      </c>
      <c r="M59" s="57">
        <f>Eingaben!$B$29</f>
        <v>0.2</v>
      </c>
      <c r="N59" s="57">
        <f t="shared" si="6"/>
        <v>7.9586986400000006</v>
      </c>
      <c r="O59" s="57">
        <f t="shared" si="7"/>
        <v>4</v>
      </c>
      <c r="P59" s="57">
        <f t="shared" si="8"/>
        <v>3.9586986400000006</v>
      </c>
      <c r="Q59" s="58">
        <f t="shared" si="10"/>
        <v>21.993954640000005</v>
      </c>
      <c r="R59" s="55" t="str">
        <f t="shared" si="9"/>
        <v>Di 13:00</v>
      </c>
      <c r="S59" s="58">
        <f t="shared" si="11"/>
        <v>15.222045359999996</v>
      </c>
    </row>
    <row r="60" spans="4:19" ht="15" customHeight="1" x14ac:dyDescent="0.35">
      <c r="D60" s="54">
        <v>39</v>
      </c>
      <c r="E60" s="54">
        <f t="shared" si="0"/>
        <v>2</v>
      </c>
      <c r="F60" s="54">
        <f t="shared" si="1"/>
        <v>2</v>
      </c>
      <c r="G60" s="55" t="str">
        <f t="shared" si="2"/>
        <v>Di</v>
      </c>
      <c r="H60" s="56">
        <f t="shared" si="3"/>
        <v>14</v>
      </c>
      <c r="I60" s="55" t="str">
        <f t="shared" si="4"/>
        <v>Werktag</v>
      </c>
      <c r="J60" s="35">
        <f>INDEX(Zapfprofil!$B$61:$H$61,F60)</f>
        <v>0.19</v>
      </c>
      <c r="K60" s="35">
        <f>INDEX(Zapfprofil!$AL$19:$AN$42,H60+1,IF(F60&lt;=5,1,IF(F60=6,2,3)))</f>
        <v>8.5000000000000006E-2</v>
      </c>
      <c r="L60" s="57">
        <f t="shared" si="5"/>
        <v>6.9419935200000005</v>
      </c>
      <c r="M60" s="57">
        <f>Eingaben!$B$29</f>
        <v>0.2</v>
      </c>
      <c r="N60" s="57">
        <f t="shared" si="6"/>
        <v>7.1419935200000007</v>
      </c>
      <c r="O60" s="57">
        <f t="shared" si="7"/>
        <v>4</v>
      </c>
      <c r="P60" s="57">
        <f t="shared" si="8"/>
        <v>3.1419935200000007</v>
      </c>
      <c r="Q60" s="58">
        <f t="shared" si="10"/>
        <v>25.135948160000005</v>
      </c>
      <c r="R60" s="55" t="str">
        <f t="shared" si="9"/>
        <v>Di 14:00</v>
      </c>
      <c r="S60" s="58">
        <f t="shared" si="11"/>
        <v>12.080051839999996</v>
      </c>
    </row>
    <row r="61" spans="4:19" ht="15" customHeight="1" x14ac:dyDescent="0.35">
      <c r="D61" s="54">
        <v>40</v>
      </c>
      <c r="E61" s="54">
        <f t="shared" si="0"/>
        <v>2</v>
      </c>
      <c r="F61" s="54">
        <f t="shared" si="1"/>
        <v>2</v>
      </c>
      <c r="G61" s="55" t="str">
        <f t="shared" si="2"/>
        <v>Di</v>
      </c>
      <c r="H61" s="56">
        <f t="shared" si="3"/>
        <v>15</v>
      </c>
      <c r="I61" s="55" t="str">
        <f t="shared" si="4"/>
        <v>Werktag</v>
      </c>
      <c r="J61" s="35">
        <f>INDEX(Zapfprofil!$B$61:$H$61,F61)</f>
        <v>0.19</v>
      </c>
      <c r="K61" s="35">
        <f>INDEX(Zapfprofil!$AL$19:$AN$42,H61+1,IF(F61&lt;=5,1,IF(F61=6,2,3)))</f>
        <v>0.08</v>
      </c>
      <c r="L61" s="57">
        <f t="shared" si="5"/>
        <v>6.5336409600000005</v>
      </c>
      <c r="M61" s="57">
        <f>Eingaben!$B$29</f>
        <v>0.2</v>
      </c>
      <c r="N61" s="57">
        <f t="shared" si="6"/>
        <v>6.7336409600000007</v>
      </c>
      <c r="O61" s="57">
        <f t="shared" si="7"/>
        <v>4</v>
      </c>
      <c r="P61" s="57">
        <f t="shared" si="8"/>
        <v>2.7336409600000007</v>
      </c>
      <c r="Q61" s="58">
        <f t="shared" si="10"/>
        <v>27.869589120000008</v>
      </c>
      <c r="R61" s="55" t="str">
        <f t="shared" si="9"/>
        <v>Di 15:00</v>
      </c>
      <c r="S61" s="58">
        <f t="shared" si="11"/>
        <v>9.3464108799999934</v>
      </c>
    </row>
    <row r="62" spans="4:19" ht="15" customHeight="1" x14ac:dyDescent="0.35">
      <c r="D62" s="54">
        <v>41</v>
      </c>
      <c r="E62" s="54">
        <f t="shared" si="0"/>
        <v>2</v>
      </c>
      <c r="F62" s="54">
        <f t="shared" si="1"/>
        <v>2</v>
      </c>
      <c r="G62" s="55" t="str">
        <f t="shared" si="2"/>
        <v>Di</v>
      </c>
      <c r="H62" s="56">
        <f t="shared" si="3"/>
        <v>16</v>
      </c>
      <c r="I62" s="55" t="str">
        <f t="shared" si="4"/>
        <v>Werktag</v>
      </c>
      <c r="J62" s="35">
        <f>INDEX(Zapfprofil!$B$61:$H$61,F62)</f>
        <v>0.19</v>
      </c>
      <c r="K62" s="35">
        <f>INDEX(Zapfprofil!$AL$19:$AN$42,H62+1,IF(F62&lt;=5,1,IF(F62=6,2,3)))</f>
        <v>7.4999999999999997E-2</v>
      </c>
      <c r="L62" s="57">
        <f t="shared" si="5"/>
        <v>6.1252883999999996</v>
      </c>
      <c r="M62" s="57">
        <f>Eingaben!$B$29</f>
        <v>0.2</v>
      </c>
      <c r="N62" s="57">
        <f t="shared" si="6"/>
        <v>6.3252883999999998</v>
      </c>
      <c r="O62" s="57">
        <f t="shared" si="7"/>
        <v>4</v>
      </c>
      <c r="P62" s="57">
        <f t="shared" si="8"/>
        <v>2.3252883999999998</v>
      </c>
      <c r="Q62" s="58">
        <f t="shared" si="10"/>
        <v>30.194877520000006</v>
      </c>
      <c r="R62" s="55" t="str">
        <f t="shared" si="9"/>
        <v>Di 16:00</v>
      </c>
      <c r="S62" s="58">
        <f t="shared" si="11"/>
        <v>7.0211224799999954</v>
      </c>
    </row>
    <row r="63" spans="4:19" ht="15" customHeight="1" x14ac:dyDescent="0.35">
      <c r="D63" s="54">
        <v>42</v>
      </c>
      <c r="E63" s="54">
        <f t="shared" si="0"/>
        <v>2</v>
      </c>
      <c r="F63" s="54">
        <f t="shared" si="1"/>
        <v>2</v>
      </c>
      <c r="G63" s="55" t="str">
        <f t="shared" si="2"/>
        <v>Di</v>
      </c>
      <c r="H63" s="56">
        <f t="shared" si="3"/>
        <v>17</v>
      </c>
      <c r="I63" s="55" t="str">
        <f t="shared" si="4"/>
        <v>Werktag</v>
      </c>
      <c r="J63" s="35">
        <f>INDEX(Zapfprofil!$B$61:$H$61,F63)</f>
        <v>0.19</v>
      </c>
      <c r="K63" s="35">
        <f>INDEX(Zapfprofil!$AL$19:$AN$42,H63+1,IF(F63&lt;=5,1,IF(F63=6,2,3)))</f>
        <v>0.06</v>
      </c>
      <c r="L63" s="57">
        <f t="shared" si="5"/>
        <v>4.9002307199999997</v>
      </c>
      <c r="M63" s="57">
        <f>Eingaben!$B$29</f>
        <v>0.2</v>
      </c>
      <c r="N63" s="57">
        <f t="shared" si="6"/>
        <v>5.1002307199999999</v>
      </c>
      <c r="O63" s="57">
        <f t="shared" si="7"/>
        <v>4</v>
      </c>
      <c r="P63" s="57">
        <f t="shared" si="8"/>
        <v>1.1002307199999999</v>
      </c>
      <c r="Q63" s="58">
        <f t="shared" si="10"/>
        <v>31.295108240000005</v>
      </c>
      <c r="R63" s="55" t="str">
        <f t="shared" si="9"/>
        <v>Di 17:00</v>
      </c>
      <c r="S63" s="58">
        <f t="shared" si="11"/>
        <v>5.9208917599999964</v>
      </c>
    </row>
    <row r="64" spans="4:19" ht="15" customHeight="1" x14ac:dyDescent="0.35">
      <c r="D64" s="54">
        <v>43</v>
      </c>
      <c r="E64" s="54">
        <f t="shared" si="0"/>
        <v>2</v>
      </c>
      <c r="F64" s="54">
        <f t="shared" si="1"/>
        <v>2</v>
      </c>
      <c r="G64" s="55" t="str">
        <f t="shared" si="2"/>
        <v>Di</v>
      </c>
      <c r="H64" s="56">
        <f t="shared" si="3"/>
        <v>18</v>
      </c>
      <c r="I64" s="55" t="str">
        <f t="shared" si="4"/>
        <v>Werktag</v>
      </c>
      <c r="J64" s="35">
        <f>INDEX(Zapfprofil!$B$61:$H$61,F64)</f>
        <v>0.19</v>
      </c>
      <c r="K64" s="35">
        <f>INDEX(Zapfprofil!$AL$19:$AN$42,H64+1,IF(F64&lt;=5,1,IF(F64=6,2,3)))</f>
        <v>4.4999999999999998E-2</v>
      </c>
      <c r="L64" s="57">
        <f t="shared" si="5"/>
        <v>3.6751730399999998</v>
      </c>
      <c r="M64" s="57">
        <f>Eingaben!$B$29</f>
        <v>0.2</v>
      </c>
      <c r="N64" s="57">
        <f t="shared" si="6"/>
        <v>3.87517304</v>
      </c>
      <c r="O64" s="57">
        <f t="shared" si="7"/>
        <v>4</v>
      </c>
      <c r="P64" s="57">
        <f t="shared" si="8"/>
        <v>-0.12482696000000004</v>
      </c>
      <c r="Q64" s="58">
        <f t="shared" si="10"/>
        <v>31.170281280000005</v>
      </c>
      <c r="R64" s="55" t="str">
        <f t="shared" si="9"/>
        <v>Di 18:00</v>
      </c>
      <c r="S64" s="58">
        <f t="shared" si="11"/>
        <v>6.0457187199999964</v>
      </c>
    </row>
    <row r="65" spans="4:19" ht="15" customHeight="1" x14ac:dyDescent="0.35">
      <c r="D65" s="54">
        <v>44</v>
      </c>
      <c r="E65" s="54">
        <f t="shared" si="0"/>
        <v>2</v>
      </c>
      <c r="F65" s="54">
        <f t="shared" si="1"/>
        <v>2</v>
      </c>
      <c r="G65" s="55" t="str">
        <f t="shared" si="2"/>
        <v>Di</v>
      </c>
      <c r="H65" s="56">
        <f t="shared" si="3"/>
        <v>19</v>
      </c>
      <c r="I65" s="55" t="str">
        <f t="shared" si="4"/>
        <v>Werktag</v>
      </c>
      <c r="J65" s="35">
        <f>INDEX(Zapfprofil!$B$61:$H$61,F65)</f>
        <v>0.19</v>
      </c>
      <c r="K65" s="35">
        <f>INDEX(Zapfprofil!$AL$19:$AN$42,H65+1,IF(F65&lt;=5,1,IF(F65=6,2,3)))</f>
        <v>2.5000000000000001E-2</v>
      </c>
      <c r="L65" s="57">
        <f t="shared" si="5"/>
        <v>2.0417628000000003</v>
      </c>
      <c r="M65" s="57">
        <f>Eingaben!$B$29</f>
        <v>0.2</v>
      </c>
      <c r="N65" s="57">
        <f t="shared" si="6"/>
        <v>2.2417628000000005</v>
      </c>
      <c r="O65" s="57">
        <f t="shared" si="7"/>
        <v>4</v>
      </c>
      <c r="P65" s="57">
        <f t="shared" si="8"/>
        <v>-1.7582371999999995</v>
      </c>
      <c r="Q65" s="58">
        <f t="shared" si="10"/>
        <v>29.412044080000005</v>
      </c>
      <c r="R65" s="55" t="str">
        <f t="shared" si="9"/>
        <v>Di 19:00</v>
      </c>
      <c r="S65" s="58">
        <f t="shared" si="11"/>
        <v>7.8039559199999964</v>
      </c>
    </row>
    <row r="66" spans="4:19" ht="15" customHeight="1" x14ac:dyDescent="0.35">
      <c r="D66" s="54">
        <v>45</v>
      </c>
      <c r="E66" s="54">
        <f t="shared" si="0"/>
        <v>2</v>
      </c>
      <c r="F66" s="54">
        <f t="shared" si="1"/>
        <v>2</v>
      </c>
      <c r="G66" s="55" t="str">
        <f t="shared" si="2"/>
        <v>Di</v>
      </c>
      <c r="H66" s="56">
        <f t="shared" si="3"/>
        <v>20</v>
      </c>
      <c r="I66" s="55" t="str">
        <f t="shared" si="4"/>
        <v>Werktag</v>
      </c>
      <c r="J66" s="35">
        <f>INDEX(Zapfprofil!$B$61:$H$61,F66)</f>
        <v>0.19</v>
      </c>
      <c r="K66" s="35">
        <f>INDEX(Zapfprofil!$AL$19:$AN$42,H66+1,IF(F66&lt;=5,1,IF(F66=6,2,3)))</f>
        <v>1.4999999999999999E-2</v>
      </c>
      <c r="L66" s="57">
        <f t="shared" si="5"/>
        <v>1.2250576799999999</v>
      </c>
      <c r="M66" s="57">
        <f>Eingaben!$B$29</f>
        <v>0.2</v>
      </c>
      <c r="N66" s="57">
        <f t="shared" si="6"/>
        <v>1.4250576799999999</v>
      </c>
      <c r="O66" s="57">
        <f t="shared" si="7"/>
        <v>4</v>
      </c>
      <c r="P66" s="57">
        <f t="shared" si="8"/>
        <v>-2.5749423199999999</v>
      </c>
      <c r="Q66" s="58">
        <f t="shared" si="10"/>
        <v>26.837101760000003</v>
      </c>
      <c r="R66" s="55" t="str">
        <f t="shared" si="9"/>
        <v>Di 20:00</v>
      </c>
      <c r="S66" s="58">
        <f t="shared" si="11"/>
        <v>10.378898239999998</v>
      </c>
    </row>
    <row r="67" spans="4:19" ht="15" customHeight="1" x14ac:dyDescent="0.35">
      <c r="D67" s="54">
        <v>46</v>
      </c>
      <c r="E67" s="54">
        <f t="shared" si="0"/>
        <v>2</v>
      </c>
      <c r="F67" s="54">
        <f t="shared" si="1"/>
        <v>2</v>
      </c>
      <c r="G67" s="55" t="str">
        <f t="shared" si="2"/>
        <v>Di</v>
      </c>
      <c r="H67" s="56">
        <f t="shared" si="3"/>
        <v>21</v>
      </c>
      <c r="I67" s="55" t="str">
        <f t="shared" si="4"/>
        <v>Werktag</v>
      </c>
      <c r="J67" s="35">
        <f>INDEX(Zapfprofil!$B$61:$H$61,F67)</f>
        <v>0.19</v>
      </c>
      <c r="K67" s="35">
        <f>INDEX(Zapfprofil!$AL$19:$AN$42,H67+1,IF(F67&lt;=5,1,IF(F67=6,2,3)))</f>
        <v>0</v>
      </c>
      <c r="L67" s="57">
        <f t="shared" si="5"/>
        <v>0</v>
      </c>
      <c r="M67" s="57">
        <f>Eingaben!$B$29</f>
        <v>0.2</v>
      </c>
      <c r="N67" s="57">
        <f t="shared" si="6"/>
        <v>0.2</v>
      </c>
      <c r="O67" s="57">
        <f t="shared" si="7"/>
        <v>4</v>
      </c>
      <c r="P67" s="57">
        <f t="shared" si="8"/>
        <v>-3.8</v>
      </c>
      <c r="Q67" s="58">
        <f t="shared" si="10"/>
        <v>23.037101760000002</v>
      </c>
      <c r="R67" s="55" t="str">
        <f t="shared" si="9"/>
        <v>Di 21:00</v>
      </c>
      <c r="S67" s="58">
        <f t="shared" si="11"/>
        <v>14.178898239999999</v>
      </c>
    </row>
    <row r="68" spans="4:19" ht="15" customHeight="1" x14ac:dyDescent="0.35">
      <c r="D68" s="54">
        <v>47</v>
      </c>
      <c r="E68" s="54">
        <f t="shared" si="0"/>
        <v>2</v>
      </c>
      <c r="F68" s="54">
        <f t="shared" si="1"/>
        <v>2</v>
      </c>
      <c r="G68" s="55" t="str">
        <f t="shared" si="2"/>
        <v>Di</v>
      </c>
      <c r="H68" s="56">
        <f t="shared" si="3"/>
        <v>22</v>
      </c>
      <c r="I68" s="55" t="str">
        <f t="shared" si="4"/>
        <v>Werktag</v>
      </c>
      <c r="J68" s="35">
        <f>INDEX(Zapfprofil!$B$61:$H$61,F68)</f>
        <v>0.19</v>
      </c>
      <c r="K68" s="35">
        <f>INDEX(Zapfprofil!$AL$19:$AN$42,H68+1,IF(F68&lt;=5,1,IF(F68=6,2,3)))</f>
        <v>0</v>
      </c>
      <c r="L68" s="57">
        <f t="shared" si="5"/>
        <v>0</v>
      </c>
      <c r="M68" s="57">
        <f>Eingaben!$B$29</f>
        <v>0.2</v>
      </c>
      <c r="N68" s="57">
        <f t="shared" si="6"/>
        <v>0.2</v>
      </c>
      <c r="O68" s="57">
        <f t="shared" si="7"/>
        <v>4</v>
      </c>
      <c r="P68" s="57">
        <f t="shared" si="8"/>
        <v>-3.8</v>
      </c>
      <c r="Q68" s="58">
        <f t="shared" si="10"/>
        <v>19.237101760000002</v>
      </c>
      <c r="R68" s="55" t="str">
        <f t="shared" si="9"/>
        <v>Di 22:00</v>
      </c>
      <c r="S68" s="58">
        <f t="shared" si="11"/>
        <v>17.978898239999999</v>
      </c>
    </row>
    <row r="69" spans="4:19" ht="15" customHeight="1" x14ac:dyDescent="0.35">
      <c r="D69" s="54">
        <v>48</v>
      </c>
      <c r="E69" s="54">
        <f t="shared" si="0"/>
        <v>2</v>
      </c>
      <c r="F69" s="54">
        <f t="shared" si="1"/>
        <v>2</v>
      </c>
      <c r="G69" s="55" t="str">
        <f t="shared" si="2"/>
        <v>Di</v>
      </c>
      <c r="H69" s="56">
        <f t="shared" si="3"/>
        <v>23</v>
      </c>
      <c r="I69" s="55" t="str">
        <f t="shared" si="4"/>
        <v>Werktag</v>
      </c>
      <c r="J69" s="35">
        <f>INDEX(Zapfprofil!$B$61:$H$61,F69)</f>
        <v>0.19</v>
      </c>
      <c r="K69" s="35">
        <f>INDEX(Zapfprofil!$AL$19:$AN$42,H69+1,IF(F69&lt;=5,1,IF(F69=6,2,3)))</f>
        <v>0</v>
      </c>
      <c r="L69" s="57">
        <f t="shared" si="5"/>
        <v>0</v>
      </c>
      <c r="M69" s="57">
        <f>Eingaben!$B$29</f>
        <v>0.2</v>
      </c>
      <c r="N69" s="57">
        <f t="shared" si="6"/>
        <v>0.2</v>
      </c>
      <c r="O69" s="57">
        <f t="shared" si="7"/>
        <v>4</v>
      </c>
      <c r="P69" s="57">
        <f t="shared" si="8"/>
        <v>-3.8</v>
      </c>
      <c r="Q69" s="58">
        <f t="shared" si="10"/>
        <v>15.437101760000001</v>
      </c>
      <c r="R69" s="55" t="str">
        <f t="shared" si="9"/>
        <v>Di 23:00</v>
      </c>
      <c r="S69" s="58">
        <f t="shared" si="11"/>
        <v>21.77889824</v>
      </c>
    </row>
    <row r="70" spans="4:19" ht="15" customHeight="1" x14ac:dyDescent="0.35">
      <c r="D70" s="54">
        <v>49</v>
      </c>
      <c r="E70" s="54">
        <f t="shared" si="0"/>
        <v>3</v>
      </c>
      <c r="F70" s="54">
        <f t="shared" si="1"/>
        <v>3</v>
      </c>
      <c r="G70" s="55" t="str">
        <f t="shared" si="2"/>
        <v>Mi</v>
      </c>
      <c r="H70" s="56">
        <f t="shared" si="3"/>
        <v>0</v>
      </c>
      <c r="I70" s="55" t="str">
        <f t="shared" si="4"/>
        <v>Werktag</v>
      </c>
      <c r="J70" s="35">
        <f>INDEX(Zapfprofil!$B$61:$H$61,F70)</f>
        <v>0.19</v>
      </c>
      <c r="K70" s="35">
        <f>INDEX(Zapfprofil!$AL$19:$AN$42,H70+1,IF(F70&lt;=5,1,IF(F70=6,2,3)))</f>
        <v>0</v>
      </c>
      <c r="L70" s="57">
        <f t="shared" si="5"/>
        <v>0</v>
      </c>
      <c r="M70" s="57">
        <f>Eingaben!$B$29</f>
        <v>0.2</v>
      </c>
      <c r="N70" s="57">
        <f t="shared" si="6"/>
        <v>0.2</v>
      </c>
      <c r="O70" s="57">
        <f t="shared" si="7"/>
        <v>4</v>
      </c>
      <c r="P70" s="57">
        <f t="shared" si="8"/>
        <v>-3.8</v>
      </c>
      <c r="Q70" s="58">
        <f t="shared" si="10"/>
        <v>11.63710176</v>
      </c>
      <c r="R70" s="55" t="str">
        <f t="shared" si="9"/>
        <v>Mi 00:00</v>
      </c>
      <c r="S70" s="58">
        <f t="shared" si="11"/>
        <v>25.578898240000001</v>
      </c>
    </row>
    <row r="71" spans="4:19" ht="15" customHeight="1" x14ac:dyDescent="0.35">
      <c r="D71" s="54">
        <v>50</v>
      </c>
      <c r="E71" s="54">
        <f t="shared" si="0"/>
        <v>3</v>
      </c>
      <c r="F71" s="54">
        <f t="shared" si="1"/>
        <v>3</v>
      </c>
      <c r="G71" s="55" t="str">
        <f t="shared" si="2"/>
        <v>Mi</v>
      </c>
      <c r="H71" s="56">
        <f t="shared" si="3"/>
        <v>1</v>
      </c>
      <c r="I71" s="55" t="str">
        <f t="shared" si="4"/>
        <v>Werktag</v>
      </c>
      <c r="J71" s="35">
        <f>INDEX(Zapfprofil!$B$61:$H$61,F71)</f>
        <v>0.19</v>
      </c>
      <c r="K71" s="35">
        <f>INDEX(Zapfprofil!$AL$19:$AN$42,H71+1,IF(F71&lt;=5,1,IF(F71=6,2,3)))</f>
        <v>0</v>
      </c>
      <c r="L71" s="57">
        <f t="shared" si="5"/>
        <v>0</v>
      </c>
      <c r="M71" s="57">
        <f>Eingaben!$B$29</f>
        <v>0.2</v>
      </c>
      <c r="N71" s="57">
        <f t="shared" si="6"/>
        <v>0.2</v>
      </c>
      <c r="O71" s="57">
        <f t="shared" si="7"/>
        <v>4</v>
      </c>
      <c r="P71" s="57">
        <f t="shared" si="8"/>
        <v>-3.8</v>
      </c>
      <c r="Q71" s="58">
        <f t="shared" si="10"/>
        <v>7.8371017600000004</v>
      </c>
      <c r="R71" s="55" t="str">
        <f t="shared" si="9"/>
        <v>Mi 01:00</v>
      </c>
      <c r="S71" s="58">
        <f t="shared" si="11"/>
        <v>29.378898240000002</v>
      </c>
    </row>
    <row r="72" spans="4:19" ht="15" customHeight="1" x14ac:dyDescent="0.35">
      <c r="D72" s="54">
        <v>51</v>
      </c>
      <c r="E72" s="54">
        <f t="shared" si="0"/>
        <v>3</v>
      </c>
      <c r="F72" s="54">
        <f t="shared" si="1"/>
        <v>3</v>
      </c>
      <c r="G72" s="55" t="str">
        <f t="shared" si="2"/>
        <v>Mi</v>
      </c>
      <c r="H72" s="56">
        <f t="shared" si="3"/>
        <v>2</v>
      </c>
      <c r="I72" s="55" t="str">
        <f t="shared" si="4"/>
        <v>Werktag</v>
      </c>
      <c r="J72" s="35">
        <f>INDEX(Zapfprofil!$B$61:$H$61,F72)</f>
        <v>0.19</v>
      </c>
      <c r="K72" s="35">
        <f>INDEX(Zapfprofil!$AL$19:$AN$42,H72+1,IF(F72&lt;=5,1,IF(F72=6,2,3)))</f>
        <v>0</v>
      </c>
      <c r="L72" s="57">
        <f t="shared" si="5"/>
        <v>0</v>
      </c>
      <c r="M72" s="57">
        <f>Eingaben!$B$29</f>
        <v>0.2</v>
      </c>
      <c r="N72" s="57">
        <f t="shared" si="6"/>
        <v>0.2</v>
      </c>
      <c r="O72" s="57">
        <f t="shared" si="7"/>
        <v>4</v>
      </c>
      <c r="P72" s="57">
        <f t="shared" si="8"/>
        <v>-3.8</v>
      </c>
      <c r="Q72" s="58">
        <f t="shared" si="10"/>
        <v>4.0371017600000005</v>
      </c>
      <c r="R72" s="55" t="str">
        <f t="shared" si="9"/>
        <v>Mi 02:00</v>
      </c>
      <c r="S72" s="58">
        <f t="shared" si="11"/>
        <v>33.178898240000002</v>
      </c>
    </row>
    <row r="73" spans="4:19" ht="15" customHeight="1" x14ac:dyDescent="0.35">
      <c r="D73" s="54">
        <v>52</v>
      </c>
      <c r="E73" s="54">
        <f t="shared" si="0"/>
        <v>3</v>
      </c>
      <c r="F73" s="54">
        <f t="shared" si="1"/>
        <v>3</v>
      </c>
      <c r="G73" s="55" t="str">
        <f t="shared" si="2"/>
        <v>Mi</v>
      </c>
      <c r="H73" s="56">
        <f t="shared" si="3"/>
        <v>3</v>
      </c>
      <c r="I73" s="55" t="str">
        <f t="shared" si="4"/>
        <v>Werktag</v>
      </c>
      <c r="J73" s="35">
        <f>INDEX(Zapfprofil!$B$61:$H$61,F73)</f>
        <v>0.19</v>
      </c>
      <c r="K73" s="35">
        <f>INDEX(Zapfprofil!$AL$19:$AN$42,H73+1,IF(F73&lt;=5,1,IF(F73=6,2,3)))</f>
        <v>0</v>
      </c>
      <c r="L73" s="57">
        <f t="shared" si="5"/>
        <v>0</v>
      </c>
      <c r="M73" s="57">
        <f>Eingaben!$B$29</f>
        <v>0.2</v>
      </c>
      <c r="N73" s="57">
        <f t="shared" si="6"/>
        <v>0.2</v>
      </c>
      <c r="O73" s="57">
        <f t="shared" si="7"/>
        <v>4</v>
      </c>
      <c r="P73" s="57">
        <f t="shared" si="8"/>
        <v>-3.8</v>
      </c>
      <c r="Q73" s="58">
        <f t="shared" si="10"/>
        <v>0.23710176000000072</v>
      </c>
      <c r="R73" s="55" t="str">
        <f t="shared" si="9"/>
        <v>Mi 03:00</v>
      </c>
      <c r="S73" s="58">
        <f t="shared" si="11"/>
        <v>36.978898239999999</v>
      </c>
    </row>
    <row r="74" spans="4:19" ht="15" customHeight="1" x14ac:dyDescent="0.35">
      <c r="D74" s="54">
        <v>53</v>
      </c>
      <c r="E74" s="54">
        <f t="shared" si="0"/>
        <v>3</v>
      </c>
      <c r="F74" s="54">
        <f t="shared" si="1"/>
        <v>3</v>
      </c>
      <c r="G74" s="55" t="str">
        <f t="shared" si="2"/>
        <v>Mi</v>
      </c>
      <c r="H74" s="56">
        <f t="shared" si="3"/>
        <v>4</v>
      </c>
      <c r="I74" s="55" t="str">
        <f t="shared" si="4"/>
        <v>Werktag</v>
      </c>
      <c r="J74" s="35">
        <f>INDEX(Zapfprofil!$B$61:$H$61,F74)</f>
        <v>0.19</v>
      </c>
      <c r="K74" s="35">
        <f>INDEX(Zapfprofil!$AL$19:$AN$42,H74+1,IF(F74&lt;=5,1,IF(F74=6,2,3)))</f>
        <v>0</v>
      </c>
      <c r="L74" s="57">
        <f t="shared" si="5"/>
        <v>0</v>
      </c>
      <c r="M74" s="57">
        <f>Eingaben!$B$29</f>
        <v>0.2</v>
      </c>
      <c r="N74" s="57">
        <f t="shared" si="6"/>
        <v>0.2</v>
      </c>
      <c r="O74" s="57">
        <f t="shared" si="7"/>
        <v>4</v>
      </c>
      <c r="P74" s="57">
        <f t="shared" si="8"/>
        <v>-3.8</v>
      </c>
      <c r="Q74" s="58">
        <f t="shared" si="10"/>
        <v>0</v>
      </c>
      <c r="R74" s="55" t="str">
        <f t="shared" si="9"/>
        <v>Mi 04:00</v>
      </c>
      <c r="S74" s="58">
        <f t="shared" si="11"/>
        <v>37.216000000000001</v>
      </c>
    </row>
    <row r="75" spans="4:19" ht="15" customHeight="1" x14ac:dyDescent="0.35">
      <c r="D75" s="54">
        <v>54</v>
      </c>
      <c r="E75" s="54">
        <f t="shared" si="0"/>
        <v>3</v>
      </c>
      <c r="F75" s="54">
        <f t="shared" si="1"/>
        <v>3</v>
      </c>
      <c r="G75" s="55" t="str">
        <f t="shared" si="2"/>
        <v>Mi</v>
      </c>
      <c r="H75" s="56">
        <f t="shared" si="3"/>
        <v>5</v>
      </c>
      <c r="I75" s="55" t="str">
        <f t="shared" si="4"/>
        <v>Werktag</v>
      </c>
      <c r="J75" s="35">
        <f>INDEX(Zapfprofil!$B$61:$H$61,F75)</f>
        <v>0.19</v>
      </c>
      <c r="K75" s="35">
        <f>INDEX(Zapfprofil!$AL$19:$AN$42,H75+1,IF(F75&lt;=5,1,IF(F75=6,2,3)))</f>
        <v>0</v>
      </c>
      <c r="L75" s="57">
        <f t="shared" si="5"/>
        <v>0</v>
      </c>
      <c r="M75" s="57">
        <f>Eingaben!$B$29</f>
        <v>0.2</v>
      </c>
      <c r="N75" s="57">
        <f t="shared" si="6"/>
        <v>0.2</v>
      </c>
      <c r="O75" s="57">
        <f t="shared" si="7"/>
        <v>4</v>
      </c>
      <c r="P75" s="57">
        <f t="shared" si="8"/>
        <v>-3.8</v>
      </c>
      <c r="Q75" s="58">
        <f t="shared" si="10"/>
        <v>0</v>
      </c>
      <c r="R75" s="55" t="str">
        <f t="shared" si="9"/>
        <v>Mi 05:00</v>
      </c>
      <c r="S75" s="58">
        <f t="shared" si="11"/>
        <v>37.216000000000001</v>
      </c>
    </row>
    <row r="76" spans="4:19" ht="15" customHeight="1" x14ac:dyDescent="0.35">
      <c r="D76" s="54">
        <v>55</v>
      </c>
      <c r="E76" s="54">
        <f t="shared" si="0"/>
        <v>3</v>
      </c>
      <c r="F76" s="54">
        <f t="shared" si="1"/>
        <v>3</v>
      </c>
      <c r="G76" s="55" t="str">
        <f t="shared" si="2"/>
        <v>Mi</v>
      </c>
      <c r="H76" s="56">
        <f t="shared" si="3"/>
        <v>6</v>
      </c>
      <c r="I76" s="55" t="str">
        <f t="shared" si="4"/>
        <v>Werktag</v>
      </c>
      <c r="J76" s="35">
        <f>INDEX(Zapfprofil!$B$61:$H$61,F76)</f>
        <v>0.19</v>
      </c>
      <c r="K76" s="35">
        <f>INDEX(Zapfprofil!$AL$19:$AN$42,H76+1,IF(F76&lt;=5,1,IF(F76=6,2,3)))</f>
        <v>0.02</v>
      </c>
      <c r="L76" s="57">
        <f t="shared" si="5"/>
        <v>1.6334102400000001</v>
      </c>
      <c r="M76" s="57">
        <f>Eingaben!$B$29</f>
        <v>0.2</v>
      </c>
      <c r="N76" s="57">
        <f t="shared" si="6"/>
        <v>1.8334102400000001</v>
      </c>
      <c r="O76" s="57">
        <f t="shared" si="7"/>
        <v>4</v>
      </c>
      <c r="P76" s="57">
        <f t="shared" si="8"/>
        <v>-2.1665897599999999</v>
      </c>
      <c r="Q76" s="58">
        <f t="shared" si="10"/>
        <v>0</v>
      </c>
      <c r="R76" s="55" t="str">
        <f t="shared" si="9"/>
        <v>Mi 06:00</v>
      </c>
      <c r="S76" s="58">
        <f t="shared" si="11"/>
        <v>37.216000000000001</v>
      </c>
    </row>
    <row r="77" spans="4:19" ht="15" customHeight="1" x14ac:dyDescent="0.35">
      <c r="D77" s="54">
        <v>56</v>
      </c>
      <c r="E77" s="54">
        <f t="shared" si="0"/>
        <v>3</v>
      </c>
      <c r="F77" s="54">
        <f t="shared" si="1"/>
        <v>3</v>
      </c>
      <c r="G77" s="55" t="str">
        <f t="shared" si="2"/>
        <v>Mi</v>
      </c>
      <c r="H77" s="56">
        <f t="shared" si="3"/>
        <v>7</v>
      </c>
      <c r="I77" s="55" t="str">
        <f t="shared" si="4"/>
        <v>Werktag</v>
      </c>
      <c r="J77" s="35">
        <f>INDEX(Zapfprofil!$B$61:$H$61,F77)</f>
        <v>0.19</v>
      </c>
      <c r="K77" s="35">
        <f>INDEX(Zapfprofil!$AL$19:$AN$42,H77+1,IF(F77&lt;=5,1,IF(F77=6,2,3)))</f>
        <v>0.06</v>
      </c>
      <c r="L77" s="57">
        <f t="shared" si="5"/>
        <v>4.9002307199999997</v>
      </c>
      <c r="M77" s="57">
        <f>Eingaben!$B$29</f>
        <v>0.2</v>
      </c>
      <c r="N77" s="57">
        <f t="shared" si="6"/>
        <v>5.1002307199999999</v>
      </c>
      <c r="O77" s="57">
        <f t="shared" si="7"/>
        <v>4</v>
      </c>
      <c r="P77" s="57">
        <f t="shared" si="8"/>
        <v>1.1002307199999999</v>
      </c>
      <c r="Q77" s="58">
        <f t="shared" si="10"/>
        <v>1.1002307199999999</v>
      </c>
      <c r="R77" s="55" t="str">
        <f t="shared" si="9"/>
        <v>Mi 07:00</v>
      </c>
      <c r="S77" s="58">
        <f t="shared" si="11"/>
        <v>36.115769280000002</v>
      </c>
    </row>
    <row r="78" spans="4:19" ht="15" customHeight="1" x14ac:dyDescent="0.35">
      <c r="D78" s="54">
        <v>57</v>
      </c>
      <c r="E78" s="54">
        <f t="shared" si="0"/>
        <v>3</v>
      </c>
      <c r="F78" s="54">
        <f t="shared" si="1"/>
        <v>3</v>
      </c>
      <c r="G78" s="55" t="str">
        <f t="shared" si="2"/>
        <v>Mi</v>
      </c>
      <c r="H78" s="56">
        <f t="shared" si="3"/>
        <v>8</v>
      </c>
      <c r="I78" s="55" t="str">
        <f t="shared" si="4"/>
        <v>Werktag</v>
      </c>
      <c r="J78" s="35">
        <f>INDEX(Zapfprofil!$B$61:$H$61,F78)</f>
        <v>0.19</v>
      </c>
      <c r="K78" s="35">
        <f>INDEX(Zapfprofil!$AL$19:$AN$42,H78+1,IF(F78&lt;=5,1,IF(F78=6,2,3)))</f>
        <v>0.08</v>
      </c>
      <c r="L78" s="57">
        <f t="shared" si="5"/>
        <v>6.5336409600000005</v>
      </c>
      <c r="M78" s="57">
        <f>Eingaben!$B$29</f>
        <v>0.2</v>
      </c>
      <c r="N78" s="57">
        <f t="shared" si="6"/>
        <v>6.7336409600000007</v>
      </c>
      <c r="O78" s="57">
        <f t="shared" si="7"/>
        <v>4</v>
      </c>
      <c r="P78" s="57">
        <f t="shared" si="8"/>
        <v>2.7336409600000007</v>
      </c>
      <c r="Q78" s="58">
        <f t="shared" si="10"/>
        <v>3.8338716800000006</v>
      </c>
      <c r="R78" s="55" t="str">
        <f t="shared" si="9"/>
        <v>Mi 08:00</v>
      </c>
      <c r="S78" s="58">
        <f t="shared" si="11"/>
        <v>33.38212832</v>
      </c>
    </row>
    <row r="79" spans="4:19" ht="15" customHeight="1" x14ac:dyDescent="0.35">
      <c r="D79" s="54">
        <v>58</v>
      </c>
      <c r="E79" s="54">
        <f t="shared" si="0"/>
        <v>3</v>
      </c>
      <c r="F79" s="54">
        <f t="shared" si="1"/>
        <v>3</v>
      </c>
      <c r="G79" s="55" t="str">
        <f t="shared" si="2"/>
        <v>Mi</v>
      </c>
      <c r="H79" s="56">
        <f t="shared" si="3"/>
        <v>9</v>
      </c>
      <c r="I79" s="55" t="str">
        <f t="shared" si="4"/>
        <v>Werktag</v>
      </c>
      <c r="J79" s="35">
        <f>INDEX(Zapfprofil!$B$61:$H$61,F79)</f>
        <v>0.19</v>
      </c>
      <c r="K79" s="35">
        <f>INDEX(Zapfprofil!$AL$19:$AN$42,H79+1,IF(F79&lt;=5,1,IF(F79=6,2,3)))</f>
        <v>8.5000000000000006E-2</v>
      </c>
      <c r="L79" s="57">
        <f t="shared" si="5"/>
        <v>6.9419935200000005</v>
      </c>
      <c r="M79" s="57">
        <f>Eingaben!$B$29</f>
        <v>0.2</v>
      </c>
      <c r="N79" s="57">
        <f t="shared" si="6"/>
        <v>7.1419935200000007</v>
      </c>
      <c r="O79" s="57">
        <f t="shared" si="7"/>
        <v>4</v>
      </c>
      <c r="P79" s="57">
        <f t="shared" si="8"/>
        <v>3.1419935200000007</v>
      </c>
      <c r="Q79" s="58">
        <f t="shared" si="10"/>
        <v>6.9758652000000012</v>
      </c>
      <c r="R79" s="55" t="str">
        <f t="shared" si="9"/>
        <v>Mi 09:00</v>
      </c>
      <c r="S79" s="58">
        <f t="shared" si="11"/>
        <v>30.2401348</v>
      </c>
    </row>
    <row r="80" spans="4:19" ht="15" customHeight="1" x14ac:dyDescent="0.35">
      <c r="D80" s="54">
        <v>59</v>
      </c>
      <c r="E80" s="54">
        <f t="shared" si="0"/>
        <v>3</v>
      </c>
      <c r="F80" s="54">
        <f t="shared" si="1"/>
        <v>3</v>
      </c>
      <c r="G80" s="55" t="str">
        <f t="shared" si="2"/>
        <v>Mi</v>
      </c>
      <c r="H80" s="56">
        <f t="shared" si="3"/>
        <v>10</v>
      </c>
      <c r="I80" s="55" t="str">
        <f t="shared" si="4"/>
        <v>Werktag</v>
      </c>
      <c r="J80" s="35">
        <f>INDEX(Zapfprofil!$B$61:$H$61,F80)</f>
        <v>0.19</v>
      </c>
      <c r="K80" s="35">
        <f>INDEX(Zapfprofil!$AL$19:$AN$42,H80+1,IF(F80&lt;=5,1,IF(F80=6,2,3)))</f>
        <v>8.5000000000000006E-2</v>
      </c>
      <c r="L80" s="57">
        <f t="shared" si="5"/>
        <v>6.9419935200000005</v>
      </c>
      <c r="M80" s="57">
        <f>Eingaben!$B$29</f>
        <v>0.2</v>
      </c>
      <c r="N80" s="57">
        <f t="shared" si="6"/>
        <v>7.1419935200000007</v>
      </c>
      <c r="O80" s="57">
        <f t="shared" si="7"/>
        <v>4</v>
      </c>
      <c r="P80" s="57">
        <f t="shared" si="8"/>
        <v>3.1419935200000007</v>
      </c>
      <c r="Q80" s="58">
        <f t="shared" si="10"/>
        <v>10.117858720000001</v>
      </c>
      <c r="R80" s="55" t="str">
        <f t="shared" si="9"/>
        <v>Mi 10:00</v>
      </c>
      <c r="S80" s="58">
        <f t="shared" si="11"/>
        <v>27.09814128</v>
      </c>
    </row>
    <row r="81" spans="4:19" ht="15" customHeight="1" x14ac:dyDescent="0.35">
      <c r="D81" s="54">
        <v>60</v>
      </c>
      <c r="E81" s="54">
        <f t="shared" si="0"/>
        <v>3</v>
      </c>
      <c r="F81" s="54">
        <f t="shared" si="1"/>
        <v>3</v>
      </c>
      <c r="G81" s="55" t="str">
        <f t="shared" si="2"/>
        <v>Mi</v>
      </c>
      <c r="H81" s="56">
        <f t="shared" si="3"/>
        <v>11</v>
      </c>
      <c r="I81" s="55" t="str">
        <f t="shared" si="4"/>
        <v>Werktag</v>
      </c>
      <c r="J81" s="35">
        <f>INDEX(Zapfprofil!$B$61:$H$61,F81)</f>
        <v>0.19</v>
      </c>
      <c r="K81" s="35">
        <f>INDEX(Zapfprofil!$AL$19:$AN$42,H81+1,IF(F81&lt;=5,1,IF(F81=6,2,3)))</f>
        <v>0.09</v>
      </c>
      <c r="L81" s="57">
        <f t="shared" si="5"/>
        <v>7.3503460799999996</v>
      </c>
      <c r="M81" s="57">
        <f>Eingaben!$B$29</f>
        <v>0.2</v>
      </c>
      <c r="N81" s="57">
        <f t="shared" si="6"/>
        <v>7.5503460799999997</v>
      </c>
      <c r="O81" s="57">
        <f t="shared" si="7"/>
        <v>4</v>
      </c>
      <c r="P81" s="57">
        <f t="shared" si="8"/>
        <v>3.5503460799999997</v>
      </c>
      <c r="Q81" s="58">
        <f t="shared" si="10"/>
        <v>13.668204800000002</v>
      </c>
      <c r="R81" s="55" t="str">
        <f t="shared" si="9"/>
        <v>Mi 11:00</v>
      </c>
      <c r="S81" s="58">
        <f t="shared" si="11"/>
        <v>23.547795199999999</v>
      </c>
    </row>
    <row r="82" spans="4:19" ht="15" customHeight="1" x14ac:dyDescent="0.35">
      <c r="D82" s="54">
        <v>61</v>
      </c>
      <c r="E82" s="54">
        <f t="shared" si="0"/>
        <v>3</v>
      </c>
      <c r="F82" s="54">
        <f t="shared" si="1"/>
        <v>3</v>
      </c>
      <c r="G82" s="55" t="str">
        <f t="shared" si="2"/>
        <v>Mi</v>
      </c>
      <c r="H82" s="56">
        <f t="shared" si="3"/>
        <v>12</v>
      </c>
      <c r="I82" s="55" t="str">
        <f t="shared" si="4"/>
        <v>Werktag</v>
      </c>
      <c r="J82" s="35">
        <f>INDEX(Zapfprofil!$B$61:$H$61,F82)</f>
        <v>0.19</v>
      </c>
      <c r="K82" s="35">
        <f>INDEX(Zapfprofil!$AL$19:$AN$42,H82+1,IF(F82&lt;=5,1,IF(F82=6,2,3)))</f>
        <v>0.1</v>
      </c>
      <c r="L82" s="57">
        <f t="shared" si="5"/>
        <v>8.1670512000000013</v>
      </c>
      <c r="M82" s="57">
        <f>Eingaben!$B$29</f>
        <v>0.2</v>
      </c>
      <c r="N82" s="57">
        <f t="shared" si="6"/>
        <v>8.3670512000000006</v>
      </c>
      <c r="O82" s="57">
        <f t="shared" si="7"/>
        <v>4</v>
      </c>
      <c r="P82" s="57">
        <f t="shared" si="8"/>
        <v>4.3670512000000006</v>
      </c>
      <c r="Q82" s="58">
        <f t="shared" si="10"/>
        <v>18.035256000000004</v>
      </c>
      <c r="R82" s="55" t="str">
        <f t="shared" si="9"/>
        <v>Mi 12:00</v>
      </c>
      <c r="S82" s="58">
        <f t="shared" si="11"/>
        <v>19.180743999999997</v>
      </c>
    </row>
    <row r="83" spans="4:19" ht="15" customHeight="1" x14ac:dyDescent="0.35">
      <c r="D83" s="54">
        <v>62</v>
      </c>
      <c r="E83" s="54">
        <f t="shared" si="0"/>
        <v>3</v>
      </c>
      <c r="F83" s="54">
        <f t="shared" si="1"/>
        <v>3</v>
      </c>
      <c r="G83" s="55" t="str">
        <f t="shared" si="2"/>
        <v>Mi</v>
      </c>
      <c r="H83" s="56">
        <f t="shared" si="3"/>
        <v>13</v>
      </c>
      <c r="I83" s="55" t="str">
        <f t="shared" si="4"/>
        <v>Werktag</v>
      </c>
      <c r="J83" s="35">
        <f>INDEX(Zapfprofil!$B$61:$H$61,F83)</f>
        <v>0.19</v>
      </c>
      <c r="K83" s="35">
        <f>INDEX(Zapfprofil!$AL$19:$AN$42,H83+1,IF(F83&lt;=5,1,IF(F83=6,2,3)))</f>
        <v>9.5000000000000001E-2</v>
      </c>
      <c r="L83" s="57">
        <f t="shared" si="5"/>
        <v>7.7586986400000004</v>
      </c>
      <c r="M83" s="57">
        <f>Eingaben!$B$29</f>
        <v>0.2</v>
      </c>
      <c r="N83" s="57">
        <f t="shared" si="6"/>
        <v>7.9586986400000006</v>
      </c>
      <c r="O83" s="57">
        <f t="shared" si="7"/>
        <v>4</v>
      </c>
      <c r="P83" s="57">
        <f t="shared" si="8"/>
        <v>3.9586986400000006</v>
      </c>
      <c r="Q83" s="58">
        <f t="shared" si="10"/>
        <v>21.993954640000005</v>
      </c>
      <c r="R83" s="55" t="str">
        <f t="shared" si="9"/>
        <v>Mi 13:00</v>
      </c>
      <c r="S83" s="58">
        <f t="shared" si="11"/>
        <v>15.222045359999996</v>
      </c>
    </row>
    <row r="84" spans="4:19" ht="15" customHeight="1" x14ac:dyDescent="0.35">
      <c r="D84" s="54">
        <v>63</v>
      </c>
      <c r="E84" s="54">
        <f t="shared" si="0"/>
        <v>3</v>
      </c>
      <c r="F84" s="54">
        <f t="shared" si="1"/>
        <v>3</v>
      </c>
      <c r="G84" s="55" t="str">
        <f t="shared" si="2"/>
        <v>Mi</v>
      </c>
      <c r="H84" s="56">
        <f t="shared" si="3"/>
        <v>14</v>
      </c>
      <c r="I84" s="55" t="str">
        <f t="shared" si="4"/>
        <v>Werktag</v>
      </c>
      <c r="J84" s="35">
        <f>INDEX(Zapfprofil!$B$61:$H$61,F84)</f>
        <v>0.19</v>
      </c>
      <c r="K84" s="35">
        <f>INDEX(Zapfprofil!$AL$19:$AN$42,H84+1,IF(F84&lt;=5,1,IF(F84=6,2,3)))</f>
        <v>8.5000000000000006E-2</v>
      </c>
      <c r="L84" s="57">
        <f t="shared" si="5"/>
        <v>6.9419935200000005</v>
      </c>
      <c r="M84" s="57">
        <f>Eingaben!$B$29</f>
        <v>0.2</v>
      </c>
      <c r="N84" s="57">
        <f t="shared" si="6"/>
        <v>7.1419935200000007</v>
      </c>
      <c r="O84" s="57">
        <f t="shared" si="7"/>
        <v>4</v>
      </c>
      <c r="P84" s="57">
        <f t="shared" si="8"/>
        <v>3.1419935200000007</v>
      </c>
      <c r="Q84" s="58">
        <f t="shared" si="10"/>
        <v>25.135948160000005</v>
      </c>
      <c r="R84" s="55" t="str">
        <f t="shared" si="9"/>
        <v>Mi 14:00</v>
      </c>
      <c r="S84" s="58">
        <f t="shared" si="11"/>
        <v>12.080051839999996</v>
      </c>
    </row>
    <row r="85" spans="4:19" ht="15" customHeight="1" x14ac:dyDescent="0.35">
      <c r="D85" s="54">
        <v>64</v>
      </c>
      <c r="E85" s="54">
        <f t="shared" si="0"/>
        <v>3</v>
      </c>
      <c r="F85" s="54">
        <f t="shared" si="1"/>
        <v>3</v>
      </c>
      <c r="G85" s="55" t="str">
        <f t="shared" si="2"/>
        <v>Mi</v>
      </c>
      <c r="H85" s="56">
        <f t="shared" si="3"/>
        <v>15</v>
      </c>
      <c r="I85" s="55" t="str">
        <f t="shared" si="4"/>
        <v>Werktag</v>
      </c>
      <c r="J85" s="35">
        <f>INDEX(Zapfprofil!$B$61:$H$61,F85)</f>
        <v>0.19</v>
      </c>
      <c r="K85" s="35">
        <f>INDEX(Zapfprofil!$AL$19:$AN$42,H85+1,IF(F85&lt;=5,1,IF(F85=6,2,3)))</f>
        <v>0.08</v>
      </c>
      <c r="L85" s="57">
        <f t="shared" si="5"/>
        <v>6.5336409600000005</v>
      </c>
      <c r="M85" s="57">
        <f>Eingaben!$B$29</f>
        <v>0.2</v>
      </c>
      <c r="N85" s="57">
        <f t="shared" si="6"/>
        <v>6.7336409600000007</v>
      </c>
      <c r="O85" s="57">
        <f t="shared" si="7"/>
        <v>4</v>
      </c>
      <c r="P85" s="57">
        <f t="shared" si="8"/>
        <v>2.7336409600000007</v>
      </c>
      <c r="Q85" s="58">
        <f t="shared" si="10"/>
        <v>27.869589120000008</v>
      </c>
      <c r="R85" s="55" t="str">
        <f t="shared" si="9"/>
        <v>Mi 15:00</v>
      </c>
      <c r="S85" s="58">
        <f t="shared" si="11"/>
        <v>9.3464108799999934</v>
      </c>
    </row>
    <row r="86" spans="4:19" ht="15" customHeight="1" x14ac:dyDescent="0.35">
      <c r="D86" s="54">
        <v>65</v>
      </c>
      <c r="E86" s="54">
        <f t="shared" ref="E86:E149" si="12">INT((D86-1)/24)+1</f>
        <v>3</v>
      </c>
      <c r="F86" s="54">
        <f t="shared" ref="F86:F149" si="13">MOD(E86-1,7)+1</f>
        <v>3</v>
      </c>
      <c r="G86" s="55" t="str">
        <f t="shared" ref="G86:G149" si="14">CHOOSE(F86,"Mo","Di","Mi","Do","Fr","Sa","So")</f>
        <v>Mi</v>
      </c>
      <c r="H86" s="56">
        <f t="shared" ref="H86:H149" si="15">MOD(D86-1,24)</f>
        <v>16</v>
      </c>
      <c r="I86" s="55" t="str">
        <f t="shared" ref="I86:I149" si="16">IF(F86&lt;=5,"Werktag",IF(F86=6,"Samstag","Sonntag"))</f>
        <v>Werktag</v>
      </c>
      <c r="J86" s="35">
        <f>INDEX(Zapfprofil!$B$61:$H$61,F86)</f>
        <v>0.19</v>
      </c>
      <c r="K86" s="35">
        <f>INDEX(Zapfprofil!$AL$19:$AN$42,H86+1,IF(F86&lt;=5,1,IF(F86=6,2,3)))</f>
        <v>7.4999999999999997E-2</v>
      </c>
      <c r="L86" s="57">
        <f t="shared" ref="L86:L149" si="17">$B$17*J86*K86*$B$16</f>
        <v>6.1252883999999996</v>
      </c>
      <c r="M86" s="57">
        <f>Eingaben!$B$29</f>
        <v>0.2</v>
      </c>
      <c r="N86" s="57">
        <f t="shared" ref="N86:N149" si="18">L86+M86</f>
        <v>6.3252883999999998</v>
      </c>
      <c r="O86" s="57">
        <f t="shared" ref="O86:O149" si="19">$B$12</f>
        <v>4</v>
      </c>
      <c r="P86" s="57">
        <f t="shared" ref="P86:P149" si="20">N86-O86</f>
        <v>2.3252883999999998</v>
      </c>
      <c r="Q86" s="58">
        <f t="shared" si="10"/>
        <v>30.194877520000006</v>
      </c>
      <c r="R86" s="55" t="str">
        <f t="shared" ref="R86:R149" si="21">G86&amp;" "&amp;RIGHT("0"&amp;H86,2)&amp;":00"</f>
        <v>Mi 16:00</v>
      </c>
      <c r="S86" s="58">
        <f t="shared" si="11"/>
        <v>7.0211224799999954</v>
      </c>
    </row>
    <row r="87" spans="4:19" ht="15" customHeight="1" x14ac:dyDescent="0.35">
      <c r="D87" s="54">
        <v>66</v>
      </c>
      <c r="E87" s="54">
        <f t="shared" si="12"/>
        <v>3</v>
      </c>
      <c r="F87" s="54">
        <f t="shared" si="13"/>
        <v>3</v>
      </c>
      <c r="G87" s="55" t="str">
        <f t="shared" si="14"/>
        <v>Mi</v>
      </c>
      <c r="H87" s="56">
        <f t="shared" si="15"/>
        <v>17</v>
      </c>
      <c r="I87" s="55" t="str">
        <f t="shared" si="16"/>
        <v>Werktag</v>
      </c>
      <c r="J87" s="35">
        <f>INDEX(Zapfprofil!$B$61:$H$61,F87)</f>
        <v>0.19</v>
      </c>
      <c r="K87" s="35">
        <f>INDEX(Zapfprofil!$AL$19:$AN$42,H87+1,IF(F87&lt;=5,1,IF(F87=6,2,3)))</f>
        <v>0.06</v>
      </c>
      <c r="L87" s="57">
        <f t="shared" si="17"/>
        <v>4.9002307199999997</v>
      </c>
      <c r="M87" s="57">
        <f>Eingaben!$B$29</f>
        <v>0.2</v>
      </c>
      <c r="N87" s="57">
        <f t="shared" si="18"/>
        <v>5.1002307199999999</v>
      </c>
      <c r="O87" s="57">
        <f t="shared" si="19"/>
        <v>4</v>
      </c>
      <c r="P87" s="57">
        <f t="shared" si="20"/>
        <v>1.1002307199999999</v>
      </c>
      <c r="Q87" s="58">
        <f t="shared" ref="Q87:Q150" si="22">MAX(0,Q86+P87)</f>
        <v>31.295108240000005</v>
      </c>
      <c r="R87" s="55" t="str">
        <f t="shared" si="21"/>
        <v>Mi 17:00</v>
      </c>
      <c r="S87" s="58">
        <f t="shared" ref="S87:S150" si="23">MAX(0,$B$419-Q87)</f>
        <v>5.9208917599999964</v>
      </c>
    </row>
    <row r="88" spans="4:19" ht="15" customHeight="1" x14ac:dyDescent="0.35">
      <c r="D88" s="54">
        <v>67</v>
      </c>
      <c r="E88" s="54">
        <f t="shared" si="12"/>
        <v>3</v>
      </c>
      <c r="F88" s="54">
        <f t="shared" si="13"/>
        <v>3</v>
      </c>
      <c r="G88" s="55" t="str">
        <f t="shared" si="14"/>
        <v>Mi</v>
      </c>
      <c r="H88" s="56">
        <f t="shared" si="15"/>
        <v>18</v>
      </c>
      <c r="I88" s="55" t="str">
        <f t="shared" si="16"/>
        <v>Werktag</v>
      </c>
      <c r="J88" s="35">
        <f>INDEX(Zapfprofil!$B$61:$H$61,F88)</f>
        <v>0.19</v>
      </c>
      <c r="K88" s="35">
        <f>INDEX(Zapfprofil!$AL$19:$AN$42,H88+1,IF(F88&lt;=5,1,IF(F88=6,2,3)))</f>
        <v>4.4999999999999998E-2</v>
      </c>
      <c r="L88" s="57">
        <f t="shared" si="17"/>
        <v>3.6751730399999998</v>
      </c>
      <c r="M88" s="57">
        <f>Eingaben!$B$29</f>
        <v>0.2</v>
      </c>
      <c r="N88" s="57">
        <f t="shared" si="18"/>
        <v>3.87517304</v>
      </c>
      <c r="O88" s="57">
        <f t="shared" si="19"/>
        <v>4</v>
      </c>
      <c r="P88" s="57">
        <f t="shared" si="20"/>
        <v>-0.12482696000000004</v>
      </c>
      <c r="Q88" s="58">
        <f t="shared" si="22"/>
        <v>31.170281280000005</v>
      </c>
      <c r="R88" s="55" t="str">
        <f t="shared" si="21"/>
        <v>Mi 18:00</v>
      </c>
      <c r="S88" s="58">
        <f t="shared" si="23"/>
        <v>6.0457187199999964</v>
      </c>
    </row>
    <row r="89" spans="4:19" ht="15" customHeight="1" x14ac:dyDescent="0.35">
      <c r="D89" s="54">
        <v>68</v>
      </c>
      <c r="E89" s="54">
        <f t="shared" si="12"/>
        <v>3</v>
      </c>
      <c r="F89" s="54">
        <f t="shared" si="13"/>
        <v>3</v>
      </c>
      <c r="G89" s="55" t="str">
        <f t="shared" si="14"/>
        <v>Mi</v>
      </c>
      <c r="H89" s="56">
        <f t="shared" si="15"/>
        <v>19</v>
      </c>
      <c r="I89" s="55" t="str">
        <f t="shared" si="16"/>
        <v>Werktag</v>
      </c>
      <c r="J89" s="35">
        <f>INDEX(Zapfprofil!$B$61:$H$61,F89)</f>
        <v>0.19</v>
      </c>
      <c r="K89" s="35">
        <f>INDEX(Zapfprofil!$AL$19:$AN$42,H89+1,IF(F89&lt;=5,1,IF(F89=6,2,3)))</f>
        <v>2.5000000000000001E-2</v>
      </c>
      <c r="L89" s="57">
        <f t="shared" si="17"/>
        <v>2.0417628000000003</v>
      </c>
      <c r="M89" s="57">
        <f>Eingaben!$B$29</f>
        <v>0.2</v>
      </c>
      <c r="N89" s="57">
        <f t="shared" si="18"/>
        <v>2.2417628000000005</v>
      </c>
      <c r="O89" s="57">
        <f t="shared" si="19"/>
        <v>4</v>
      </c>
      <c r="P89" s="57">
        <f t="shared" si="20"/>
        <v>-1.7582371999999995</v>
      </c>
      <c r="Q89" s="58">
        <f t="shared" si="22"/>
        <v>29.412044080000005</v>
      </c>
      <c r="R89" s="55" t="str">
        <f t="shared" si="21"/>
        <v>Mi 19:00</v>
      </c>
      <c r="S89" s="58">
        <f t="shared" si="23"/>
        <v>7.8039559199999964</v>
      </c>
    </row>
    <row r="90" spans="4:19" ht="15" customHeight="1" x14ac:dyDescent="0.35">
      <c r="D90" s="54">
        <v>69</v>
      </c>
      <c r="E90" s="54">
        <f t="shared" si="12"/>
        <v>3</v>
      </c>
      <c r="F90" s="54">
        <f t="shared" si="13"/>
        <v>3</v>
      </c>
      <c r="G90" s="55" t="str">
        <f t="shared" si="14"/>
        <v>Mi</v>
      </c>
      <c r="H90" s="56">
        <f t="shared" si="15"/>
        <v>20</v>
      </c>
      <c r="I90" s="55" t="str">
        <f t="shared" si="16"/>
        <v>Werktag</v>
      </c>
      <c r="J90" s="35">
        <f>INDEX(Zapfprofil!$B$61:$H$61,F90)</f>
        <v>0.19</v>
      </c>
      <c r="K90" s="35">
        <f>INDEX(Zapfprofil!$AL$19:$AN$42,H90+1,IF(F90&lt;=5,1,IF(F90=6,2,3)))</f>
        <v>1.4999999999999999E-2</v>
      </c>
      <c r="L90" s="57">
        <f t="shared" si="17"/>
        <v>1.2250576799999999</v>
      </c>
      <c r="M90" s="57">
        <f>Eingaben!$B$29</f>
        <v>0.2</v>
      </c>
      <c r="N90" s="57">
        <f t="shared" si="18"/>
        <v>1.4250576799999999</v>
      </c>
      <c r="O90" s="57">
        <f t="shared" si="19"/>
        <v>4</v>
      </c>
      <c r="P90" s="57">
        <f t="shared" si="20"/>
        <v>-2.5749423199999999</v>
      </c>
      <c r="Q90" s="58">
        <f t="shared" si="22"/>
        <v>26.837101760000003</v>
      </c>
      <c r="R90" s="55" t="str">
        <f t="shared" si="21"/>
        <v>Mi 20:00</v>
      </c>
      <c r="S90" s="58">
        <f t="shared" si="23"/>
        <v>10.378898239999998</v>
      </c>
    </row>
    <row r="91" spans="4:19" ht="15" customHeight="1" x14ac:dyDescent="0.35">
      <c r="D91" s="54">
        <v>70</v>
      </c>
      <c r="E91" s="54">
        <f t="shared" si="12"/>
        <v>3</v>
      </c>
      <c r="F91" s="54">
        <f t="shared" si="13"/>
        <v>3</v>
      </c>
      <c r="G91" s="55" t="str">
        <f t="shared" si="14"/>
        <v>Mi</v>
      </c>
      <c r="H91" s="56">
        <f t="shared" si="15"/>
        <v>21</v>
      </c>
      <c r="I91" s="55" t="str">
        <f t="shared" si="16"/>
        <v>Werktag</v>
      </c>
      <c r="J91" s="35">
        <f>INDEX(Zapfprofil!$B$61:$H$61,F91)</f>
        <v>0.19</v>
      </c>
      <c r="K91" s="35">
        <f>INDEX(Zapfprofil!$AL$19:$AN$42,H91+1,IF(F91&lt;=5,1,IF(F91=6,2,3)))</f>
        <v>0</v>
      </c>
      <c r="L91" s="57">
        <f t="shared" si="17"/>
        <v>0</v>
      </c>
      <c r="M91" s="57">
        <f>Eingaben!$B$29</f>
        <v>0.2</v>
      </c>
      <c r="N91" s="57">
        <f t="shared" si="18"/>
        <v>0.2</v>
      </c>
      <c r="O91" s="57">
        <f t="shared" si="19"/>
        <v>4</v>
      </c>
      <c r="P91" s="57">
        <f t="shared" si="20"/>
        <v>-3.8</v>
      </c>
      <c r="Q91" s="58">
        <f t="shared" si="22"/>
        <v>23.037101760000002</v>
      </c>
      <c r="R91" s="55" t="str">
        <f t="shared" si="21"/>
        <v>Mi 21:00</v>
      </c>
      <c r="S91" s="58">
        <f t="shared" si="23"/>
        <v>14.178898239999999</v>
      </c>
    </row>
    <row r="92" spans="4:19" ht="15" customHeight="1" x14ac:dyDescent="0.35">
      <c r="D92" s="54">
        <v>71</v>
      </c>
      <c r="E92" s="54">
        <f t="shared" si="12"/>
        <v>3</v>
      </c>
      <c r="F92" s="54">
        <f t="shared" si="13"/>
        <v>3</v>
      </c>
      <c r="G92" s="55" t="str">
        <f t="shared" si="14"/>
        <v>Mi</v>
      </c>
      <c r="H92" s="56">
        <f t="shared" si="15"/>
        <v>22</v>
      </c>
      <c r="I92" s="55" t="str">
        <f t="shared" si="16"/>
        <v>Werktag</v>
      </c>
      <c r="J92" s="35">
        <f>INDEX(Zapfprofil!$B$61:$H$61,F92)</f>
        <v>0.19</v>
      </c>
      <c r="K92" s="35">
        <f>INDEX(Zapfprofil!$AL$19:$AN$42,H92+1,IF(F92&lt;=5,1,IF(F92=6,2,3)))</f>
        <v>0</v>
      </c>
      <c r="L92" s="57">
        <f t="shared" si="17"/>
        <v>0</v>
      </c>
      <c r="M92" s="57">
        <f>Eingaben!$B$29</f>
        <v>0.2</v>
      </c>
      <c r="N92" s="57">
        <f t="shared" si="18"/>
        <v>0.2</v>
      </c>
      <c r="O92" s="57">
        <f t="shared" si="19"/>
        <v>4</v>
      </c>
      <c r="P92" s="57">
        <f t="shared" si="20"/>
        <v>-3.8</v>
      </c>
      <c r="Q92" s="58">
        <f t="shared" si="22"/>
        <v>19.237101760000002</v>
      </c>
      <c r="R92" s="55" t="str">
        <f t="shared" si="21"/>
        <v>Mi 22:00</v>
      </c>
      <c r="S92" s="58">
        <f t="shared" si="23"/>
        <v>17.978898239999999</v>
      </c>
    </row>
    <row r="93" spans="4:19" ht="15" customHeight="1" x14ac:dyDescent="0.35">
      <c r="D93" s="54">
        <v>72</v>
      </c>
      <c r="E93" s="54">
        <f t="shared" si="12"/>
        <v>3</v>
      </c>
      <c r="F93" s="54">
        <f t="shared" si="13"/>
        <v>3</v>
      </c>
      <c r="G93" s="55" t="str">
        <f t="shared" si="14"/>
        <v>Mi</v>
      </c>
      <c r="H93" s="56">
        <f t="shared" si="15"/>
        <v>23</v>
      </c>
      <c r="I93" s="55" t="str">
        <f t="shared" si="16"/>
        <v>Werktag</v>
      </c>
      <c r="J93" s="35">
        <f>INDEX(Zapfprofil!$B$61:$H$61,F93)</f>
        <v>0.19</v>
      </c>
      <c r="K93" s="35">
        <f>INDEX(Zapfprofil!$AL$19:$AN$42,H93+1,IF(F93&lt;=5,1,IF(F93=6,2,3)))</f>
        <v>0</v>
      </c>
      <c r="L93" s="57">
        <f t="shared" si="17"/>
        <v>0</v>
      </c>
      <c r="M93" s="57">
        <f>Eingaben!$B$29</f>
        <v>0.2</v>
      </c>
      <c r="N93" s="57">
        <f t="shared" si="18"/>
        <v>0.2</v>
      </c>
      <c r="O93" s="57">
        <f t="shared" si="19"/>
        <v>4</v>
      </c>
      <c r="P93" s="57">
        <f t="shared" si="20"/>
        <v>-3.8</v>
      </c>
      <c r="Q93" s="58">
        <f t="shared" si="22"/>
        <v>15.437101760000001</v>
      </c>
      <c r="R93" s="55" t="str">
        <f t="shared" si="21"/>
        <v>Mi 23:00</v>
      </c>
      <c r="S93" s="58">
        <f t="shared" si="23"/>
        <v>21.77889824</v>
      </c>
    </row>
    <row r="94" spans="4:19" ht="15" customHeight="1" x14ac:dyDescent="0.35">
      <c r="D94" s="54">
        <v>73</v>
      </c>
      <c r="E94" s="54">
        <f t="shared" si="12"/>
        <v>4</v>
      </c>
      <c r="F94" s="54">
        <f t="shared" si="13"/>
        <v>4</v>
      </c>
      <c r="G94" s="55" t="str">
        <f t="shared" si="14"/>
        <v>Do</v>
      </c>
      <c r="H94" s="56">
        <f t="shared" si="15"/>
        <v>0</v>
      </c>
      <c r="I94" s="55" t="str">
        <f t="shared" si="16"/>
        <v>Werktag</v>
      </c>
      <c r="J94" s="35">
        <f>INDEX(Zapfprofil!$B$61:$H$61,F94)</f>
        <v>0.19</v>
      </c>
      <c r="K94" s="35">
        <f>INDEX(Zapfprofil!$AL$19:$AN$42,H94+1,IF(F94&lt;=5,1,IF(F94=6,2,3)))</f>
        <v>0</v>
      </c>
      <c r="L94" s="57">
        <f t="shared" si="17"/>
        <v>0</v>
      </c>
      <c r="M94" s="57">
        <f>Eingaben!$B$29</f>
        <v>0.2</v>
      </c>
      <c r="N94" s="57">
        <f t="shared" si="18"/>
        <v>0.2</v>
      </c>
      <c r="O94" s="57">
        <f t="shared" si="19"/>
        <v>4</v>
      </c>
      <c r="P94" s="57">
        <f t="shared" si="20"/>
        <v>-3.8</v>
      </c>
      <c r="Q94" s="58">
        <f t="shared" si="22"/>
        <v>11.63710176</v>
      </c>
      <c r="R94" s="55" t="str">
        <f t="shared" si="21"/>
        <v>Do 00:00</v>
      </c>
      <c r="S94" s="58">
        <f t="shared" si="23"/>
        <v>25.578898240000001</v>
      </c>
    </row>
    <row r="95" spans="4:19" ht="15" customHeight="1" x14ac:dyDescent="0.35">
      <c r="D95" s="54">
        <v>74</v>
      </c>
      <c r="E95" s="54">
        <f t="shared" si="12"/>
        <v>4</v>
      </c>
      <c r="F95" s="54">
        <f t="shared" si="13"/>
        <v>4</v>
      </c>
      <c r="G95" s="55" t="str">
        <f t="shared" si="14"/>
        <v>Do</v>
      </c>
      <c r="H95" s="56">
        <f t="shared" si="15"/>
        <v>1</v>
      </c>
      <c r="I95" s="55" t="str">
        <f t="shared" si="16"/>
        <v>Werktag</v>
      </c>
      <c r="J95" s="35">
        <f>INDEX(Zapfprofil!$B$61:$H$61,F95)</f>
        <v>0.19</v>
      </c>
      <c r="K95" s="35">
        <f>INDEX(Zapfprofil!$AL$19:$AN$42,H95+1,IF(F95&lt;=5,1,IF(F95=6,2,3)))</f>
        <v>0</v>
      </c>
      <c r="L95" s="57">
        <f t="shared" si="17"/>
        <v>0</v>
      </c>
      <c r="M95" s="57">
        <f>Eingaben!$B$29</f>
        <v>0.2</v>
      </c>
      <c r="N95" s="57">
        <f t="shared" si="18"/>
        <v>0.2</v>
      </c>
      <c r="O95" s="57">
        <f t="shared" si="19"/>
        <v>4</v>
      </c>
      <c r="P95" s="57">
        <f t="shared" si="20"/>
        <v>-3.8</v>
      </c>
      <c r="Q95" s="58">
        <f t="shared" si="22"/>
        <v>7.8371017600000004</v>
      </c>
      <c r="R95" s="55" t="str">
        <f t="shared" si="21"/>
        <v>Do 01:00</v>
      </c>
      <c r="S95" s="58">
        <f t="shared" si="23"/>
        <v>29.378898240000002</v>
      </c>
    </row>
    <row r="96" spans="4:19" ht="15" customHeight="1" x14ac:dyDescent="0.35">
      <c r="D96" s="54">
        <v>75</v>
      </c>
      <c r="E96" s="54">
        <f t="shared" si="12"/>
        <v>4</v>
      </c>
      <c r="F96" s="54">
        <f t="shared" si="13"/>
        <v>4</v>
      </c>
      <c r="G96" s="55" t="str">
        <f t="shared" si="14"/>
        <v>Do</v>
      </c>
      <c r="H96" s="56">
        <f t="shared" si="15"/>
        <v>2</v>
      </c>
      <c r="I96" s="55" t="str">
        <f t="shared" si="16"/>
        <v>Werktag</v>
      </c>
      <c r="J96" s="35">
        <f>INDEX(Zapfprofil!$B$61:$H$61,F96)</f>
        <v>0.19</v>
      </c>
      <c r="K96" s="35">
        <f>INDEX(Zapfprofil!$AL$19:$AN$42,H96+1,IF(F96&lt;=5,1,IF(F96=6,2,3)))</f>
        <v>0</v>
      </c>
      <c r="L96" s="57">
        <f t="shared" si="17"/>
        <v>0</v>
      </c>
      <c r="M96" s="57">
        <f>Eingaben!$B$29</f>
        <v>0.2</v>
      </c>
      <c r="N96" s="57">
        <f t="shared" si="18"/>
        <v>0.2</v>
      </c>
      <c r="O96" s="57">
        <f t="shared" si="19"/>
        <v>4</v>
      </c>
      <c r="P96" s="57">
        <f t="shared" si="20"/>
        <v>-3.8</v>
      </c>
      <c r="Q96" s="58">
        <f t="shared" si="22"/>
        <v>4.0371017600000005</v>
      </c>
      <c r="R96" s="55" t="str">
        <f t="shared" si="21"/>
        <v>Do 02:00</v>
      </c>
      <c r="S96" s="58">
        <f t="shared" si="23"/>
        <v>33.178898240000002</v>
      </c>
    </row>
    <row r="97" spans="4:19" ht="15" customHeight="1" x14ac:dyDescent="0.35">
      <c r="D97" s="54">
        <v>76</v>
      </c>
      <c r="E97" s="54">
        <f t="shared" si="12"/>
        <v>4</v>
      </c>
      <c r="F97" s="54">
        <f t="shared" si="13"/>
        <v>4</v>
      </c>
      <c r="G97" s="55" t="str">
        <f t="shared" si="14"/>
        <v>Do</v>
      </c>
      <c r="H97" s="56">
        <f t="shared" si="15"/>
        <v>3</v>
      </c>
      <c r="I97" s="55" t="str">
        <f t="shared" si="16"/>
        <v>Werktag</v>
      </c>
      <c r="J97" s="35">
        <f>INDEX(Zapfprofil!$B$61:$H$61,F97)</f>
        <v>0.19</v>
      </c>
      <c r="K97" s="35">
        <f>INDEX(Zapfprofil!$AL$19:$AN$42,H97+1,IF(F97&lt;=5,1,IF(F97=6,2,3)))</f>
        <v>0</v>
      </c>
      <c r="L97" s="57">
        <f t="shared" si="17"/>
        <v>0</v>
      </c>
      <c r="M97" s="57">
        <f>Eingaben!$B$29</f>
        <v>0.2</v>
      </c>
      <c r="N97" s="57">
        <f t="shared" si="18"/>
        <v>0.2</v>
      </c>
      <c r="O97" s="57">
        <f t="shared" si="19"/>
        <v>4</v>
      </c>
      <c r="P97" s="57">
        <f t="shared" si="20"/>
        <v>-3.8</v>
      </c>
      <c r="Q97" s="58">
        <f t="shared" si="22"/>
        <v>0.23710176000000072</v>
      </c>
      <c r="R97" s="55" t="str">
        <f t="shared" si="21"/>
        <v>Do 03:00</v>
      </c>
      <c r="S97" s="58">
        <f t="shared" si="23"/>
        <v>36.978898239999999</v>
      </c>
    </row>
    <row r="98" spans="4:19" ht="15" customHeight="1" x14ac:dyDescent="0.35">
      <c r="D98" s="54">
        <v>77</v>
      </c>
      <c r="E98" s="54">
        <f t="shared" si="12"/>
        <v>4</v>
      </c>
      <c r="F98" s="54">
        <f t="shared" si="13"/>
        <v>4</v>
      </c>
      <c r="G98" s="55" t="str">
        <f t="shared" si="14"/>
        <v>Do</v>
      </c>
      <c r="H98" s="56">
        <f t="shared" si="15"/>
        <v>4</v>
      </c>
      <c r="I98" s="55" t="str">
        <f t="shared" si="16"/>
        <v>Werktag</v>
      </c>
      <c r="J98" s="35">
        <f>INDEX(Zapfprofil!$B$61:$H$61,F98)</f>
        <v>0.19</v>
      </c>
      <c r="K98" s="35">
        <f>INDEX(Zapfprofil!$AL$19:$AN$42,H98+1,IF(F98&lt;=5,1,IF(F98=6,2,3)))</f>
        <v>0</v>
      </c>
      <c r="L98" s="57">
        <f t="shared" si="17"/>
        <v>0</v>
      </c>
      <c r="M98" s="57">
        <f>Eingaben!$B$29</f>
        <v>0.2</v>
      </c>
      <c r="N98" s="57">
        <f t="shared" si="18"/>
        <v>0.2</v>
      </c>
      <c r="O98" s="57">
        <f t="shared" si="19"/>
        <v>4</v>
      </c>
      <c r="P98" s="57">
        <f t="shared" si="20"/>
        <v>-3.8</v>
      </c>
      <c r="Q98" s="58">
        <f t="shared" si="22"/>
        <v>0</v>
      </c>
      <c r="R98" s="55" t="str">
        <f t="shared" si="21"/>
        <v>Do 04:00</v>
      </c>
      <c r="S98" s="58">
        <f t="shared" si="23"/>
        <v>37.216000000000001</v>
      </c>
    </row>
    <row r="99" spans="4:19" ht="15" customHeight="1" x14ac:dyDescent="0.35">
      <c r="D99" s="54">
        <v>78</v>
      </c>
      <c r="E99" s="54">
        <f t="shared" si="12"/>
        <v>4</v>
      </c>
      <c r="F99" s="54">
        <f t="shared" si="13"/>
        <v>4</v>
      </c>
      <c r="G99" s="55" t="str">
        <f t="shared" si="14"/>
        <v>Do</v>
      </c>
      <c r="H99" s="56">
        <f t="shared" si="15"/>
        <v>5</v>
      </c>
      <c r="I99" s="55" t="str">
        <f t="shared" si="16"/>
        <v>Werktag</v>
      </c>
      <c r="J99" s="35">
        <f>INDEX(Zapfprofil!$B$61:$H$61,F99)</f>
        <v>0.19</v>
      </c>
      <c r="K99" s="35">
        <f>INDEX(Zapfprofil!$AL$19:$AN$42,H99+1,IF(F99&lt;=5,1,IF(F99=6,2,3)))</f>
        <v>0</v>
      </c>
      <c r="L99" s="57">
        <f t="shared" si="17"/>
        <v>0</v>
      </c>
      <c r="M99" s="57">
        <f>Eingaben!$B$29</f>
        <v>0.2</v>
      </c>
      <c r="N99" s="57">
        <f t="shared" si="18"/>
        <v>0.2</v>
      </c>
      <c r="O99" s="57">
        <f t="shared" si="19"/>
        <v>4</v>
      </c>
      <c r="P99" s="57">
        <f t="shared" si="20"/>
        <v>-3.8</v>
      </c>
      <c r="Q99" s="58">
        <f t="shared" si="22"/>
        <v>0</v>
      </c>
      <c r="R99" s="55" t="str">
        <f t="shared" si="21"/>
        <v>Do 05:00</v>
      </c>
      <c r="S99" s="58">
        <f t="shared" si="23"/>
        <v>37.216000000000001</v>
      </c>
    </row>
    <row r="100" spans="4:19" ht="15" customHeight="1" x14ac:dyDescent="0.35">
      <c r="D100" s="54">
        <v>79</v>
      </c>
      <c r="E100" s="54">
        <f t="shared" si="12"/>
        <v>4</v>
      </c>
      <c r="F100" s="54">
        <f t="shared" si="13"/>
        <v>4</v>
      </c>
      <c r="G100" s="55" t="str">
        <f t="shared" si="14"/>
        <v>Do</v>
      </c>
      <c r="H100" s="56">
        <f t="shared" si="15"/>
        <v>6</v>
      </c>
      <c r="I100" s="55" t="str">
        <f t="shared" si="16"/>
        <v>Werktag</v>
      </c>
      <c r="J100" s="35">
        <f>INDEX(Zapfprofil!$B$61:$H$61,F100)</f>
        <v>0.19</v>
      </c>
      <c r="K100" s="35">
        <f>INDEX(Zapfprofil!$AL$19:$AN$42,H100+1,IF(F100&lt;=5,1,IF(F100=6,2,3)))</f>
        <v>0.02</v>
      </c>
      <c r="L100" s="57">
        <f t="shared" si="17"/>
        <v>1.6334102400000001</v>
      </c>
      <c r="M100" s="57">
        <f>Eingaben!$B$29</f>
        <v>0.2</v>
      </c>
      <c r="N100" s="57">
        <f t="shared" si="18"/>
        <v>1.8334102400000001</v>
      </c>
      <c r="O100" s="57">
        <f t="shared" si="19"/>
        <v>4</v>
      </c>
      <c r="P100" s="57">
        <f t="shared" si="20"/>
        <v>-2.1665897599999999</v>
      </c>
      <c r="Q100" s="58">
        <f t="shared" si="22"/>
        <v>0</v>
      </c>
      <c r="R100" s="55" t="str">
        <f t="shared" si="21"/>
        <v>Do 06:00</v>
      </c>
      <c r="S100" s="58">
        <f t="shared" si="23"/>
        <v>37.216000000000001</v>
      </c>
    </row>
    <row r="101" spans="4:19" ht="15" customHeight="1" x14ac:dyDescent="0.35">
      <c r="D101" s="54">
        <v>80</v>
      </c>
      <c r="E101" s="54">
        <f t="shared" si="12"/>
        <v>4</v>
      </c>
      <c r="F101" s="54">
        <f t="shared" si="13"/>
        <v>4</v>
      </c>
      <c r="G101" s="55" t="str">
        <f t="shared" si="14"/>
        <v>Do</v>
      </c>
      <c r="H101" s="56">
        <f t="shared" si="15"/>
        <v>7</v>
      </c>
      <c r="I101" s="55" t="str">
        <f t="shared" si="16"/>
        <v>Werktag</v>
      </c>
      <c r="J101" s="35">
        <f>INDEX(Zapfprofil!$B$61:$H$61,F101)</f>
        <v>0.19</v>
      </c>
      <c r="K101" s="35">
        <f>INDEX(Zapfprofil!$AL$19:$AN$42,H101+1,IF(F101&lt;=5,1,IF(F101=6,2,3)))</f>
        <v>0.06</v>
      </c>
      <c r="L101" s="57">
        <f t="shared" si="17"/>
        <v>4.9002307199999997</v>
      </c>
      <c r="M101" s="57">
        <f>Eingaben!$B$29</f>
        <v>0.2</v>
      </c>
      <c r="N101" s="57">
        <f t="shared" si="18"/>
        <v>5.1002307199999999</v>
      </c>
      <c r="O101" s="57">
        <f t="shared" si="19"/>
        <v>4</v>
      </c>
      <c r="P101" s="57">
        <f t="shared" si="20"/>
        <v>1.1002307199999999</v>
      </c>
      <c r="Q101" s="58">
        <f t="shared" si="22"/>
        <v>1.1002307199999999</v>
      </c>
      <c r="R101" s="55" t="str">
        <f t="shared" si="21"/>
        <v>Do 07:00</v>
      </c>
      <c r="S101" s="58">
        <f t="shared" si="23"/>
        <v>36.115769280000002</v>
      </c>
    </row>
    <row r="102" spans="4:19" ht="15" customHeight="1" x14ac:dyDescent="0.35">
      <c r="D102" s="54">
        <v>81</v>
      </c>
      <c r="E102" s="54">
        <f t="shared" si="12"/>
        <v>4</v>
      </c>
      <c r="F102" s="54">
        <f t="shared" si="13"/>
        <v>4</v>
      </c>
      <c r="G102" s="55" t="str">
        <f t="shared" si="14"/>
        <v>Do</v>
      </c>
      <c r="H102" s="56">
        <f t="shared" si="15"/>
        <v>8</v>
      </c>
      <c r="I102" s="55" t="str">
        <f t="shared" si="16"/>
        <v>Werktag</v>
      </c>
      <c r="J102" s="35">
        <f>INDEX(Zapfprofil!$B$61:$H$61,F102)</f>
        <v>0.19</v>
      </c>
      <c r="K102" s="35">
        <f>INDEX(Zapfprofil!$AL$19:$AN$42,H102+1,IF(F102&lt;=5,1,IF(F102=6,2,3)))</f>
        <v>0.08</v>
      </c>
      <c r="L102" s="57">
        <f t="shared" si="17"/>
        <v>6.5336409600000005</v>
      </c>
      <c r="M102" s="57">
        <f>Eingaben!$B$29</f>
        <v>0.2</v>
      </c>
      <c r="N102" s="57">
        <f t="shared" si="18"/>
        <v>6.7336409600000007</v>
      </c>
      <c r="O102" s="57">
        <f t="shared" si="19"/>
        <v>4</v>
      </c>
      <c r="P102" s="57">
        <f t="shared" si="20"/>
        <v>2.7336409600000007</v>
      </c>
      <c r="Q102" s="58">
        <f t="shared" si="22"/>
        <v>3.8338716800000006</v>
      </c>
      <c r="R102" s="55" t="str">
        <f t="shared" si="21"/>
        <v>Do 08:00</v>
      </c>
      <c r="S102" s="58">
        <f t="shared" si="23"/>
        <v>33.38212832</v>
      </c>
    </row>
    <row r="103" spans="4:19" ht="15" customHeight="1" x14ac:dyDescent="0.35">
      <c r="D103" s="54">
        <v>82</v>
      </c>
      <c r="E103" s="54">
        <f t="shared" si="12"/>
        <v>4</v>
      </c>
      <c r="F103" s="54">
        <f t="shared" si="13"/>
        <v>4</v>
      </c>
      <c r="G103" s="55" t="str">
        <f t="shared" si="14"/>
        <v>Do</v>
      </c>
      <c r="H103" s="56">
        <f t="shared" si="15"/>
        <v>9</v>
      </c>
      <c r="I103" s="55" t="str">
        <f t="shared" si="16"/>
        <v>Werktag</v>
      </c>
      <c r="J103" s="35">
        <f>INDEX(Zapfprofil!$B$61:$H$61,F103)</f>
        <v>0.19</v>
      </c>
      <c r="K103" s="35">
        <f>INDEX(Zapfprofil!$AL$19:$AN$42,H103+1,IF(F103&lt;=5,1,IF(F103=6,2,3)))</f>
        <v>8.5000000000000006E-2</v>
      </c>
      <c r="L103" s="57">
        <f t="shared" si="17"/>
        <v>6.9419935200000005</v>
      </c>
      <c r="M103" s="57">
        <f>Eingaben!$B$29</f>
        <v>0.2</v>
      </c>
      <c r="N103" s="57">
        <f t="shared" si="18"/>
        <v>7.1419935200000007</v>
      </c>
      <c r="O103" s="57">
        <f t="shared" si="19"/>
        <v>4</v>
      </c>
      <c r="P103" s="57">
        <f t="shared" si="20"/>
        <v>3.1419935200000007</v>
      </c>
      <c r="Q103" s="58">
        <f t="shared" si="22"/>
        <v>6.9758652000000012</v>
      </c>
      <c r="R103" s="55" t="str">
        <f t="shared" si="21"/>
        <v>Do 09:00</v>
      </c>
      <c r="S103" s="58">
        <f t="shared" si="23"/>
        <v>30.2401348</v>
      </c>
    </row>
    <row r="104" spans="4:19" ht="15" customHeight="1" x14ac:dyDescent="0.35">
      <c r="D104" s="54">
        <v>83</v>
      </c>
      <c r="E104" s="54">
        <f t="shared" si="12"/>
        <v>4</v>
      </c>
      <c r="F104" s="54">
        <f t="shared" si="13"/>
        <v>4</v>
      </c>
      <c r="G104" s="55" t="str">
        <f t="shared" si="14"/>
        <v>Do</v>
      </c>
      <c r="H104" s="56">
        <f t="shared" si="15"/>
        <v>10</v>
      </c>
      <c r="I104" s="55" t="str">
        <f t="shared" si="16"/>
        <v>Werktag</v>
      </c>
      <c r="J104" s="35">
        <f>INDEX(Zapfprofil!$B$61:$H$61,F104)</f>
        <v>0.19</v>
      </c>
      <c r="K104" s="35">
        <f>INDEX(Zapfprofil!$AL$19:$AN$42,H104+1,IF(F104&lt;=5,1,IF(F104=6,2,3)))</f>
        <v>8.5000000000000006E-2</v>
      </c>
      <c r="L104" s="57">
        <f t="shared" si="17"/>
        <v>6.9419935200000005</v>
      </c>
      <c r="M104" s="57">
        <f>Eingaben!$B$29</f>
        <v>0.2</v>
      </c>
      <c r="N104" s="57">
        <f t="shared" si="18"/>
        <v>7.1419935200000007</v>
      </c>
      <c r="O104" s="57">
        <f t="shared" si="19"/>
        <v>4</v>
      </c>
      <c r="P104" s="57">
        <f t="shared" si="20"/>
        <v>3.1419935200000007</v>
      </c>
      <c r="Q104" s="58">
        <f t="shared" si="22"/>
        <v>10.117858720000001</v>
      </c>
      <c r="R104" s="55" t="str">
        <f t="shared" si="21"/>
        <v>Do 10:00</v>
      </c>
      <c r="S104" s="58">
        <f t="shared" si="23"/>
        <v>27.09814128</v>
      </c>
    </row>
    <row r="105" spans="4:19" ht="15" customHeight="1" x14ac:dyDescent="0.35">
      <c r="D105" s="54">
        <v>84</v>
      </c>
      <c r="E105" s="54">
        <f t="shared" si="12"/>
        <v>4</v>
      </c>
      <c r="F105" s="54">
        <f t="shared" si="13"/>
        <v>4</v>
      </c>
      <c r="G105" s="55" t="str">
        <f t="shared" si="14"/>
        <v>Do</v>
      </c>
      <c r="H105" s="56">
        <f t="shared" si="15"/>
        <v>11</v>
      </c>
      <c r="I105" s="55" t="str">
        <f t="shared" si="16"/>
        <v>Werktag</v>
      </c>
      <c r="J105" s="35">
        <f>INDEX(Zapfprofil!$B$61:$H$61,F105)</f>
        <v>0.19</v>
      </c>
      <c r="K105" s="35">
        <f>INDEX(Zapfprofil!$AL$19:$AN$42,H105+1,IF(F105&lt;=5,1,IF(F105=6,2,3)))</f>
        <v>0.09</v>
      </c>
      <c r="L105" s="57">
        <f t="shared" si="17"/>
        <v>7.3503460799999996</v>
      </c>
      <c r="M105" s="57">
        <f>Eingaben!$B$29</f>
        <v>0.2</v>
      </c>
      <c r="N105" s="57">
        <f t="shared" si="18"/>
        <v>7.5503460799999997</v>
      </c>
      <c r="O105" s="57">
        <f t="shared" si="19"/>
        <v>4</v>
      </c>
      <c r="P105" s="57">
        <f t="shared" si="20"/>
        <v>3.5503460799999997</v>
      </c>
      <c r="Q105" s="58">
        <f t="shared" si="22"/>
        <v>13.668204800000002</v>
      </c>
      <c r="R105" s="55" t="str">
        <f t="shared" si="21"/>
        <v>Do 11:00</v>
      </c>
      <c r="S105" s="58">
        <f t="shared" si="23"/>
        <v>23.547795199999999</v>
      </c>
    </row>
    <row r="106" spans="4:19" ht="15" customHeight="1" x14ac:dyDescent="0.35">
      <c r="D106" s="54">
        <v>85</v>
      </c>
      <c r="E106" s="54">
        <f t="shared" si="12"/>
        <v>4</v>
      </c>
      <c r="F106" s="54">
        <f t="shared" si="13"/>
        <v>4</v>
      </c>
      <c r="G106" s="55" t="str">
        <f t="shared" si="14"/>
        <v>Do</v>
      </c>
      <c r="H106" s="56">
        <f t="shared" si="15"/>
        <v>12</v>
      </c>
      <c r="I106" s="55" t="str">
        <f t="shared" si="16"/>
        <v>Werktag</v>
      </c>
      <c r="J106" s="35">
        <f>INDEX(Zapfprofil!$B$61:$H$61,F106)</f>
        <v>0.19</v>
      </c>
      <c r="K106" s="35">
        <f>INDEX(Zapfprofil!$AL$19:$AN$42,H106+1,IF(F106&lt;=5,1,IF(F106=6,2,3)))</f>
        <v>0.1</v>
      </c>
      <c r="L106" s="57">
        <f t="shared" si="17"/>
        <v>8.1670512000000013</v>
      </c>
      <c r="M106" s="57">
        <f>Eingaben!$B$29</f>
        <v>0.2</v>
      </c>
      <c r="N106" s="57">
        <f t="shared" si="18"/>
        <v>8.3670512000000006</v>
      </c>
      <c r="O106" s="57">
        <f t="shared" si="19"/>
        <v>4</v>
      </c>
      <c r="P106" s="57">
        <f t="shared" si="20"/>
        <v>4.3670512000000006</v>
      </c>
      <c r="Q106" s="58">
        <f t="shared" si="22"/>
        <v>18.035256000000004</v>
      </c>
      <c r="R106" s="55" t="str">
        <f t="shared" si="21"/>
        <v>Do 12:00</v>
      </c>
      <c r="S106" s="58">
        <f t="shared" si="23"/>
        <v>19.180743999999997</v>
      </c>
    </row>
    <row r="107" spans="4:19" ht="15" customHeight="1" x14ac:dyDescent="0.35">
      <c r="D107" s="54">
        <v>86</v>
      </c>
      <c r="E107" s="54">
        <f t="shared" si="12"/>
        <v>4</v>
      </c>
      <c r="F107" s="54">
        <f t="shared" si="13"/>
        <v>4</v>
      </c>
      <c r="G107" s="55" t="str">
        <f t="shared" si="14"/>
        <v>Do</v>
      </c>
      <c r="H107" s="56">
        <f t="shared" si="15"/>
        <v>13</v>
      </c>
      <c r="I107" s="55" t="str">
        <f t="shared" si="16"/>
        <v>Werktag</v>
      </c>
      <c r="J107" s="35">
        <f>INDEX(Zapfprofil!$B$61:$H$61,F107)</f>
        <v>0.19</v>
      </c>
      <c r="K107" s="35">
        <f>INDEX(Zapfprofil!$AL$19:$AN$42,H107+1,IF(F107&lt;=5,1,IF(F107=6,2,3)))</f>
        <v>9.5000000000000001E-2</v>
      </c>
      <c r="L107" s="57">
        <f t="shared" si="17"/>
        <v>7.7586986400000004</v>
      </c>
      <c r="M107" s="57">
        <f>Eingaben!$B$29</f>
        <v>0.2</v>
      </c>
      <c r="N107" s="57">
        <f t="shared" si="18"/>
        <v>7.9586986400000006</v>
      </c>
      <c r="O107" s="57">
        <f t="shared" si="19"/>
        <v>4</v>
      </c>
      <c r="P107" s="57">
        <f t="shared" si="20"/>
        <v>3.9586986400000006</v>
      </c>
      <c r="Q107" s="58">
        <f t="shared" si="22"/>
        <v>21.993954640000005</v>
      </c>
      <c r="R107" s="55" t="str">
        <f t="shared" si="21"/>
        <v>Do 13:00</v>
      </c>
      <c r="S107" s="58">
        <f t="shared" si="23"/>
        <v>15.222045359999996</v>
      </c>
    </row>
    <row r="108" spans="4:19" ht="15" customHeight="1" x14ac:dyDescent="0.35">
      <c r="D108" s="54">
        <v>87</v>
      </c>
      <c r="E108" s="54">
        <f t="shared" si="12"/>
        <v>4</v>
      </c>
      <c r="F108" s="54">
        <f t="shared" si="13"/>
        <v>4</v>
      </c>
      <c r="G108" s="55" t="str">
        <f t="shared" si="14"/>
        <v>Do</v>
      </c>
      <c r="H108" s="56">
        <f t="shared" si="15"/>
        <v>14</v>
      </c>
      <c r="I108" s="55" t="str">
        <f t="shared" si="16"/>
        <v>Werktag</v>
      </c>
      <c r="J108" s="35">
        <f>INDEX(Zapfprofil!$B$61:$H$61,F108)</f>
        <v>0.19</v>
      </c>
      <c r="K108" s="35">
        <f>INDEX(Zapfprofil!$AL$19:$AN$42,H108+1,IF(F108&lt;=5,1,IF(F108=6,2,3)))</f>
        <v>8.5000000000000006E-2</v>
      </c>
      <c r="L108" s="57">
        <f t="shared" si="17"/>
        <v>6.9419935200000005</v>
      </c>
      <c r="M108" s="57">
        <f>Eingaben!$B$29</f>
        <v>0.2</v>
      </c>
      <c r="N108" s="57">
        <f t="shared" si="18"/>
        <v>7.1419935200000007</v>
      </c>
      <c r="O108" s="57">
        <f t="shared" si="19"/>
        <v>4</v>
      </c>
      <c r="P108" s="57">
        <f t="shared" si="20"/>
        <v>3.1419935200000007</v>
      </c>
      <c r="Q108" s="58">
        <f t="shared" si="22"/>
        <v>25.135948160000005</v>
      </c>
      <c r="R108" s="55" t="str">
        <f t="shared" si="21"/>
        <v>Do 14:00</v>
      </c>
      <c r="S108" s="58">
        <f t="shared" si="23"/>
        <v>12.080051839999996</v>
      </c>
    </row>
    <row r="109" spans="4:19" ht="15" customHeight="1" x14ac:dyDescent="0.35">
      <c r="D109" s="54">
        <v>88</v>
      </c>
      <c r="E109" s="54">
        <f t="shared" si="12"/>
        <v>4</v>
      </c>
      <c r="F109" s="54">
        <f t="shared" si="13"/>
        <v>4</v>
      </c>
      <c r="G109" s="55" t="str">
        <f t="shared" si="14"/>
        <v>Do</v>
      </c>
      <c r="H109" s="56">
        <f t="shared" si="15"/>
        <v>15</v>
      </c>
      <c r="I109" s="55" t="str">
        <f t="shared" si="16"/>
        <v>Werktag</v>
      </c>
      <c r="J109" s="35">
        <f>INDEX(Zapfprofil!$B$61:$H$61,F109)</f>
        <v>0.19</v>
      </c>
      <c r="K109" s="35">
        <f>INDEX(Zapfprofil!$AL$19:$AN$42,H109+1,IF(F109&lt;=5,1,IF(F109=6,2,3)))</f>
        <v>0.08</v>
      </c>
      <c r="L109" s="57">
        <f t="shared" si="17"/>
        <v>6.5336409600000005</v>
      </c>
      <c r="M109" s="57">
        <f>Eingaben!$B$29</f>
        <v>0.2</v>
      </c>
      <c r="N109" s="57">
        <f t="shared" si="18"/>
        <v>6.7336409600000007</v>
      </c>
      <c r="O109" s="57">
        <f t="shared" si="19"/>
        <v>4</v>
      </c>
      <c r="P109" s="57">
        <f t="shared" si="20"/>
        <v>2.7336409600000007</v>
      </c>
      <c r="Q109" s="58">
        <f t="shared" si="22"/>
        <v>27.869589120000008</v>
      </c>
      <c r="R109" s="55" t="str">
        <f t="shared" si="21"/>
        <v>Do 15:00</v>
      </c>
      <c r="S109" s="58">
        <f t="shared" si="23"/>
        <v>9.3464108799999934</v>
      </c>
    </row>
    <row r="110" spans="4:19" ht="15" customHeight="1" x14ac:dyDescent="0.35">
      <c r="D110" s="54">
        <v>89</v>
      </c>
      <c r="E110" s="54">
        <f t="shared" si="12"/>
        <v>4</v>
      </c>
      <c r="F110" s="54">
        <f t="shared" si="13"/>
        <v>4</v>
      </c>
      <c r="G110" s="55" t="str">
        <f t="shared" si="14"/>
        <v>Do</v>
      </c>
      <c r="H110" s="56">
        <f t="shared" si="15"/>
        <v>16</v>
      </c>
      <c r="I110" s="55" t="str">
        <f t="shared" si="16"/>
        <v>Werktag</v>
      </c>
      <c r="J110" s="35">
        <f>INDEX(Zapfprofil!$B$61:$H$61,F110)</f>
        <v>0.19</v>
      </c>
      <c r="K110" s="35">
        <f>INDEX(Zapfprofil!$AL$19:$AN$42,H110+1,IF(F110&lt;=5,1,IF(F110=6,2,3)))</f>
        <v>7.4999999999999997E-2</v>
      </c>
      <c r="L110" s="57">
        <f t="shared" si="17"/>
        <v>6.1252883999999996</v>
      </c>
      <c r="M110" s="57">
        <f>Eingaben!$B$29</f>
        <v>0.2</v>
      </c>
      <c r="N110" s="57">
        <f t="shared" si="18"/>
        <v>6.3252883999999998</v>
      </c>
      <c r="O110" s="57">
        <f t="shared" si="19"/>
        <v>4</v>
      </c>
      <c r="P110" s="57">
        <f t="shared" si="20"/>
        <v>2.3252883999999998</v>
      </c>
      <c r="Q110" s="58">
        <f t="shared" si="22"/>
        <v>30.194877520000006</v>
      </c>
      <c r="R110" s="55" t="str">
        <f t="shared" si="21"/>
        <v>Do 16:00</v>
      </c>
      <c r="S110" s="58">
        <f t="shared" si="23"/>
        <v>7.0211224799999954</v>
      </c>
    </row>
    <row r="111" spans="4:19" ht="15" customHeight="1" x14ac:dyDescent="0.35">
      <c r="D111" s="54">
        <v>90</v>
      </c>
      <c r="E111" s="54">
        <f t="shared" si="12"/>
        <v>4</v>
      </c>
      <c r="F111" s="54">
        <f t="shared" si="13"/>
        <v>4</v>
      </c>
      <c r="G111" s="55" t="str">
        <f t="shared" si="14"/>
        <v>Do</v>
      </c>
      <c r="H111" s="56">
        <f t="shared" si="15"/>
        <v>17</v>
      </c>
      <c r="I111" s="55" t="str">
        <f t="shared" si="16"/>
        <v>Werktag</v>
      </c>
      <c r="J111" s="35">
        <f>INDEX(Zapfprofil!$B$61:$H$61,F111)</f>
        <v>0.19</v>
      </c>
      <c r="K111" s="35">
        <f>INDEX(Zapfprofil!$AL$19:$AN$42,H111+1,IF(F111&lt;=5,1,IF(F111=6,2,3)))</f>
        <v>0.06</v>
      </c>
      <c r="L111" s="57">
        <f t="shared" si="17"/>
        <v>4.9002307199999997</v>
      </c>
      <c r="M111" s="57">
        <f>Eingaben!$B$29</f>
        <v>0.2</v>
      </c>
      <c r="N111" s="57">
        <f t="shared" si="18"/>
        <v>5.1002307199999999</v>
      </c>
      <c r="O111" s="57">
        <f t="shared" si="19"/>
        <v>4</v>
      </c>
      <c r="P111" s="57">
        <f t="shared" si="20"/>
        <v>1.1002307199999999</v>
      </c>
      <c r="Q111" s="58">
        <f t="shared" si="22"/>
        <v>31.295108240000005</v>
      </c>
      <c r="R111" s="55" t="str">
        <f t="shared" si="21"/>
        <v>Do 17:00</v>
      </c>
      <c r="S111" s="58">
        <f t="shared" si="23"/>
        <v>5.9208917599999964</v>
      </c>
    </row>
    <row r="112" spans="4:19" ht="15" customHeight="1" x14ac:dyDescent="0.35">
      <c r="D112" s="54">
        <v>91</v>
      </c>
      <c r="E112" s="54">
        <f t="shared" si="12"/>
        <v>4</v>
      </c>
      <c r="F112" s="54">
        <f t="shared" si="13"/>
        <v>4</v>
      </c>
      <c r="G112" s="55" t="str">
        <f t="shared" si="14"/>
        <v>Do</v>
      </c>
      <c r="H112" s="56">
        <f t="shared" si="15"/>
        <v>18</v>
      </c>
      <c r="I112" s="55" t="str">
        <f t="shared" si="16"/>
        <v>Werktag</v>
      </c>
      <c r="J112" s="35">
        <f>INDEX(Zapfprofil!$B$61:$H$61,F112)</f>
        <v>0.19</v>
      </c>
      <c r="K112" s="35">
        <f>INDEX(Zapfprofil!$AL$19:$AN$42,H112+1,IF(F112&lt;=5,1,IF(F112=6,2,3)))</f>
        <v>4.4999999999999998E-2</v>
      </c>
      <c r="L112" s="57">
        <f t="shared" si="17"/>
        <v>3.6751730399999998</v>
      </c>
      <c r="M112" s="57">
        <f>Eingaben!$B$29</f>
        <v>0.2</v>
      </c>
      <c r="N112" s="57">
        <f t="shared" si="18"/>
        <v>3.87517304</v>
      </c>
      <c r="O112" s="57">
        <f t="shared" si="19"/>
        <v>4</v>
      </c>
      <c r="P112" s="57">
        <f t="shared" si="20"/>
        <v>-0.12482696000000004</v>
      </c>
      <c r="Q112" s="58">
        <f t="shared" si="22"/>
        <v>31.170281280000005</v>
      </c>
      <c r="R112" s="55" t="str">
        <f t="shared" si="21"/>
        <v>Do 18:00</v>
      </c>
      <c r="S112" s="58">
        <f t="shared" si="23"/>
        <v>6.0457187199999964</v>
      </c>
    </row>
    <row r="113" spans="4:19" ht="15" customHeight="1" x14ac:dyDescent="0.35">
      <c r="D113" s="54">
        <v>92</v>
      </c>
      <c r="E113" s="54">
        <f t="shared" si="12"/>
        <v>4</v>
      </c>
      <c r="F113" s="54">
        <f t="shared" si="13"/>
        <v>4</v>
      </c>
      <c r="G113" s="55" t="str">
        <f t="shared" si="14"/>
        <v>Do</v>
      </c>
      <c r="H113" s="56">
        <f t="shared" si="15"/>
        <v>19</v>
      </c>
      <c r="I113" s="55" t="str">
        <f t="shared" si="16"/>
        <v>Werktag</v>
      </c>
      <c r="J113" s="35">
        <f>INDEX(Zapfprofil!$B$61:$H$61,F113)</f>
        <v>0.19</v>
      </c>
      <c r="K113" s="35">
        <f>INDEX(Zapfprofil!$AL$19:$AN$42,H113+1,IF(F113&lt;=5,1,IF(F113=6,2,3)))</f>
        <v>2.5000000000000001E-2</v>
      </c>
      <c r="L113" s="57">
        <f t="shared" si="17"/>
        <v>2.0417628000000003</v>
      </c>
      <c r="M113" s="57">
        <f>Eingaben!$B$29</f>
        <v>0.2</v>
      </c>
      <c r="N113" s="57">
        <f t="shared" si="18"/>
        <v>2.2417628000000005</v>
      </c>
      <c r="O113" s="57">
        <f t="shared" si="19"/>
        <v>4</v>
      </c>
      <c r="P113" s="57">
        <f t="shared" si="20"/>
        <v>-1.7582371999999995</v>
      </c>
      <c r="Q113" s="58">
        <f t="shared" si="22"/>
        <v>29.412044080000005</v>
      </c>
      <c r="R113" s="55" t="str">
        <f t="shared" si="21"/>
        <v>Do 19:00</v>
      </c>
      <c r="S113" s="58">
        <f t="shared" si="23"/>
        <v>7.8039559199999964</v>
      </c>
    </row>
    <row r="114" spans="4:19" ht="15" customHeight="1" x14ac:dyDescent="0.35">
      <c r="D114" s="54">
        <v>93</v>
      </c>
      <c r="E114" s="54">
        <f t="shared" si="12"/>
        <v>4</v>
      </c>
      <c r="F114" s="54">
        <f t="shared" si="13"/>
        <v>4</v>
      </c>
      <c r="G114" s="55" t="str">
        <f t="shared" si="14"/>
        <v>Do</v>
      </c>
      <c r="H114" s="56">
        <f t="shared" si="15"/>
        <v>20</v>
      </c>
      <c r="I114" s="55" t="str">
        <f t="shared" si="16"/>
        <v>Werktag</v>
      </c>
      <c r="J114" s="35">
        <f>INDEX(Zapfprofil!$B$61:$H$61,F114)</f>
        <v>0.19</v>
      </c>
      <c r="K114" s="35">
        <f>INDEX(Zapfprofil!$AL$19:$AN$42,H114+1,IF(F114&lt;=5,1,IF(F114=6,2,3)))</f>
        <v>1.4999999999999999E-2</v>
      </c>
      <c r="L114" s="57">
        <f t="shared" si="17"/>
        <v>1.2250576799999999</v>
      </c>
      <c r="M114" s="57">
        <f>Eingaben!$B$29</f>
        <v>0.2</v>
      </c>
      <c r="N114" s="57">
        <f t="shared" si="18"/>
        <v>1.4250576799999999</v>
      </c>
      <c r="O114" s="57">
        <f t="shared" si="19"/>
        <v>4</v>
      </c>
      <c r="P114" s="57">
        <f t="shared" si="20"/>
        <v>-2.5749423199999999</v>
      </c>
      <c r="Q114" s="58">
        <f t="shared" si="22"/>
        <v>26.837101760000003</v>
      </c>
      <c r="R114" s="55" t="str">
        <f t="shared" si="21"/>
        <v>Do 20:00</v>
      </c>
      <c r="S114" s="58">
        <f t="shared" si="23"/>
        <v>10.378898239999998</v>
      </c>
    </row>
    <row r="115" spans="4:19" ht="15" customHeight="1" x14ac:dyDescent="0.35">
      <c r="D115" s="54">
        <v>94</v>
      </c>
      <c r="E115" s="54">
        <f t="shared" si="12"/>
        <v>4</v>
      </c>
      <c r="F115" s="54">
        <f t="shared" si="13"/>
        <v>4</v>
      </c>
      <c r="G115" s="55" t="str">
        <f t="shared" si="14"/>
        <v>Do</v>
      </c>
      <c r="H115" s="56">
        <f t="shared" si="15"/>
        <v>21</v>
      </c>
      <c r="I115" s="55" t="str">
        <f t="shared" si="16"/>
        <v>Werktag</v>
      </c>
      <c r="J115" s="35">
        <f>INDEX(Zapfprofil!$B$61:$H$61,F115)</f>
        <v>0.19</v>
      </c>
      <c r="K115" s="35">
        <f>INDEX(Zapfprofil!$AL$19:$AN$42,H115+1,IF(F115&lt;=5,1,IF(F115=6,2,3)))</f>
        <v>0</v>
      </c>
      <c r="L115" s="57">
        <f t="shared" si="17"/>
        <v>0</v>
      </c>
      <c r="M115" s="57">
        <f>Eingaben!$B$29</f>
        <v>0.2</v>
      </c>
      <c r="N115" s="57">
        <f t="shared" si="18"/>
        <v>0.2</v>
      </c>
      <c r="O115" s="57">
        <f t="shared" si="19"/>
        <v>4</v>
      </c>
      <c r="P115" s="57">
        <f t="shared" si="20"/>
        <v>-3.8</v>
      </c>
      <c r="Q115" s="58">
        <f t="shared" si="22"/>
        <v>23.037101760000002</v>
      </c>
      <c r="R115" s="55" t="str">
        <f t="shared" si="21"/>
        <v>Do 21:00</v>
      </c>
      <c r="S115" s="58">
        <f t="shared" si="23"/>
        <v>14.178898239999999</v>
      </c>
    </row>
    <row r="116" spans="4:19" ht="15" customHeight="1" x14ac:dyDescent="0.35">
      <c r="D116" s="54">
        <v>95</v>
      </c>
      <c r="E116" s="54">
        <f t="shared" si="12"/>
        <v>4</v>
      </c>
      <c r="F116" s="54">
        <f t="shared" si="13"/>
        <v>4</v>
      </c>
      <c r="G116" s="55" t="str">
        <f t="shared" si="14"/>
        <v>Do</v>
      </c>
      <c r="H116" s="56">
        <f t="shared" si="15"/>
        <v>22</v>
      </c>
      <c r="I116" s="55" t="str">
        <f t="shared" si="16"/>
        <v>Werktag</v>
      </c>
      <c r="J116" s="35">
        <f>INDEX(Zapfprofil!$B$61:$H$61,F116)</f>
        <v>0.19</v>
      </c>
      <c r="K116" s="35">
        <f>INDEX(Zapfprofil!$AL$19:$AN$42,H116+1,IF(F116&lt;=5,1,IF(F116=6,2,3)))</f>
        <v>0</v>
      </c>
      <c r="L116" s="57">
        <f t="shared" si="17"/>
        <v>0</v>
      </c>
      <c r="M116" s="57">
        <f>Eingaben!$B$29</f>
        <v>0.2</v>
      </c>
      <c r="N116" s="57">
        <f t="shared" si="18"/>
        <v>0.2</v>
      </c>
      <c r="O116" s="57">
        <f t="shared" si="19"/>
        <v>4</v>
      </c>
      <c r="P116" s="57">
        <f t="shared" si="20"/>
        <v>-3.8</v>
      </c>
      <c r="Q116" s="58">
        <f t="shared" si="22"/>
        <v>19.237101760000002</v>
      </c>
      <c r="R116" s="55" t="str">
        <f t="shared" si="21"/>
        <v>Do 22:00</v>
      </c>
      <c r="S116" s="58">
        <f t="shared" si="23"/>
        <v>17.978898239999999</v>
      </c>
    </row>
    <row r="117" spans="4:19" ht="15" customHeight="1" x14ac:dyDescent="0.35">
      <c r="D117" s="54">
        <v>96</v>
      </c>
      <c r="E117" s="54">
        <f t="shared" si="12"/>
        <v>4</v>
      </c>
      <c r="F117" s="54">
        <f t="shared" si="13"/>
        <v>4</v>
      </c>
      <c r="G117" s="55" t="str">
        <f t="shared" si="14"/>
        <v>Do</v>
      </c>
      <c r="H117" s="56">
        <f t="shared" si="15"/>
        <v>23</v>
      </c>
      <c r="I117" s="55" t="str">
        <f t="shared" si="16"/>
        <v>Werktag</v>
      </c>
      <c r="J117" s="35">
        <f>INDEX(Zapfprofil!$B$61:$H$61,F117)</f>
        <v>0.19</v>
      </c>
      <c r="K117" s="35">
        <f>INDEX(Zapfprofil!$AL$19:$AN$42,H117+1,IF(F117&lt;=5,1,IF(F117=6,2,3)))</f>
        <v>0</v>
      </c>
      <c r="L117" s="57">
        <f t="shared" si="17"/>
        <v>0</v>
      </c>
      <c r="M117" s="57">
        <f>Eingaben!$B$29</f>
        <v>0.2</v>
      </c>
      <c r="N117" s="57">
        <f t="shared" si="18"/>
        <v>0.2</v>
      </c>
      <c r="O117" s="57">
        <f t="shared" si="19"/>
        <v>4</v>
      </c>
      <c r="P117" s="57">
        <f t="shared" si="20"/>
        <v>-3.8</v>
      </c>
      <c r="Q117" s="58">
        <f t="shared" si="22"/>
        <v>15.437101760000001</v>
      </c>
      <c r="R117" s="55" t="str">
        <f t="shared" si="21"/>
        <v>Do 23:00</v>
      </c>
      <c r="S117" s="58">
        <f t="shared" si="23"/>
        <v>21.77889824</v>
      </c>
    </row>
    <row r="118" spans="4:19" ht="15" customHeight="1" x14ac:dyDescent="0.35">
      <c r="D118" s="54">
        <v>97</v>
      </c>
      <c r="E118" s="54">
        <f t="shared" si="12"/>
        <v>5</v>
      </c>
      <c r="F118" s="54">
        <f t="shared" si="13"/>
        <v>5</v>
      </c>
      <c r="G118" s="55" t="str">
        <f t="shared" si="14"/>
        <v>Fr</v>
      </c>
      <c r="H118" s="56">
        <f t="shared" si="15"/>
        <v>0</v>
      </c>
      <c r="I118" s="55" t="str">
        <f t="shared" si="16"/>
        <v>Werktag</v>
      </c>
      <c r="J118" s="35">
        <f>INDEX(Zapfprofil!$B$61:$H$61,F118)</f>
        <v>0.19</v>
      </c>
      <c r="K118" s="35">
        <f>INDEX(Zapfprofil!$AL$19:$AN$42,H118+1,IF(F118&lt;=5,1,IF(F118=6,2,3)))</f>
        <v>0</v>
      </c>
      <c r="L118" s="57">
        <f t="shared" si="17"/>
        <v>0</v>
      </c>
      <c r="M118" s="57">
        <f>Eingaben!$B$29</f>
        <v>0.2</v>
      </c>
      <c r="N118" s="57">
        <f t="shared" si="18"/>
        <v>0.2</v>
      </c>
      <c r="O118" s="57">
        <f t="shared" si="19"/>
        <v>4</v>
      </c>
      <c r="P118" s="57">
        <f t="shared" si="20"/>
        <v>-3.8</v>
      </c>
      <c r="Q118" s="58">
        <f t="shared" si="22"/>
        <v>11.63710176</v>
      </c>
      <c r="R118" s="55" t="str">
        <f t="shared" si="21"/>
        <v>Fr 00:00</v>
      </c>
      <c r="S118" s="58">
        <f t="shared" si="23"/>
        <v>25.578898240000001</v>
      </c>
    </row>
    <row r="119" spans="4:19" ht="15" customHeight="1" x14ac:dyDescent="0.35">
      <c r="D119" s="54">
        <v>98</v>
      </c>
      <c r="E119" s="54">
        <f t="shared" si="12"/>
        <v>5</v>
      </c>
      <c r="F119" s="54">
        <f t="shared" si="13"/>
        <v>5</v>
      </c>
      <c r="G119" s="55" t="str">
        <f t="shared" si="14"/>
        <v>Fr</v>
      </c>
      <c r="H119" s="56">
        <f t="shared" si="15"/>
        <v>1</v>
      </c>
      <c r="I119" s="55" t="str">
        <f t="shared" si="16"/>
        <v>Werktag</v>
      </c>
      <c r="J119" s="35">
        <f>INDEX(Zapfprofil!$B$61:$H$61,F119)</f>
        <v>0.19</v>
      </c>
      <c r="K119" s="35">
        <f>INDEX(Zapfprofil!$AL$19:$AN$42,H119+1,IF(F119&lt;=5,1,IF(F119=6,2,3)))</f>
        <v>0</v>
      </c>
      <c r="L119" s="57">
        <f t="shared" si="17"/>
        <v>0</v>
      </c>
      <c r="M119" s="57">
        <f>Eingaben!$B$29</f>
        <v>0.2</v>
      </c>
      <c r="N119" s="57">
        <f t="shared" si="18"/>
        <v>0.2</v>
      </c>
      <c r="O119" s="57">
        <f t="shared" si="19"/>
        <v>4</v>
      </c>
      <c r="P119" s="57">
        <f t="shared" si="20"/>
        <v>-3.8</v>
      </c>
      <c r="Q119" s="58">
        <f t="shared" si="22"/>
        <v>7.8371017600000004</v>
      </c>
      <c r="R119" s="55" t="str">
        <f t="shared" si="21"/>
        <v>Fr 01:00</v>
      </c>
      <c r="S119" s="58">
        <f t="shared" si="23"/>
        <v>29.378898240000002</v>
      </c>
    </row>
    <row r="120" spans="4:19" ht="15" customHeight="1" x14ac:dyDescent="0.35">
      <c r="D120" s="54">
        <v>99</v>
      </c>
      <c r="E120" s="54">
        <f t="shared" si="12"/>
        <v>5</v>
      </c>
      <c r="F120" s="54">
        <f t="shared" si="13"/>
        <v>5</v>
      </c>
      <c r="G120" s="55" t="str">
        <f t="shared" si="14"/>
        <v>Fr</v>
      </c>
      <c r="H120" s="56">
        <f t="shared" si="15"/>
        <v>2</v>
      </c>
      <c r="I120" s="55" t="str">
        <f t="shared" si="16"/>
        <v>Werktag</v>
      </c>
      <c r="J120" s="35">
        <f>INDEX(Zapfprofil!$B$61:$H$61,F120)</f>
        <v>0.19</v>
      </c>
      <c r="K120" s="35">
        <f>INDEX(Zapfprofil!$AL$19:$AN$42,H120+1,IF(F120&lt;=5,1,IF(F120=6,2,3)))</f>
        <v>0</v>
      </c>
      <c r="L120" s="57">
        <f t="shared" si="17"/>
        <v>0</v>
      </c>
      <c r="M120" s="57">
        <f>Eingaben!$B$29</f>
        <v>0.2</v>
      </c>
      <c r="N120" s="57">
        <f t="shared" si="18"/>
        <v>0.2</v>
      </c>
      <c r="O120" s="57">
        <f t="shared" si="19"/>
        <v>4</v>
      </c>
      <c r="P120" s="57">
        <f t="shared" si="20"/>
        <v>-3.8</v>
      </c>
      <c r="Q120" s="58">
        <f t="shared" si="22"/>
        <v>4.0371017600000005</v>
      </c>
      <c r="R120" s="55" t="str">
        <f t="shared" si="21"/>
        <v>Fr 02:00</v>
      </c>
      <c r="S120" s="58">
        <f t="shared" si="23"/>
        <v>33.178898240000002</v>
      </c>
    </row>
    <row r="121" spans="4:19" ht="15" customHeight="1" x14ac:dyDescent="0.35">
      <c r="D121" s="54">
        <v>100</v>
      </c>
      <c r="E121" s="54">
        <f t="shared" si="12"/>
        <v>5</v>
      </c>
      <c r="F121" s="54">
        <f t="shared" si="13"/>
        <v>5</v>
      </c>
      <c r="G121" s="55" t="str">
        <f t="shared" si="14"/>
        <v>Fr</v>
      </c>
      <c r="H121" s="56">
        <f t="shared" si="15"/>
        <v>3</v>
      </c>
      <c r="I121" s="55" t="str">
        <f t="shared" si="16"/>
        <v>Werktag</v>
      </c>
      <c r="J121" s="35">
        <f>INDEX(Zapfprofil!$B$61:$H$61,F121)</f>
        <v>0.19</v>
      </c>
      <c r="K121" s="35">
        <f>INDEX(Zapfprofil!$AL$19:$AN$42,H121+1,IF(F121&lt;=5,1,IF(F121=6,2,3)))</f>
        <v>0</v>
      </c>
      <c r="L121" s="57">
        <f t="shared" si="17"/>
        <v>0</v>
      </c>
      <c r="M121" s="57">
        <f>Eingaben!$B$29</f>
        <v>0.2</v>
      </c>
      <c r="N121" s="57">
        <f t="shared" si="18"/>
        <v>0.2</v>
      </c>
      <c r="O121" s="57">
        <f t="shared" si="19"/>
        <v>4</v>
      </c>
      <c r="P121" s="57">
        <f t="shared" si="20"/>
        <v>-3.8</v>
      </c>
      <c r="Q121" s="58">
        <f t="shared" si="22"/>
        <v>0.23710176000000072</v>
      </c>
      <c r="R121" s="55" t="str">
        <f t="shared" si="21"/>
        <v>Fr 03:00</v>
      </c>
      <c r="S121" s="58">
        <f t="shared" si="23"/>
        <v>36.978898239999999</v>
      </c>
    </row>
    <row r="122" spans="4:19" ht="15" customHeight="1" x14ac:dyDescent="0.35">
      <c r="D122" s="54">
        <v>101</v>
      </c>
      <c r="E122" s="54">
        <f t="shared" si="12"/>
        <v>5</v>
      </c>
      <c r="F122" s="54">
        <f t="shared" si="13"/>
        <v>5</v>
      </c>
      <c r="G122" s="55" t="str">
        <f t="shared" si="14"/>
        <v>Fr</v>
      </c>
      <c r="H122" s="56">
        <f t="shared" si="15"/>
        <v>4</v>
      </c>
      <c r="I122" s="55" t="str">
        <f t="shared" si="16"/>
        <v>Werktag</v>
      </c>
      <c r="J122" s="35">
        <f>INDEX(Zapfprofil!$B$61:$H$61,F122)</f>
        <v>0.19</v>
      </c>
      <c r="K122" s="35">
        <f>INDEX(Zapfprofil!$AL$19:$AN$42,H122+1,IF(F122&lt;=5,1,IF(F122=6,2,3)))</f>
        <v>0</v>
      </c>
      <c r="L122" s="57">
        <f t="shared" si="17"/>
        <v>0</v>
      </c>
      <c r="M122" s="57">
        <f>Eingaben!$B$29</f>
        <v>0.2</v>
      </c>
      <c r="N122" s="57">
        <f t="shared" si="18"/>
        <v>0.2</v>
      </c>
      <c r="O122" s="57">
        <f t="shared" si="19"/>
        <v>4</v>
      </c>
      <c r="P122" s="57">
        <f t="shared" si="20"/>
        <v>-3.8</v>
      </c>
      <c r="Q122" s="58">
        <f t="shared" si="22"/>
        <v>0</v>
      </c>
      <c r="R122" s="55" t="str">
        <f t="shared" si="21"/>
        <v>Fr 04:00</v>
      </c>
      <c r="S122" s="58">
        <f t="shared" si="23"/>
        <v>37.216000000000001</v>
      </c>
    </row>
    <row r="123" spans="4:19" ht="15" customHeight="1" x14ac:dyDescent="0.35">
      <c r="D123" s="54">
        <v>102</v>
      </c>
      <c r="E123" s="54">
        <f t="shared" si="12"/>
        <v>5</v>
      </c>
      <c r="F123" s="54">
        <f t="shared" si="13"/>
        <v>5</v>
      </c>
      <c r="G123" s="55" t="str">
        <f t="shared" si="14"/>
        <v>Fr</v>
      </c>
      <c r="H123" s="56">
        <f t="shared" si="15"/>
        <v>5</v>
      </c>
      <c r="I123" s="55" t="str">
        <f t="shared" si="16"/>
        <v>Werktag</v>
      </c>
      <c r="J123" s="35">
        <f>INDEX(Zapfprofil!$B$61:$H$61,F123)</f>
        <v>0.19</v>
      </c>
      <c r="K123" s="35">
        <f>INDEX(Zapfprofil!$AL$19:$AN$42,H123+1,IF(F123&lt;=5,1,IF(F123=6,2,3)))</f>
        <v>0</v>
      </c>
      <c r="L123" s="57">
        <f t="shared" si="17"/>
        <v>0</v>
      </c>
      <c r="M123" s="57">
        <f>Eingaben!$B$29</f>
        <v>0.2</v>
      </c>
      <c r="N123" s="57">
        <f t="shared" si="18"/>
        <v>0.2</v>
      </c>
      <c r="O123" s="57">
        <f t="shared" si="19"/>
        <v>4</v>
      </c>
      <c r="P123" s="57">
        <f t="shared" si="20"/>
        <v>-3.8</v>
      </c>
      <c r="Q123" s="58">
        <f t="shared" si="22"/>
        <v>0</v>
      </c>
      <c r="R123" s="55" t="str">
        <f t="shared" si="21"/>
        <v>Fr 05:00</v>
      </c>
      <c r="S123" s="58">
        <f t="shared" si="23"/>
        <v>37.216000000000001</v>
      </c>
    </row>
    <row r="124" spans="4:19" ht="15" customHeight="1" x14ac:dyDescent="0.35">
      <c r="D124" s="54">
        <v>103</v>
      </c>
      <c r="E124" s="54">
        <f t="shared" si="12"/>
        <v>5</v>
      </c>
      <c r="F124" s="54">
        <f t="shared" si="13"/>
        <v>5</v>
      </c>
      <c r="G124" s="55" t="str">
        <f t="shared" si="14"/>
        <v>Fr</v>
      </c>
      <c r="H124" s="56">
        <f t="shared" si="15"/>
        <v>6</v>
      </c>
      <c r="I124" s="55" t="str">
        <f t="shared" si="16"/>
        <v>Werktag</v>
      </c>
      <c r="J124" s="35">
        <f>INDEX(Zapfprofil!$B$61:$H$61,F124)</f>
        <v>0.19</v>
      </c>
      <c r="K124" s="35">
        <f>INDEX(Zapfprofil!$AL$19:$AN$42,H124+1,IF(F124&lt;=5,1,IF(F124=6,2,3)))</f>
        <v>0.02</v>
      </c>
      <c r="L124" s="57">
        <f t="shared" si="17"/>
        <v>1.6334102400000001</v>
      </c>
      <c r="M124" s="57">
        <f>Eingaben!$B$29</f>
        <v>0.2</v>
      </c>
      <c r="N124" s="57">
        <f t="shared" si="18"/>
        <v>1.8334102400000001</v>
      </c>
      <c r="O124" s="57">
        <f t="shared" si="19"/>
        <v>4</v>
      </c>
      <c r="P124" s="57">
        <f t="shared" si="20"/>
        <v>-2.1665897599999999</v>
      </c>
      <c r="Q124" s="58">
        <f t="shared" si="22"/>
        <v>0</v>
      </c>
      <c r="R124" s="55" t="str">
        <f t="shared" si="21"/>
        <v>Fr 06:00</v>
      </c>
      <c r="S124" s="58">
        <f t="shared" si="23"/>
        <v>37.216000000000001</v>
      </c>
    </row>
    <row r="125" spans="4:19" ht="15" customHeight="1" x14ac:dyDescent="0.35">
      <c r="D125" s="54">
        <v>104</v>
      </c>
      <c r="E125" s="54">
        <f t="shared" si="12"/>
        <v>5</v>
      </c>
      <c r="F125" s="54">
        <f t="shared" si="13"/>
        <v>5</v>
      </c>
      <c r="G125" s="55" t="str">
        <f t="shared" si="14"/>
        <v>Fr</v>
      </c>
      <c r="H125" s="56">
        <f t="shared" si="15"/>
        <v>7</v>
      </c>
      <c r="I125" s="55" t="str">
        <f t="shared" si="16"/>
        <v>Werktag</v>
      </c>
      <c r="J125" s="35">
        <f>INDEX(Zapfprofil!$B$61:$H$61,F125)</f>
        <v>0.19</v>
      </c>
      <c r="K125" s="35">
        <f>INDEX(Zapfprofil!$AL$19:$AN$42,H125+1,IF(F125&lt;=5,1,IF(F125=6,2,3)))</f>
        <v>0.06</v>
      </c>
      <c r="L125" s="57">
        <f t="shared" si="17"/>
        <v>4.9002307199999997</v>
      </c>
      <c r="M125" s="57">
        <f>Eingaben!$B$29</f>
        <v>0.2</v>
      </c>
      <c r="N125" s="57">
        <f t="shared" si="18"/>
        <v>5.1002307199999999</v>
      </c>
      <c r="O125" s="57">
        <f t="shared" si="19"/>
        <v>4</v>
      </c>
      <c r="P125" s="57">
        <f t="shared" si="20"/>
        <v>1.1002307199999999</v>
      </c>
      <c r="Q125" s="58">
        <f t="shared" si="22"/>
        <v>1.1002307199999999</v>
      </c>
      <c r="R125" s="55" t="str">
        <f t="shared" si="21"/>
        <v>Fr 07:00</v>
      </c>
      <c r="S125" s="58">
        <f t="shared" si="23"/>
        <v>36.115769280000002</v>
      </c>
    </row>
    <row r="126" spans="4:19" ht="15" customHeight="1" x14ac:dyDescent="0.35">
      <c r="D126" s="54">
        <v>105</v>
      </c>
      <c r="E126" s="54">
        <f t="shared" si="12"/>
        <v>5</v>
      </c>
      <c r="F126" s="54">
        <f t="shared" si="13"/>
        <v>5</v>
      </c>
      <c r="G126" s="55" t="str">
        <f t="shared" si="14"/>
        <v>Fr</v>
      </c>
      <c r="H126" s="56">
        <f t="shared" si="15"/>
        <v>8</v>
      </c>
      <c r="I126" s="55" t="str">
        <f t="shared" si="16"/>
        <v>Werktag</v>
      </c>
      <c r="J126" s="35">
        <f>INDEX(Zapfprofil!$B$61:$H$61,F126)</f>
        <v>0.19</v>
      </c>
      <c r="K126" s="35">
        <f>INDEX(Zapfprofil!$AL$19:$AN$42,H126+1,IF(F126&lt;=5,1,IF(F126=6,2,3)))</f>
        <v>0.08</v>
      </c>
      <c r="L126" s="57">
        <f t="shared" si="17"/>
        <v>6.5336409600000005</v>
      </c>
      <c r="M126" s="57">
        <f>Eingaben!$B$29</f>
        <v>0.2</v>
      </c>
      <c r="N126" s="57">
        <f t="shared" si="18"/>
        <v>6.7336409600000007</v>
      </c>
      <c r="O126" s="57">
        <f t="shared" si="19"/>
        <v>4</v>
      </c>
      <c r="P126" s="57">
        <f t="shared" si="20"/>
        <v>2.7336409600000007</v>
      </c>
      <c r="Q126" s="58">
        <f t="shared" si="22"/>
        <v>3.8338716800000006</v>
      </c>
      <c r="R126" s="55" t="str">
        <f t="shared" si="21"/>
        <v>Fr 08:00</v>
      </c>
      <c r="S126" s="58">
        <f t="shared" si="23"/>
        <v>33.38212832</v>
      </c>
    </row>
    <row r="127" spans="4:19" ht="15" customHeight="1" x14ac:dyDescent="0.35">
      <c r="D127" s="54">
        <v>106</v>
      </c>
      <c r="E127" s="54">
        <f t="shared" si="12"/>
        <v>5</v>
      </c>
      <c r="F127" s="54">
        <f t="shared" si="13"/>
        <v>5</v>
      </c>
      <c r="G127" s="55" t="str">
        <f t="shared" si="14"/>
        <v>Fr</v>
      </c>
      <c r="H127" s="56">
        <f t="shared" si="15"/>
        <v>9</v>
      </c>
      <c r="I127" s="55" t="str">
        <f t="shared" si="16"/>
        <v>Werktag</v>
      </c>
      <c r="J127" s="35">
        <f>INDEX(Zapfprofil!$B$61:$H$61,F127)</f>
        <v>0.19</v>
      </c>
      <c r="K127" s="35">
        <f>INDEX(Zapfprofil!$AL$19:$AN$42,H127+1,IF(F127&lt;=5,1,IF(F127=6,2,3)))</f>
        <v>8.5000000000000006E-2</v>
      </c>
      <c r="L127" s="57">
        <f t="shared" si="17"/>
        <v>6.9419935200000005</v>
      </c>
      <c r="M127" s="57">
        <f>Eingaben!$B$29</f>
        <v>0.2</v>
      </c>
      <c r="N127" s="57">
        <f t="shared" si="18"/>
        <v>7.1419935200000007</v>
      </c>
      <c r="O127" s="57">
        <f t="shared" si="19"/>
        <v>4</v>
      </c>
      <c r="P127" s="57">
        <f t="shared" si="20"/>
        <v>3.1419935200000007</v>
      </c>
      <c r="Q127" s="58">
        <f t="shared" si="22"/>
        <v>6.9758652000000012</v>
      </c>
      <c r="R127" s="55" t="str">
        <f t="shared" si="21"/>
        <v>Fr 09:00</v>
      </c>
      <c r="S127" s="58">
        <f t="shared" si="23"/>
        <v>30.2401348</v>
      </c>
    </row>
    <row r="128" spans="4:19" ht="15" customHeight="1" x14ac:dyDescent="0.35">
      <c r="D128" s="54">
        <v>107</v>
      </c>
      <c r="E128" s="54">
        <f t="shared" si="12"/>
        <v>5</v>
      </c>
      <c r="F128" s="54">
        <f t="shared" si="13"/>
        <v>5</v>
      </c>
      <c r="G128" s="55" t="str">
        <f t="shared" si="14"/>
        <v>Fr</v>
      </c>
      <c r="H128" s="56">
        <f t="shared" si="15"/>
        <v>10</v>
      </c>
      <c r="I128" s="55" t="str">
        <f t="shared" si="16"/>
        <v>Werktag</v>
      </c>
      <c r="J128" s="35">
        <f>INDEX(Zapfprofil!$B$61:$H$61,F128)</f>
        <v>0.19</v>
      </c>
      <c r="K128" s="35">
        <f>INDEX(Zapfprofil!$AL$19:$AN$42,H128+1,IF(F128&lt;=5,1,IF(F128=6,2,3)))</f>
        <v>8.5000000000000006E-2</v>
      </c>
      <c r="L128" s="57">
        <f t="shared" si="17"/>
        <v>6.9419935200000005</v>
      </c>
      <c r="M128" s="57">
        <f>Eingaben!$B$29</f>
        <v>0.2</v>
      </c>
      <c r="N128" s="57">
        <f t="shared" si="18"/>
        <v>7.1419935200000007</v>
      </c>
      <c r="O128" s="57">
        <f t="shared" si="19"/>
        <v>4</v>
      </c>
      <c r="P128" s="57">
        <f t="shared" si="20"/>
        <v>3.1419935200000007</v>
      </c>
      <c r="Q128" s="58">
        <f t="shared" si="22"/>
        <v>10.117858720000001</v>
      </c>
      <c r="R128" s="55" t="str">
        <f t="shared" si="21"/>
        <v>Fr 10:00</v>
      </c>
      <c r="S128" s="58">
        <f t="shared" si="23"/>
        <v>27.09814128</v>
      </c>
    </row>
    <row r="129" spans="4:19" ht="15" customHeight="1" x14ac:dyDescent="0.35">
      <c r="D129" s="54">
        <v>108</v>
      </c>
      <c r="E129" s="54">
        <f t="shared" si="12"/>
        <v>5</v>
      </c>
      <c r="F129" s="54">
        <f t="shared" si="13"/>
        <v>5</v>
      </c>
      <c r="G129" s="55" t="str">
        <f t="shared" si="14"/>
        <v>Fr</v>
      </c>
      <c r="H129" s="56">
        <f t="shared" si="15"/>
        <v>11</v>
      </c>
      <c r="I129" s="55" t="str">
        <f t="shared" si="16"/>
        <v>Werktag</v>
      </c>
      <c r="J129" s="35">
        <f>INDEX(Zapfprofil!$B$61:$H$61,F129)</f>
        <v>0.19</v>
      </c>
      <c r="K129" s="35">
        <f>INDEX(Zapfprofil!$AL$19:$AN$42,H129+1,IF(F129&lt;=5,1,IF(F129=6,2,3)))</f>
        <v>0.09</v>
      </c>
      <c r="L129" s="57">
        <f t="shared" si="17"/>
        <v>7.3503460799999996</v>
      </c>
      <c r="M129" s="57">
        <f>Eingaben!$B$29</f>
        <v>0.2</v>
      </c>
      <c r="N129" s="57">
        <f t="shared" si="18"/>
        <v>7.5503460799999997</v>
      </c>
      <c r="O129" s="57">
        <f t="shared" si="19"/>
        <v>4</v>
      </c>
      <c r="P129" s="57">
        <f t="shared" si="20"/>
        <v>3.5503460799999997</v>
      </c>
      <c r="Q129" s="58">
        <f t="shared" si="22"/>
        <v>13.668204800000002</v>
      </c>
      <c r="R129" s="55" t="str">
        <f t="shared" si="21"/>
        <v>Fr 11:00</v>
      </c>
      <c r="S129" s="58">
        <f t="shared" si="23"/>
        <v>23.547795199999999</v>
      </c>
    </row>
    <row r="130" spans="4:19" ht="15" customHeight="1" x14ac:dyDescent="0.35">
      <c r="D130" s="54">
        <v>109</v>
      </c>
      <c r="E130" s="54">
        <f t="shared" si="12"/>
        <v>5</v>
      </c>
      <c r="F130" s="54">
        <f t="shared" si="13"/>
        <v>5</v>
      </c>
      <c r="G130" s="55" t="str">
        <f t="shared" si="14"/>
        <v>Fr</v>
      </c>
      <c r="H130" s="56">
        <f t="shared" si="15"/>
        <v>12</v>
      </c>
      <c r="I130" s="55" t="str">
        <f t="shared" si="16"/>
        <v>Werktag</v>
      </c>
      <c r="J130" s="35">
        <f>INDEX(Zapfprofil!$B$61:$H$61,F130)</f>
        <v>0.19</v>
      </c>
      <c r="K130" s="35">
        <f>INDEX(Zapfprofil!$AL$19:$AN$42,H130+1,IF(F130&lt;=5,1,IF(F130=6,2,3)))</f>
        <v>0.1</v>
      </c>
      <c r="L130" s="57">
        <f t="shared" si="17"/>
        <v>8.1670512000000013</v>
      </c>
      <c r="M130" s="57">
        <f>Eingaben!$B$29</f>
        <v>0.2</v>
      </c>
      <c r="N130" s="57">
        <f t="shared" si="18"/>
        <v>8.3670512000000006</v>
      </c>
      <c r="O130" s="57">
        <f t="shared" si="19"/>
        <v>4</v>
      </c>
      <c r="P130" s="57">
        <f t="shared" si="20"/>
        <v>4.3670512000000006</v>
      </c>
      <c r="Q130" s="58">
        <f t="shared" si="22"/>
        <v>18.035256000000004</v>
      </c>
      <c r="R130" s="55" t="str">
        <f t="shared" si="21"/>
        <v>Fr 12:00</v>
      </c>
      <c r="S130" s="58">
        <f t="shared" si="23"/>
        <v>19.180743999999997</v>
      </c>
    </row>
    <row r="131" spans="4:19" ht="15" customHeight="1" x14ac:dyDescent="0.35">
      <c r="D131" s="54">
        <v>110</v>
      </c>
      <c r="E131" s="54">
        <f t="shared" si="12"/>
        <v>5</v>
      </c>
      <c r="F131" s="54">
        <f t="shared" si="13"/>
        <v>5</v>
      </c>
      <c r="G131" s="55" t="str">
        <f t="shared" si="14"/>
        <v>Fr</v>
      </c>
      <c r="H131" s="56">
        <f t="shared" si="15"/>
        <v>13</v>
      </c>
      <c r="I131" s="55" t="str">
        <f t="shared" si="16"/>
        <v>Werktag</v>
      </c>
      <c r="J131" s="35">
        <f>INDEX(Zapfprofil!$B$61:$H$61,F131)</f>
        <v>0.19</v>
      </c>
      <c r="K131" s="35">
        <f>INDEX(Zapfprofil!$AL$19:$AN$42,H131+1,IF(F131&lt;=5,1,IF(F131=6,2,3)))</f>
        <v>9.5000000000000001E-2</v>
      </c>
      <c r="L131" s="57">
        <f t="shared" si="17"/>
        <v>7.7586986400000004</v>
      </c>
      <c r="M131" s="57">
        <f>Eingaben!$B$29</f>
        <v>0.2</v>
      </c>
      <c r="N131" s="57">
        <f t="shared" si="18"/>
        <v>7.9586986400000006</v>
      </c>
      <c r="O131" s="57">
        <f t="shared" si="19"/>
        <v>4</v>
      </c>
      <c r="P131" s="57">
        <f t="shared" si="20"/>
        <v>3.9586986400000006</v>
      </c>
      <c r="Q131" s="58">
        <f t="shared" si="22"/>
        <v>21.993954640000005</v>
      </c>
      <c r="R131" s="55" t="str">
        <f t="shared" si="21"/>
        <v>Fr 13:00</v>
      </c>
      <c r="S131" s="58">
        <f t="shared" si="23"/>
        <v>15.222045359999996</v>
      </c>
    </row>
    <row r="132" spans="4:19" ht="15" customHeight="1" x14ac:dyDescent="0.35">
      <c r="D132" s="54">
        <v>111</v>
      </c>
      <c r="E132" s="54">
        <f t="shared" si="12"/>
        <v>5</v>
      </c>
      <c r="F132" s="54">
        <f t="shared" si="13"/>
        <v>5</v>
      </c>
      <c r="G132" s="55" t="str">
        <f t="shared" si="14"/>
        <v>Fr</v>
      </c>
      <c r="H132" s="56">
        <f t="shared" si="15"/>
        <v>14</v>
      </c>
      <c r="I132" s="55" t="str">
        <f t="shared" si="16"/>
        <v>Werktag</v>
      </c>
      <c r="J132" s="35">
        <f>INDEX(Zapfprofil!$B$61:$H$61,F132)</f>
        <v>0.19</v>
      </c>
      <c r="K132" s="35">
        <f>INDEX(Zapfprofil!$AL$19:$AN$42,H132+1,IF(F132&lt;=5,1,IF(F132=6,2,3)))</f>
        <v>8.5000000000000006E-2</v>
      </c>
      <c r="L132" s="57">
        <f t="shared" si="17"/>
        <v>6.9419935200000005</v>
      </c>
      <c r="M132" s="57">
        <f>Eingaben!$B$29</f>
        <v>0.2</v>
      </c>
      <c r="N132" s="57">
        <f t="shared" si="18"/>
        <v>7.1419935200000007</v>
      </c>
      <c r="O132" s="57">
        <f t="shared" si="19"/>
        <v>4</v>
      </c>
      <c r="P132" s="57">
        <f t="shared" si="20"/>
        <v>3.1419935200000007</v>
      </c>
      <c r="Q132" s="58">
        <f t="shared" si="22"/>
        <v>25.135948160000005</v>
      </c>
      <c r="R132" s="55" t="str">
        <f t="shared" si="21"/>
        <v>Fr 14:00</v>
      </c>
      <c r="S132" s="58">
        <f t="shared" si="23"/>
        <v>12.080051839999996</v>
      </c>
    </row>
    <row r="133" spans="4:19" ht="15" customHeight="1" x14ac:dyDescent="0.35">
      <c r="D133" s="54">
        <v>112</v>
      </c>
      <c r="E133" s="54">
        <f t="shared" si="12"/>
        <v>5</v>
      </c>
      <c r="F133" s="54">
        <f t="shared" si="13"/>
        <v>5</v>
      </c>
      <c r="G133" s="55" t="str">
        <f t="shared" si="14"/>
        <v>Fr</v>
      </c>
      <c r="H133" s="56">
        <f t="shared" si="15"/>
        <v>15</v>
      </c>
      <c r="I133" s="55" t="str">
        <f t="shared" si="16"/>
        <v>Werktag</v>
      </c>
      <c r="J133" s="35">
        <f>INDEX(Zapfprofil!$B$61:$H$61,F133)</f>
        <v>0.19</v>
      </c>
      <c r="K133" s="35">
        <f>INDEX(Zapfprofil!$AL$19:$AN$42,H133+1,IF(F133&lt;=5,1,IF(F133=6,2,3)))</f>
        <v>0.08</v>
      </c>
      <c r="L133" s="57">
        <f t="shared" si="17"/>
        <v>6.5336409600000005</v>
      </c>
      <c r="M133" s="57">
        <f>Eingaben!$B$29</f>
        <v>0.2</v>
      </c>
      <c r="N133" s="57">
        <f t="shared" si="18"/>
        <v>6.7336409600000007</v>
      </c>
      <c r="O133" s="57">
        <f t="shared" si="19"/>
        <v>4</v>
      </c>
      <c r="P133" s="57">
        <f t="shared" si="20"/>
        <v>2.7336409600000007</v>
      </c>
      <c r="Q133" s="58">
        <f t="shared" si="22"/>
        <v>27.869589120000008</v>
      </c>
      <c r="R133" s="55" t="str">
        <f t="shared" si="21"/>
        <v>Fr 15:00</v>
      </c>
      <c r="S133" s="58">
        <f t="shared" si="23"/>
        <v>9.3464108799999934</v>
      </c>
    </row>
    <row r="134" spans="4:19" ht="15" customHeight="1" x14ac:dyDescent="0.35">
      <c r="D134" s="54">
        <v>113</v>
      </c>
      <c r="E134" s="54">
        <f t="shared" si="12"/>
        <v>5</v>
      </c>
      <c r="F134" s="54">
        <f t="shared" si="13"/>
        <v>5</v>
      </c>
      <c r="G134" s="55" t="str">
        <f t="shared" si="14"/>
        <v>Fr</v>
      </c>
      <c r="H134" s="56">
        <f t="shared" si="15"/>
        <v>16</v>
      </c>
      <c r="I134" s="55" t="str">
        <f t="shared" si="16"/>
        <v>Werktag</v>
      </c>
      <c r="J134" s="35">
        <f>INDEX(Zapfprofil!$B$61:$H$61,F134)</f>
        <v>0.19</v>
      </c>
      <c r="K134" s="35">
        <f>INDEX(Zapfprofil!$AL$19:$AN$42,H134+1,IF(F134&lt;=5,1,IF(F134=6,2,3)))</f>
        <v>7.4999999999999997E-2</v>
      </c>
      <c r="L134" s="57">
        <f t="shared" si="17"/>
        <v>6.1252883999999996</v>
      </c>
      <c r="M134" s="57">
        <f>Eingaben!$B$29</f>
        <v>0.2</v>
      </c>
      <c r="N134" s="57">
        <f t="shared" si="18"/>
        <v>6.3252883999999998</v>
      </c>
      <c r="O134" s="57">
        <f t="shared" si="19"/>
        <v>4</v>
      </c>
      <c r="P134" s="57">
        <f t="shared" si="20"/>
        <v>2.3252883999999998</v>
      </c>
      <c r="Q134" s="58">
        <f t="shared" si="22"/>
        <v>30.194877520000006</v>
      </c>
      <c r="R134" s="55" t="str">
        <f t="shared" si="21"/>
        <v>Fr 16:00</v>
      </c>
      <c r="S134" s="58">
        <f t="shared" si="23"/>
        <v>7.0211224799999954</v>
      </c>
    </row>
    <row r="135" spans="4:19" ht="15" customHeight="1" x14ac:dyDescent="0.35">
      <c r="D135" s="54">
        <v>114</v>
      </c>
      <c r="E135" s="54">
        <f t="shared" si="12"/>
        <v>5</v>
      </c>
      <c r="F135" s="54">
        <f t="shared" si="13"/>
        <v>5</v>
      </c>
      <c r="G135" s="55" t="str">
        <f t="shared" si="14"/>
        <v>Fr</v>
      </c>
      <c r="H135" s="56">
        <f t="shared" si="15"/>
        <v>17</v>
      </c>
      <c r="I135" s="55" t="str">
        <f t="shared" si="16"/>
        <v>Werktag</v>
      </c>
      <c r="J135" s="35">
        <f>INDEX(Zapfprofil!$B$61:$H$61,F135)</f>
        <v>0.19</v>
      </c>
      <c r="K135" s="35">
        <f>INDEX(Zapfprofil!$AL$19:$AN$42,H135+1,IF(F135&lt;=5,1,IF(F135=6,2,3)))</f>
        <v>0.06</v>
      </c>
      <c r="L135" s="57">
        <f t="shared" si="17"/>
        <v>4.9002307199999997</v>
      </c>
      <c r="M135" s="57">
        <f>Eingaben!$B$29</f>
        <v>0.2</v>
      </c>
      <c r="N135" s="57">
        <f t="shared" si="18"/>
        <v>5.1002307199999999</v>
      </c>
      <c r="O135" s="57">
        <f t="shared" si="19"/>
        <v>4</v>
      </c>
      <c r="P135" s="57">
        <f t="shared" si="20"/>
        <v>1.1002307199999999</v>
      </c>
      <c r="Q135" s="58">
        <f t="shared" si="22"/>
        <v>31.295108240000005</v>
      </c>
      <c r="R135" s="55" t="str">
        <f t="shared" si="21"/>
        <v>Fr 17:00</v>
      </c>
      <c r="S135" s="58">
        <f t="shared" si="23"/>
        <v>5.9208917599999964</v>
      </c>
    </row>
    <row r="136" spans="4:19" ht="15" customHeight="1" x14ac:dyDescent="0.35">
      <c r="D136" s="54">
        <v>115</v>
      </c>
      <c r="E136" s="54">
        <f t="shared" si="12"/>
        <v>5</v>
      </c>
      <c r="F136" s="54">
        <f t="shared" si="13"/>
        <v>5</v>
      </c>
      <c r="G136" s="55" t="str">
        <f t="shared" si="14"/>
        <v>Fr</v>
      </c>
      <c r="H136" s="56">
        <f t="shared" si="15"/>
        <v>18</v>
      </c>
      <c r="I136" s="55" t="str">
        <f t="shared" si="16"/>
        <v>Werktag</v>
      </c>
      <c r="J136" s="35">
        <f>INDEX(Zapfprofil!$B$61:$H$61,F136)</f>
        <v>0.19</v>
      </c>
      <c r="K136" s="35">
        <f>INDEX(Zapfprofil!$AL$19:$AN$42,H136+1,IF(F136&lt;=5,1,IF(F136=6,2,3)))</f>
        <v>4.4999999999999998E-2</v>
      </c>
      <c r="L136" s="57">
        <f t="shared" si="17"/>
        <v>3.6751730399999998</v>
      </c>
      <c r="M136" s="57">
        <f>Eingaben!$B$29</f>
        <v>0.2</v>
      </c>
      <c r="N136" s="57">
        <f t="shared" si="18"/>
        <v>3.87517304</v>
      </c>
      <c r="O136" s="57">
        <f t="shared" si="19"/>
        <v>4</v>
      </c>
      <c r="P136" s="57">
        <f t="shared" si="20"/>
        <v>-0.12482696000000004</v>
      </c>
      <c r="Q136" s="58">
        <f t="shared" si="22"/>
        <v>31.170281280000005</v>
      </c>
      <c r="R136" s="55" t="str">
        <f t="shared" si="21"/>
        <v>Fr 18:00</v>
      </c>
      <c r="S136" s="58">
        <f t="shared" si="23"/>
        <v>6.0457187199999964</v>
      </c>
    </row>
    <row r="137" spans="4:19" ht="15" customHeight="1" x14ac:dyDescent="0.35">
      <c r="D137" s="54">
        <v>116</v>
      </c>
      <c r="E137" s="54">
        <f t="shared" si="12"/>
        <v>5</v>
      </c>
      <c r="F137" s="54">
        <f t="shared" si="13"/>
        <v>5</v>
      </c>
      <c r="G137" s="55" t="str">
        <f t="shared" si="14"/>
        <v>Fr</v>
      </c>
      <c r="H137" s="56">
        <f t="shared" si="15"/>
        <v>19</v>
      </c>
      <c r="I137" s="55" t="str">
        <f t="shared" si="16"/>
        <v>Werktag</v>
      </c>
      <c r="J137" s="35">
        <f>INDEX(Zapfprofil!$B$61:$H$61,F137)</f>
        <v>0.19</v>
      </c>
      <c r="K137" s="35">
        <f>INDEX(Zapfprofil!$AL$19:$AN$42,H137+1,IF(F137&lt;=5,1,IF(F137=6,2,3)))</f>
        <v>2.5000000000000001E-2</v>
      </c>
      <c r="L137" s="57">
        <f t="shared" si="17"/>
        <v>2.0417628000000003</v>
      </c>
      <c r="M137" s="57">
        <f>Eingaben!$B$29</f>
        <v>0.2</v>
      </c>
      <c r="N137" s="57">
        <f t="shared" si="18"/>
        <v>2.2417628000000005</v>
      </c>
      <c r="O137" s="57">
        <f t="shared" si="19"/>
        <v>4</v>
      </c>
      <c r="P137" s="57">
        <f t="shared" si="20"/>
        <v>-1.7582371999999995</v>
      </c>
      <c r="Q137" s="58">
        <f t="shared" si="22"/>
        <v>29.412044080000005</v>
      </c>
      <c r="R137" s="55" t="str">
        <f t="shared" si="21"/>
        <v>Fr 19:00</v>
      </c>
      <c r="S137" s="58">
        <f t="shared" si="23"/>
        <v>7.8039559199999964</v>
      </c>
    </row>
    <row r="138" spans="4:19" ht="15" customHeight="1" x14ac:dyDescent="0.35">
      <c r="D138" s="54">
        <v>117</v>
      </c>
      <c r="E138" s="54">
        <f t="shared" si="12"/>
        <v>5</v>
      </c>
      <c r="F138" s="54">
        <f t="shared" si="13"/>
        <v>5</v>
      </c>
      <c r="G138" s="55" t="str">
        <f t="shared" si="14"/>
        <v>Fr</v>
      </c>
      <c r="H138" s="56">
        <f t="shared" si="15"/>
        <v>20</v>
      </c>
      <c r="I138" s="55" t="str">
        <f t="shared" si="16"/>
        <v>Werktag</v>
      </c>
      <c r="J138" s="35">
        <f>INDEX(Zapfprofil!$B$61:$H$61,F138)</f>
        <v>0.19</v>
      </c>
      <c r="K138" s="35">
        <f>INDEX(Zapfprofil!$AL$19:$AN$42,H138+1,IF(F138&lt;=5,1,IF(F138=6,2,3)))</f>
        <v>1.4999999999999999E-2</v>
      </c>
      <c r="L138" s="57">
        <f t="shared" si="17"/>
        <v>1.2250576799999999</v>
      </c>
      <c r="M138" s="57">
        <f>Eingaben!$B$29</f>
        <v>0.2</v>
      </c>
      <c r="N138" s="57">
        <f t="shared" si="18"/>
        <v>1.4250576799999999</v>
      </c>
      <c r="O138" s="57">
        <f t="shared" si="19"/>
        <v>4</v>
      </c>
      <c r="P138" s="57">
        <f t="shared" si="20"/>
        <v>-2.5749423199999999</v>
      </c>
      <c r="Q138" s="58">
        <f t="shared" si="22"/>
        <v>26.837101760000003</v>
      </c>
      <c r="R138" s="55" t="str">
        <f t="shared" si="21"/>
        <v>Fr 20:00</v>
      </c>
      <c r="S138" s="58">
        <f t="shared" si="23"/>
        <v>10.378898239999998</v>
      </c>
    </row>
    <row r="139" spans="4:19" ht="15" customHeight="1" x14ac:dyDescent="0.35">
      <c r="D139" s="54">
        <v>118</v>
      </c>
      <c r="E139" s="54">
        <f t="shared" si="12"/>
        <v>5</v>
      </c>
      <c r="F139" s="54">
        <f t="shared" si="13"/>
        <v>5</v>
      </c>
      <c r="G139" s="55" t="str">
        <f t="shared" si="14"/>
        <v>Fr</v>
      </c>
      <c r="H139" s="56">
        <f t="shared" si="15"/>
        <v>21</v>
      </c>
      <c r="I139" s="55" t="str">
        <f t="shared" si="16"/>
        <v>Werktag</v>
      </c>
      <c r="J139" s="35">
        <f>INDEX(Zapfprofil!$B$61:$H$61,F139)</f>
        <v>0.19</v>
      </c>
      <c r="K139" s="35">
        <f>INDEX(Zapfprofil!$AL$19:$AN$42,H139+1,IF(F139&lt;=5,1,IF(F139=6,2,3)))</f>
        <v>0</v>
      </c>
      <c r="L139" s="57">
        <f t="shared" si="17"/>
        <v>0</v>
      </c>
      <c r="M139" s="57">
        <f>Eingaben!$B$29</f>
        <v>0.2</v>
      </c>
      <c r="N139" s="57">
        <f t="shared" si="18"/>
        <v>0.2</v>
      </c>
      <c r="O139" s="57">
        <f t="shared" si="19"/>
        <v>4</v>
      </c>
      <c r="P139" s="57">
        <f t="shared" si="20"/>
        <v>-3.8</v>
      </c>
      <c r="Q139" s="58">
        <f t="shared" si="22"/>
        <v>23.037101760000002</v>
      </c>
      <c r="R139" s="55" t="str">
        <f t="shared" si="21"/>
        <v>Fr 21:00</v>
      </c>
      <c r="S139" s="58">
        <f t="shared" si="23"/>
        <v>14.178898239999999</v>
      </c>
    </row>
    <row r="140" spans="4:19" ht="15" customHeight="1" x14ac:dyDescent="0.35">
      <c r="D140" s="54">
        <v>119</v>
      </c>
      <c r="E140" s="54">
        <f t="shared" si="12"/>
        <v>5</v>
      </c>
      <c r="F140" s="54">
        <f t="shared" si="13"/>
        <v>5</v>
      </c>
      <c r="G140" s="55" t="str">
        <f t="shared" si="14"/>
        <v>Fr</v>
      </c>
      <c r="H140" s="56">
        <f t="shared" si="15"/>
        <v>22</v>
      </c>
      <c r="I140" s="55" t="str">
        <f t="shared" si="16"/>
        <v>Werktag</v>
      </c>
      <c r="J140" s="35">
        <f>INDEX(Zapfprofil!$B$61:$H$61,F140)</f>
        <v>0.19</v>
      </c>
      <c r="K140" s="35">
        <f>INDEX(Zapfprofil!$AL$19:$AN$42,H140+1,IF(F140&lt;=5,1,IF(F140=6,2,3)))</f>
        <v>0</v>
      </c>
      <c r="L140" s="57">
        <f t="shared" si="17"/>
        <v>0</v>
      </c>
      <c r="M140" s="57">
        <f>Eingaben!$B$29</f>
        <v>0.2</v>
      </c>
      <c r="N140" s="57">
        <f t="shared" si="18"/>
        <v>0.2</v>
      </c>
      <c r="O140" s="57">
        <f t="shared" si="19"/>
        <v>4</v>
      </c>
      <c r="P140" s="57">
        <f t="shared" si="20"/>
        <v>-3.8</v>
      </c>
      <c r="Q140" s="58">
        <f t="shared" si="22"/>
        <v>19.237101760000002</v>
      </c>
      <c r="R140" s="55" t="str">
        <f t="shared" si="21"/>
        <v>Fr 22:00</v>
      </c>
      <c r="S140" s="58">
        <f t="shared" si="23"/>
        <v>17.978898239999999</v>
      </c>
    </row>
    <row r="141" spans="4:19" ht="15" customHeight="1" x14ac:dyDescent="0.35">
      <c r="D141" s="54">
        <v>120</v>
      </c>
      <c r="E141" s="54">
        <f t="shared" si="12"/>
        <v>5</v>
      </c>
      <c r="F141" s="54">
        <f t="shared" si="13"/>
        <v>5</v>
      </c>
      <c r="G141" s="55" t="str">
        <f t="shared" si="14"/>
        <v>Fr</v>
      </c>
      <c r="H141" s="56">
        <f t="shared" si="15"/>
        <v>23</v>
      </c>
      <c r="I141" s="55" t="str">
        <f t="shared" si="16"/>
        <v>Werktag</v>
      </c>
      <c r="J141" s="35">
        <f>INDEX(Zapfprofil!$B$61:$H$61,F141)</f>
        <v>0.19</v>
      </c>
      <c r="K141" s="35">
        <f>INDEX(Zapfprofil!$AL$19:$AN$42,H141+1,IF(F141&lt;=5,1,IF(F141=6,2,3)))</f>
        <v>0</v>
      </c>
      <c r="L141" s="57">
        <f t="shared" si="17"/>
        <v>0</v>
      </c>
      <c r="M141" s="57">
        <f>Eingaben!$B$29</f>
        <v>0.2</v>
      </c>
      <c r="N141" s="57">
        <f t="shared" si="18"/>
        <v>0.2</v>
      </c>
      <c r="O141" s="57">
        <f t="shared" si="19"/>
        <v>4</v>
      </c>
      <c r="P141" s="57">
        <f t="shared" si="20"/>
        <v>-3.8</v>
      </c>
      <c r="Q141" s="58">
        <f t="shared" si="22"/>
        <v>15.437101760000001</v>
      </c>
      <c r="R141" s="55" t="str">
        <f t="shared" si="21"/>
        <v>Fr 23:00</v>
      </c>
      <c r="S141" s="58">
        <f t="shared" si="23"/>
        <v>21.77889824</v>
      </c>
    </row>
    <row r="142" spans="4:19" ht="15" customHeight="1" x14ac:dyDescent="0.35">
      <c r="D142" s="54">
        <v>121</v>
      </c>
      <c r="E142" s="54">
        <f t="shared" si="12"/>
        <v>6</v>
      </c>
      <c r="F142" s="54">
        <f t="shared" si="13"/>
        <v>6</v>
      </c>
      <c r="G142" s="55" t="str">
        <f t="shared" si="14"/>
        <v>Sa</v>
      </c>
      <c r="H142" s="56">
        <f t="shared" si="15"/>
        <v>0</v>
      </c>
      <c r="I142" s="55" t="str">
        <f t="shared" si="16"/>
        <v>Samstag</v>
      </c>
      <c r="J142" s="35">
        <f>INDEX(Zapfprofil!$B$61:$H$61,F142)</f>
        <v>2.5000000000000001E-2</v>
      </c>
      <c r="K142" s="35">
        <f>INDEX(Zapfprofil!$AL$19:$AN$42,H142+1,IF(F142&lt;=5,1,IF(F142=6,2,3)))</f>
        <v>0.02</v>
      </c>
      <c r="L142" s="57">
        <f t="shared" si="17"/>
        <v>0.21492240000000004</v>
      </c>
      <c r="M142" s="57">
        <f>Eingaben!$B$29</f>
        <v>0.2</v>
      </c>
      <c r="N142" s="57">
        <f t="shared" si="18"/>
        <v>0.41492240000000002</v>
      </c>
      <c r="O142" s="57">
        <f t="shared" si="19"/>
        <v>4</v>
      </c>
      <c r="P142" s="57">
        <f t="shared" si="20"/>
        <v>-3.5850776</v>
      </c>
      <c r="Q142" s="58">
        <f t="shared" si="22"/>
        <v>11.852024160000001</v>
      </c>
      <c r="R142" s="55" t="str">
        <f t="shared" si="21"/>
        <v>Sa 00:00</v>
      </c>
      <c r="S142" s="58">
        <f t="shared" si="23"/>
        <v>25.363975840000002</v>
      </c>
    </row>
    <row r="143" spans="4:19" ht="15" customHeight="1" x14ac:dyDescent="0.35">
      <c r="D143" s="54">
        <v>122</v>
      </c>
      <c r="E143" s="54">
        <f t="shared" si="12"/>
        <v>6</v>
      </c>
      <c r="F143" s="54">
        <f t="shared" si="13"/>
        <v>6</v>
      </c>
      <c r="G143" s="55" t="str">
        <f t="shared" si="14"/>
        <v>Sa</v>
      </c>
      <c r="H143" s="56">
        <f t="shared" si="15"/>
        <v>1</v>
      </c>
      <c r="I143" s="55" t="str">
        <f t="shared" si="16"/>
        <v>Samstag</v>
      </c>
      <c r="J143" s="35">
        <f>INDEX(Zapfprofil!$B$61:$H$61,F143)</f>
        <v>2.5000000000000001E-2</v>
      </c>
      <c r="K143" s="35">
        <f>INDEX(Zapfprofil!$AL$19:$AN$42,H143+1,IF(F143&lt;=5,1,IF(F143=6,2,3)))</f>
        <v>0.02</v>
      </c>
      <c r="L143" s="57">
        <f t="shared" si="17"/>
        <v>0.21492240000000004</v>
      </c>
      <c r="M143" s="57">
        <f>Eingaben!$B$29</f>
        <v>0.2</v>
      </c>
      <c r="N143" s="57">
        <f t="shared" si="18"/>
        <v>0.41492240000000002</v>
      </c>
      <c r="O143" s="57">
        <f t="shared" si="19"/>
        <v>4</v>
      </c>
      <c r="P143" s="57">
        <f t="shared" si="20"/>
        <v>-3.5850776</v>
      </c>
      <c r="Q143" s="58">
        <f t="shared" si="22"/>
        <v>8.2669465600000009</v>
      </c>
      <c r="R143" s="55" t="str">
        <f t="shared" si="21"/>
        <v>Sa 01:00</v>
      </c>
      <c r="S143" s="58">
        <f t="shared" si="23"/>
        <v>28.94905344</v>
      </c>
    </row>
    <row r="144" spans="4:19" ht="15" customHeight="1" x14ac:dyDescent="0.35">
      <c r="D144" s="54">
        <v>123</v>
      </c>
      <c r="E144" s="54">
        <f t="shared" si="12"/>
        <v>6</v>
      </c>
      <c r="F144" s="54">
        <f t="shared" si="13"/>
        <v>6</v>
      </c>
      <c r="G144" s="55" t="str">
        <f t="shared" si="14"/>
        <v>Sa</v>
      </c>
      <c r="H144" s="56">
        <f t="shared" si="15"/>
        <v>2</v>
      </c>
      <c r="I144" s="55" t="str">
        <f t="shared" si="16"/>
        <v>Samstag</v>
      </c>
      <c r="J144" s="35">
        <f>INDEX(Zapfprofil!$B$61:$H$61,F144)</f>
        <v>2.5000000000000001E-2</v>
      </c>
      <c r="K144" s="35">
        <f>INDEX(Zapfprofil!$AL$19:$AN$42,H144+1,IF(F144&lt;=5,1,IF(F144=6,2,3)))</f>
        <v>0.02</v>
      </c>
      <c r="L144" s="57">
        <f t="shared" si="17"/>
        <v>0.21492240000000004</v>
      </c>
      <c r="M144" s="57">
        <f>Eingaben!$B$29</f>
        <v>0.2</v>
      </c>
      <c r="N144" s="57">
        <f t="shared" si="18"/>
        <v>0.41492240000000002</v>
      </c>
      <c r="O144" s="57">
        <f t="shared" si="19"/>
        <v>4</v>
      </c>
      <c r="P144" s="57">
        <f t="shared" si="20"/>
        <v>-3.5850776</v>
      </c>
      <c r="Q144" s="58">
        <f t="shared" si="22"/>
        <v>4.681868960000001</v>
      </c>
      <c r="R144" s="55" t="str">
        <f t="shared" si="21"/>
        <v>Sa 02:00</v>
      </c>
      <c r="S144" s="58">
        <f t="shared" si="23"/>
        <v>32.534131039999998</v>
      </c>
    </row>
    <row r="145" spans="4:19" ht="15" customHeight="1" x14ac:dyDescent="0.35">
      <c r="D145" s="54">
        <v>124</v>
      </c>
      <c r="E145" s="54">
        <f t="shared" si="12"/>
        <v>6</v>
      </c>
      <c r="F145" s="54">
        <f t="shared" si="13"/>
        <v>6</v>
      </c>
      <c r="G145" s="55" t="str">
        <f t="shared" si="14"/>
        <v>Sa</v>
      </c>
      <c r="H145" s="56">
        <f t="shared" si="15"/>
        <v>3</v>
      </c>
      <c r="I145" s="55" t="str">
        <f t="shared" si="16"/>
        <v>Samstag</v>
      </c>
      <c r="J145" s="35">
        <f>INDEX(Zapfprofil!$B$61:$H$61,F145)</f>
        <v>2.5000000000000001E-2</v>
      </c>
      <c r="K145" s="35">
        <f>INDEX(Zapfprofil!$AL$19:$AN$42,H145+1,IF(F145&lt;=5,1,IF(F145=6,2,3)))</f>
        <v>0.02</v>
      </c>
      <c r="L145" s="57">
        <f t="shared" si="17"/>
        <v>0.21492240000000004</v>
      </c>
      <c r="M145" s="57">
        <f>Eingaben!$B$29</f>
        <v>0.2</v>
      </c>
      <c r="N145" s="57">
        <f t="shared" si="18"/>
        <v>0.41492240000000002</v>
      </c>
      <c r="O145" s="57">
        <f t="shared" si="19"/>
        <v>4</v>
      </c>
      <c r="P145" s="57">
        <f t="shared" si="20"/>
        <v>-3.5850776</v>
      </c>
      <c r="Q145" s="58">
        <f t="shared" si="22"/>
        <v>1.096791360000001</v>
      </c>
      <c r="R145" s="55" t="str">
        <f t="shared" si="21"/>
        <v>Sa 03:00</v>
      </c>
      <c r="S145" s="58">
        <f t="shared" si="23"/>
        <v>36.119208639999997</v>
      </c>
    </row>
    <row r="146" spans="4:19" ht="15" customHeight="1" x14ac:dyDescent="0.35">
      <c r="D146" s="54">
        <v>125</v>
      </c>
      <c r="E146" s="54">
        <f t="shared" si="12"/>
        <v>6</v>
      </c>
      <c r="F146" s="54">
        <f t="shared" si="13"/>
        <v>6</v>
      </c>
      <c r="G146" s="55" t="str">
        <f t="shared" si="14"/>
        <v>Sa</v>
      </c>
      <c r="H146" s="56">
        <f t="shared" si="15"/>
        <v>4</v>
      </c>
      <c r="I146" s="55" t="str">
        <f t="shared" si="16"/>
        <v>Samstag</v>
      </c>
      <c r="J146" s="35">
        <f>INDEX(Zapfprofil!$B$61:$H$61,F146)</f>
        <v>2.5000000000000001E-2</v>
      </c>
      <c r="K146" s="35">
        <f>INDEX(Zapfprofil!$AL$19:$AN$42,H146+1,IF(F146&lt;=5,1,IF(F146=6,2,3)))</f>
        <v>0.02</v>
      </c>
      <c r="L146" s="57">
        <f t="shared" si="17"/>
        <v>0.21492240000000004</v>
      </c>
      <c r="M146" s="57">
        <f>Eingaben!$B$29</f>
        <v>0.2</v>
      </c>
      <c r="N146" s="57">
        <f t="shared" si="18"/>
        <v>0.41492240000000002</v>
      </c>
      <c r="O146" s="57">
        <f t="shared" si="19"/>
        <v>4</v>
      </c>
      <c r="P146" s="57">
        <f t="shared" si="20"/>
        <v>-3.5850776</v>
      </c>
      <c r="Q146" s="58">
        <f t="shared" si="22"/>
        <v>0</v>
      </c>
      <c r="R146" s="55" t="str">
        <f t="shared" si="21"/>
        <v>Sa 04:00</v>
      </c>
      <c r="S146" s="58">
        <f t="shared" si="23"/>
        <v>37.216000000000001</v>
      </c>
    </row>
    <row r="147" spans="4:19" ht="15" customHeight="1" x14ac:dyDescent="0.35">
      <c r="D147" s="54">
        <v>126</v>
      </c>
      <c r="E147" s="54">
        <f t="shared" si="12"/>
        <v>6</v>
      </c>
      <c r="F147" s="54">
        <f t="shared" si="13"/>
        <v>6</v>
      </c>
      <c r="G147" s="55" t="str">
        <f t="shared" si="14"/>
        <v>Sa</v>
      </c>
      <c r="H147" s="56">
        <f t="shared" si="15"/>
        <v>5</v>
      </c>
      <c r="I147" s="55" t="str">
        <f t="shared" si="16"/>
        <v>Samstag</v>
      </c>
      <c r="J147" s="35">
        <f>INDEX(Zapfprofil!$B$61:$H$61,F147)</f>
        <v>2.5000000000000001E-2</v>
      </c>
      <c r="K147" s="35">
        <f>INDEX(Zapfprofil!$AL$19:$AN$42,H147+1,IF(F147&lt;=5,1,IF(F147=6,2,3)))</f>
        <v>0.02</v>
      </c>
      <c r="L147" s="57">
        <f t="shared" si="17"/>
        <v>0.21492240000000004</v>
      </c>
      <c r="M147" s="57">
        <f>Eingaben!$B$29</f>
        <v>0.2</v>
      </c>
      <c r="N147" s="57">
        <f t="shared" si="18"/>
        <v>0.41492240000000002</v>
      </c>
      <c r="O147" s="57">
        <f t="shared" si="19"/>
        <v>4</v>
      </c>
      <c r="P147" s="57">
        <f t="shared" si="20"/>
        <v>-3.5850776</v>
      </c>
      <c r="Q147" s="58">
        <f t="shared" si="22"/>
        <v>0</v>
      </c>
      <c r="R147" s="55" t="str">
        <f t="shared" si="21"/>
        <v>Sa 05:00</v>
      </c>
      <c r="S147" s="58">
        <f t="shared" si="23"/>
        <v>37.216000000000001</v>
      </c>
    </row>
    <row r="148" spans="4:19" ht="15" customHeight="1" x14ac:dyDescent="0.35">
      <c r="D148" s="54">
        <v>127</v>
      </c>
      <c r="E148" s="54">
        <f t="shared" si="12"/>
        <v>6</v>
      </c>
      <c r="F148" s="54">
        <f t="shared" si="13"/>
        <v>6</v>
      </c>
      <c r="G148" s="55" t="str">
        <f t="shared" si="14"/>
        <v>Sa</v>
      </c>
      <c r="H148" s="56">
        <f t="shared" si="15"/>
        <v>6</v>
      </c>
      <c r="I148" s="55" t="str">
        <f t="shared" si="16"/>
        <v>Samstag</v>
      </c>
      <c r="J148" s="35">
        <f>INDEX(Zapfprofil!$B$61:$H$61,F148)</f>
        <v>2.5000000000000001E-2</v>
      </c>
      <c r="K148" s="35">
        <f>INDEX(Zapfprofil!$AL$19:$AN$42,H148+1,IF(F148&lt;=5,1,IF(F148=6,2,3)))</f>
        <v>0.03</v>
      </c>
      <c r="L148" s="57">
        <f t="shared" si="17"/>
        <v>0.32238360000000005</v>
      </c>
      <c r="M148" s="57">
        <f>Eingaben!$B$29</f>
        <v>0.2</v>
      </c>
      <c r="N148" s="57">
        <f t="shared" si="18"/>
        <v>0.52238360000000006</v>
      </c>
      <c r="O148" s="57">
        <f t="shared" si="19"/>
        <v>4</v>
      </c>
      <c r="P148" s="57">
        <f t="shared" si="20"/>
        <v>-3.4776164000000001</v>
      </c>
      <c r="Q148" s="58">
        <f t="shared" si="22"/>
        <v>0</v>
      </c>
      <c r="R148" s="55" t="str">
        <f t="shared" si="21"/>
        <v>Sa 06:00</v>
      </c>
      <c r="S148" s="58">
        <f t="shared" si="23"/>
        <v>37.216000000000001</v>
      </c>
    </row>
    <row r="149" spans="4:19" ht="15" customHeight="1" x14ac:dyDescent="0.35">
      <c r="D149" s="54">
        <v>128</v>
      </c>
      <c r="E149" s="54">
        <f t="shared" si="12"/>
        <v>6</v>
      </c>
      <c r="F149" s="54">
        <f t="shared" si="13"/>
        <v>6</v>
      </c>
      <c r="G149" s="55" t="str">
        <f t="shared" si="14"/>
        <v>Sa</v>
      </c>
      <c r="H149" s="56">
        <f t="shared" si="15"/>
        <v>7</v>
      </c>
      <c r="I149" s="55" t="str">
        <f t="shared" si="16"/>
        <v>Samstag</v>
      </c>
      <c r="J149" s="35">
        <f>INDEX(Zapfprofil!$B$61:$H$61,F149)</f>
        <v>2.5000000000000001E-2</v>
      </c>
      <c r="K149" s="35">
        <f>INDEX(Zapfprofil!$AL$19:$AN$42,H149+1,IF(F149&lt;=5,1,IF(F149=6,2,3)))</f>
        <v>0.04</v>
      </c>
      <c r="L149" s="57">
        <f t="shared" si="17"/>
        <v>0.42984480000000008</v>
      </c>
      <c r="M149" s="57">
        <f>Eingaben!$B$29</f>
        <v>0.2</v>
      </c>
      <c r="N149" s="57">
        <f t="shared" si="18"/>
        <v>0.62984480000000009</v>
      </c>
      <c r="O149" s="57">
        <f t="shared" si="19"/>
        <v>4</v>
      </c>
      <c r="P149" s="57">
        <f t="shared" si="20"/>
        <v>-3.3701552000000001</v>
      </c>
      <c r="Q149" s="58">
        <f t="shared" si="22"/>
        <v>0</v>
      </c>
      <c r="R149" s="55" t="str">
        <f t="shared" si="21"/>
        <v>Sa 07:00</v>
      </c>
      <c r="S149" s="58">
        <f t="shared" si="23"/>
        <v>37.216000000000001</v>
      </c>
    </row>
    <row r="150" spans="4:19" ht="15" customHeight="1" x14ac:dyDescent="0.35">
      <c r="D150" s="54">
        <v>129</v>
      </c>
      <c r="E150" s="54">
        <f t="shared" ref="E150:E213" si="24">INT((D150-1)/24)+1</f>
        <v>6</v>
      </c>
      <c r="F150" s="54">
        <f t="shared" ref="F150:F213" si="25">MOD(E150-1,7)+1</f>
        <v>6</v>
      </c>
      <c r="G150" s="55" t="str">
        <f t="shared" ref="G150:G213" si="26">CHOOSE(F150,"Mo","Di","Mi","Do","Fr","Sa","So")</f>
        <v>Sa</v>
      </c>
      <c r="H150" s="56">
        <f t="shared" ref="H150:H213" si="27">MOD(D150-1,24)</f>
        <v>8</v>
      </c>
      <c r="I150" s="55" t="str">
        <f t="shared" ref="I150:I213" si="28">IF(F150&lt;=5,"Werktag",IF(F150=6,"Samstag","Sonntag"))</f>
        <v>Samstag</v>
      </c>
      <c r="J150" s="35">
        <f>INDEX(Zapfprofil!$B$61:$H$61,F150)</f>
        <v>2.5000000000000001E-2</v>
      </c>
      <c r="K150" s="35">
        <f>INDEX(Zapfprofil!$AL$19:$AN$42,H150+1,IF(F150&lt;=5,1,IF(F150=6,2,3)))</f>
        <v>0.05</v>
      </c>
      <c r="L150" s="57">
        <f t="shared" ref="L150:L213" si="29">$B$17*J150*K150*$B$16</f>
        <v>0.53730600000000006</v>
      </c>
      <c r="M150" s="57">
        <f>Eingaben!$B$29</f>
        <v>0.2</v>
      </c>
      <c r="N150" s="57">
        <f t="shared" ref="N150:N213" si="30">L150+M150</f>
        <v>0.73730600000000002</v>
      </c>
      <c r="O150" s="57">
        <f t="shared" ref="O150:O213" si="31">$B$12</f>
        <v>4</v>
      </c>
      <c r="P150" s="57">
        <f t="shared" ref="P150:P213" si="32">N150-O150</f>
        <v>-3.2626939999999998</v>
      </c>
      <c r="Q150" s="58">
        <f t="shared" si="22"/>
        <v>0</v>
      </c>
      <c r="R150" s="55" t="str">
        <f t="shared" ref="R150:R213" si="33">G150&amp;" "&amp;RIGHT("0"&amp;H150,2)&amp;":00"</f>
        <v>Sa 08:00</v>
      </c>
      <c r="S150" s="58">
        <f t="shared" si="23"/>
        <v>37.216000000000001</v>
      </c>
    </row>
    <row r="151" spans="4:19" ht="15" customHeight="1" x14ac:dyDescent="0.35">
      <c r="D151" s="54">
        <v>130</v>
      </c>
      <c r="E151" s="54">
        <f t="shared" si="24"/>
        <v>6</v>
      </c>
      <c r="F151" s="54">
        <f t="shared" si="25"/>
        <v>6</v>
      </c>
      <c r="G151" s="55" t="str">
        <f t="shared" si="26"/>
        <v>Sa</v>
      </c>
      <c r="H151" s="56">
        <f t="shared" si="27"/>
        <v>9</v>
      </c>
      <c r="I151" s="55" t="str">
        <f t="shared" si="28"/>
        <v>Samstag</v>
      </c>
      <c r="J151" s="35">
        <f>INDEX(Zapfprofil!$B$61:$H$61,F151)</f>
        <v>2.5000000000000001E-2</v>
      </c>
      <c r="K151" s="35">
        <f>INDEX(Zapfprofil!$AL$19:$AN$42,H151+1,IF(F151&lt;=5,1,IF(F151=6,2,3)))</f>
        <v>6.5000000000000002E-2</v>
      </c>
      <c r="L151" s="57">
        <f t="shared" si="29"/>
        <v>0.69849780000000006</v>
      </c>
      <c r="M151" s="57">
        <f>Eingaben!$B$29</f>
        <v>0.2</v>
      </c>
      <c r="N151" s="57">
        <f t="shared" si="30"/>
        <v>0.89849780000000012</v>
      </c>
      <c r="O151" s="57">
        <f t="shared" si="31"/>
        <v>4</v>
      </c>
      <c r="P151" s="57">
        <f t="shared" si="32"/>
        <v>-3.1015021999999997</v>
      </c>
      <c r="Q151" s="58">
        <f t="shared" ref="Q151:Q214" si="34">MAX(0,Q150+P151)</f>
        <v>0</v>
      </c>
      <c r="R151" s="55" t="str">
        <f t="shared" si="33"/>
        <v>Sa 09:00</v>
      </c>
      <c r="S151" s="58">
        <f t="shared" ref="S151:S214" si="35">MAX(0,$B$419-Q151)</f>
        <v>37.216000000000001</v>
      </c>
    </row>
    <row r="152" spans="4:19" ht="15" customHeight="1" x14ac:dyDescent="0.35">
      <c r="D152" s="54">
        <v>131</v>
      </c>
      <c r="E152" s="54">
        <f t="shared" si="24"/>
        <v>6</v>
      </c>
      <c r="F152" s="54">
        <f t="shared" si="25"/>
        <v>6</v>
      </c>
      <c r="G152" s="55" t="str">
        <f t="shared" si="26"/>
        <v>Sa</v>
      </c>
      <c r="H152" s="56">
        <f t="shared" si="27"/>
        <v>10</v>
      </c>
      <c r="I152" s="55" t="str">
        <f t="shared" si="28"/>
        <v>Samstag</v>
      </c>
      <c r="J152" s="35">
        <f>INDEX(Zapfprofil!$B$61:$H$61,F152)</f>
        <v>2.5000000000000001E-2</v>
      </c>
      <c r="K152" s="35">
        <f>INDEX(Zapfprofil!$AL$19:$AN$42,H152+1,IF(F152&lt;=5,1,IF(F152=6,2,3)))</f>
        <v>7.0000000000000007E-2</v>
      </c>
      <c r="L152" s="57">
        <f t="shared" si="29"/>
        <v>0.75222840000000013</v>
      </c>
      <c r="M152" s="57">
        <f>Eingaben!$B$29</f>
        <v>0.2</v>
      </c>
      <c r="N152" s="57">
        <f t="shared" si="30"/>
        <v>0.95222840000000009</v>
      </c>
      <c r="O152" s="57">
        <f t="shared" si="31"/>
        <v>4</v>
      </c>
      <c r="P152" s="57">
        <f t="shared" si="32"/>
        <v>-3.0477715999999999</v>
      </c>
      <c r="Q152" s="58">
        <f t="shared" si="34"/>
        <v>0</v>
      </c>
      <c r="R152" s="55" t="str">
        <f t="shared" si="33"/>
        <v>Sa 10:00</v>
      </c>
      <c r="S152" s="58">
        <f t="shared" si="35"/>
        <v>37.216000000000001</v>
      </c>
    </row>
    <row r="153" spans="4:19" ht="15" customHeight="1" x14ac:dyDescent="0.35">
      <c r="D153" s="54">
        <v>132</v>
      </c>
      <c r="E153" s="54">
        <f t="shared" si="24"/>
        <v>6</v>
      </c>
      <c r="F153" s="54">
        <f t="shared" si="25"/>
        <v>6</v>
      </c>
      <c r="G153" s="55" t="str">
        <f t="shared" si="26"/>
        <v>Sa</v>
      </c>
      <c r="H153" s="56">
        <f t="shared" si="27"/>
        <v>11</v>
      </c>
      <c r="I153" s="55" t="str">
        <f t="shared" si="28"/>
        <v>Samstag</v>
      </c>
      <c r="J153" s="35">
        <f>INDEX(Zapfprofil!$B$61:$H$61,F153)</f>
        <v>2.5000000000000001E-2</v>
      </c>
      <c r="K153" s="35">
        <f>INDEX(Zapfprofil!$AL$19:$AN$42,H153+1,IF(F153&lt;=5,1,IF(F153=6,2,3)))</f>
        <v>7.4999999999999997E-2</v>
      </c>
      <c r="L153" s="57">
        <f t="shared" si="29"/>
        <v>0.80595900000000009</v>
      </c>
      <c r="M153" s="57">
        <f>Eingaben!$B$29</f>
        <v>0.2</v>
      </c>
      <c r="N153" s="57">
        <f t="shared" si="30"/>
        <v>1.005959</v>
      </c>
      <c r="O153" s="57">
        <f t="shared" si="31"/>
        <v>4</v>
      </c>
      <c r="P153" s="57">
        <f t="shared" si="32"/>
        <v>-2.9940410000000002</v>
      </c>
      <c r="Q153" s="58">
        <f t="shared" si="34"/>
        <v>0</v>
      </c>
      <c r="R153" s="55" t="str">
        <f t="shared" si="33"/>
        <v>Sa 11:00</v>
      </c>
      <c r="S153" s="58">
        <f t="shared" si="35"/>
        <v>37.216000000000001</v>
      </c>
    </row>
    <row r="154" spans="4:19" ht="15" customHeight="1" x14ac:dyDescent="0.35">
      <c r="D154" s="54">
        <v>133</v>
      </c>
      <c r="E154" s="54">
        <f t="shared" si="24"/>
        <v>6</v>
      </c>
      <c r="F154" s="54">
        <f t="shared" si="25"/>
        <v>6</v>
      </c>
      <c r="G154" s="55" t="str">
        <f t="shared" si="26"/>
        <v>Sa</v>
      </c>
      <c r="H154" s="56">
        <f t="shared" si="27"/>
        <v>12</v>
      </c>
      <c r="I154" s="55" t="str">
        <f t="shared" si="28"/>
        <v>Samstag</v>
      </c>
      <c r="J154" s="35">
        <f>INDEX(Zapfprofil!$B$61:$H$61,F154)</f>
        <v>2.5000000000000001E-2</v>
      </c>
      <c r="K154" s="35">
        <f>INDEX(Zapfprofil!$AL$19:$AN$42,H154+1,IF(F154&lt;=5,1,IF(F154=6,2,3)))</f>
        <v>7.4999999999999997E-2</v>
      </c>
      <c r="L154" s="57">
        <f t="shared" si="29"/>
        <v>0.80595900000000009</v>
      </c>
      <c r="M154" s="57">
        <f>Eingaben!$B$29</f>
        <v>0.2</v>
      </c>
      <c r="N154" s="57">
        <f t="shared" si="30"/>
        <v>1.005959</v>
      </c>
      <c r="O154" s="57">
        <f t="shared" si="31"/>
        <v>4</v>
      </c>
      <c r="P154" s="57">
        <f t="shared" si="32"/>
        <v>-2.9940410000000002</v>
      </c>
      <c r="Q154" s="58">
        <f t="shared" si="34"/>
        <v>0</v>
      </c>
      <c r="R154" s="55" t="str">
        <f t="shared" si="33"/>
        <v>Sa 12:00</v>
      </c>
      <c r="S154" s="58">
        <f t="shared" si="35"/>
        <v>37.216000000000001</v>
      </c>
    </row>
    <row r="155" spans="4:19" ht="15" customHeight="1" x14ac:dyDescent="0.35">
      <c r="D155" s="54">
        <v>134</v>
      </c>
      <c r="E155" s="54">
        <f t="shared" si="24"/>
        <v>6</v>
      </c>
      <c r="F155" s="54">
        <f t="shared" si="25"/>
        <v>6</v>
      </c>
      <c r="G155" s="55" t="str">
        <f t="shared" si="26"/>
        <v>Sa</v>
      </c>
      <c r="H155" s="56">
        <f t="shared" si="27"/>
        <v>13</v>
      </c>
      <c r="I155" s="55" t="str">
        <f t="shared" si="28"/>
        <v>Samstag</v>
      </c>
      <c r="J155" s="35">
        <f>INDEX(Zapfprofil!$B$61:$H$61,F155)</f>
        <v>2.5000000000000001E-2</v>
      </c>
      <c r="K155" s="35">
        <f>INDEX(Zapfprofil!$AL$19:$AN$42,H155+1,IF(F155&lt;=5,1,IF(F155=6,2,3)))</f>
        <v>7.0000000000000007E-2</v>
      </c>
      <c r="L155" s="57">
        <f t="shared" si="29"/>
        <v>0.75222840000000013</v>
      </c>
      <c r="M155" s="57">
        <f>Eingaben!$B$29</f>
        <v>0.2</v>
      </c>
      <c r="N155" s="57">
        <f t="shared" si="30"/>
        <v>0.95222840000000009</v>
      </c>
      <c r="O155" s="57">
        <f t="shared" si="31"/>
        <v>4</v>
      </c>
      <c r="P155" s="57">
        <f t="shared" si="32"/>
        <v>-3.0477715999999999</v>
      </c>
      <c r="Q155" s="58">
        <f t="shared" si="34"/>
        <v>0</v>
      </c>
      <c r="R155" s="55" t="str">
        <f t="shared" si="33"/>
        <v>Sa 13:00</v>
      </c>
      <c r="S155" s="58">
        <f t="shared" si="35"/>
        <v>37.216000000000001</v>
      </c>
    </row>
    <row r="156" spans="4:19" ht="15" customHeight="1" x14ac:dyDescent="0.35">
      <c r="D156" s="54">
        <v>135</v>
      </c>
      <c r="E156" s="54">
        <f t="shared" si="24"/>
        <v>6</v>
      </c>
      <c r="F156" s="54">
        <f t="shared" si="25"/>
        <v>6</v>
      </c>
      <c r="G156" s="55" t="str">
        <f t="shared" si="26"/>
        <v>Sa</v>
      </c>
      <c r="H156" s="56">
        <f t="shared" si="27"/>
        <v>14</v>
      </c>
      <c r="I156" s="55" t="str">
        <f t="shared" si="28"/>
        <v>Samstag</v>
      </c>
      <c r="J156" s="35">
        <f>INDEX(Zapfprofil!$B$61:$H$61,F156)</f>
        <v>2.5000000000000001E-2</v>
      </c>
      <c r="K156" s="35">
        <f>INDEX(Zapfprofil!$AL$19:$AN$42,H156+1,IF(F156&lt;=5,1,IF(F156=6,2,3)))</f>
        <v>6.5000000000000002E-2</v>
      </c>
      <c r="L156" s="57">
        <f t="shared" si="29"/>
        <v>0.69849780000000006</v>
      </c>
      <c r="M156" s="57">
        <f>Eingaben!$B$29</f>
        <v>0.2</v>
      </c>
      <c r="N156" s="57">
        <f t="shared" si="30"/>
        <v>0.89849780000000012</v>
      </c>
      <c r="O156" s="57">
        <f t="shared" si="31"/>
        <v>4</v>
      </c>
      <c r="P156" s="57">
        <f t="shared" si="32"/>
        <v>-3.1015021999999997</v>
      </c>
      <c r="Q156" s="58">
        <f t="shared" si="34"/>
        <v>0</v>
      </c>
      <c r="R156" s="55" t="str">
        <f t="shared" si="33"/>
        <v>Sa 14:00</v>
      </c>
      <c r="S156" s="58">
        <f t="shared" si="35"/>
        <v>37.216000000000001</v>
      </c>
    </row>
    <row r="157" spans="4:19" ht="15" customHeight="1" x14ac:dyDescent="0.35">
      <c r="D157" s="54">
        <v>136</v>
      </c>
      <c r="E157" s="54">
        <f t="shared" si="24"/>
        <v>6</v>
      </c>
      <c r="F157" s="54">
        <f t="shared" si="25"/>
        <v>6</v>
      </c>
      <c r="G157" s="55" t="str">
        <f t="shared" si="26"/>
        <v>Sa</v>
      </c>
      <c r="H157" s="56">
        <f t="shared" si="27"/>
        <v>15</v>
      </c>
      <c r="I157" s="55" t="str">
        <f t="shared" si="28"/>
        <v>Samstag</v>
      </c>
      <c r="J157" s="35">
        <f>INDEX(Zapfprofil!$B$61:$H$61,F157)</f>
        <v>2.5000000000000001E-2</v>
      </c>
      <c r="K157" s="35">
        <f>INDEX(Zapfprofil!$AL$19:$AN$42,H157+1,IF(F157&lt;=5,1,IF(F157=6,2,3)))</f>
        <v>0.06</v>
      </c>
      <c r="L157" s="57">
        <f t="shared" si="29"/>
        <v>0.6447672000000001</v>
      </c>
      <c r="M157" s="57">
        <f>Eingaben!$B$29</f>
        <v>0.2</v>
      </c>
      <c r="N157" s="57">
        <f t="shared" si="30"/>
        <v>0.84476720000000016</v>
      </c>
      <c r="O157" s="57">
        <f t="shared" si="31"/>
        <v>4</v>
      </c>
      <c r="P157" s="57">
        <f t="shared" si="32"/>
        <v>-3.1552327999999998</v>
      </c>
      <c r="Q157" s="58">
        <f t="shared" si="34"/>
        <v>0</v>
      </c>
      <c r="R157" s="55" t="str">
        <f t="shared" si="33"/>
        <v>Sa 15:00</v>
      </c>
      <c r="S157" s="58">
        <f t="shared" si="35"/>
        <v>37.216000000000001</v>
      </c>
    </row>
    <row r="158" spans="4:19" ht="15" customHeight="1" x14ac:dyDescent="0.35">
      <c r="D158" s="54">
        <v>137</v>
      </c>
      <c r="E158" s="54">
        <f t="shared" si="24"/>
        <v>6</v>
      </c>
      <c r="F158" s="54">
        <f t="shared" si="25"/>
        <v>6</v>
      </c>
      <c r="G158" s="55" t="str">
        <f t="shared" si="26"/>
        <v>Sa</v>
      </c>
      <c r="H158" s="56">
        <f t="shared" si="27"/>
        <v>16</v>
      </c>
      <c r="I158" s="55" t="str">
        <f t="shared" si="28"/>
        <v>Samstag</v>
      </c>
      <c r="J158" s="35">
        <f>INDEX(Zapfprofil!$B$61:$H$61,F158)</f>
        <v>2.5000000000000001E-2</v>
      </c>
      <c r="K158" s="35">
        <f>INDEX(Zapfprofil!$AL$19:$AN$42,H158+1,IF(F158&lt;=5,1,IF(F158=6,2,3)))</f>
        <v>5.5E-2</v>
      </c>
      <c r="L158" s="57">
        <f t="shared" si="29"/>
        <v>0.59103660000000002</v>
      </c>
      <c r="M158" s="57">
        <f>Eingaben!$B$29</f>
        <v>0.2</v>
      </c>
      <c r="N158" s="57">
        <f t="shared" si="30"/>
        <v>0.79103659999999998</v>
      </c>
      <c r="O158" s="57">
        <f t="shared" si="31"/>
        <v>4</v>
      </c>
      <c r="P158" s="57">
        <f t="shared" si="32"/>
        <v>-3.2089634</v>
      </c>
      <c r="Q158" s="58">
        <f t="shared" si="34"/>
        <v>0</v>
      </c>
      <c r="R158" s="55" t="str">
        <f t="shared" si="33"/>
        <v>Sa 16:00</v>
      </c>
      <c r="S158" s="58">
        <f t="shared" si="35"/>
        <v>37.216000000000001</v>
      </c>
    </row>
    <row r="159" spans="4:19" ht="15" customHeight="1" x14ac:dyDescent="0.35">
      <c r="D159" s="54">
        <v>138</v>
      </c>
      <c r="E159" s="54">
        <f t="shared" si="24"/>
        <v>6</v>
      </c>
      <c r="F159" s="54">
        <f t="shared" si="25"/>
        <v>6</v>
      </c>
      <c r="G159" s="55" t="str">
        <f t="shared" si="26"/>
        <v>Sa</v>
      </c>
      <c r="H159" s="56">
        <f t="shared" si="27"/>
        <v>17</v>
      </c>
      <c r="I159" s="55" t="str">
        <f t="shared" si="28"/>
        <v>Samstag</v>
      </c>
      <c r="J159" s="35">
        <f>INDEX(Zapfprofil!$B$61:$H$61,F159)</f>
        <v>2.5000000000000001E-2</v>
      </c>
      <c r="K159" s="35">
        <f>INDEX(Zapfprofil!$AL$19:$AN$42,H159+1,IF(F159&lt;=5,1,IF(F159=6,2,3)))</f>
        <v>4.4999999999999998E-2</v>
      </c>
      <c r="L159" s="57">
        <f t="shared" si="29"/>
        <v>0.48357540000000004</v>
      </c>
      <c r="M159" s="57">
        <f>Eingaben!$B$29</f>
        <v>0.2</v>
      </c>
      <c r="N159" s="57">
        <f t="shared" si="30"/>
        <v>0.68357540000000006</v>
      </c>
      <c r="O159" s="57">
        <f t="shared" si="31"/>
        <v>4</v>
      </c>
      <c r="P159" s="57">
        <f t="shared" si="32"/>
        <v>-3.3164245999999999</v>
      </c>
      <c r="Q159" s="58">
        <f t="shared" si="34"/>
        <v>0</v>
      </c>
      <c r="R159" s="55" t="str">
        <f t="shared" si="33"/>
        <v>Sa 17:00</v>
      </c>
      <c r="S159" s="58">
        <f t="shared" si="35"/>
        <v>37.216000000000001</v>
      </c>
    </row>
    <row r="160" spans="4:19" ht="15" customHeight="1" x14ac:dyDescent="0.35">
      <c r="D160" s="54">
        <v>139</v>
      </c>
      <c r="E160" s="54">
        <f t="shared" si="24"/>
        <v>6</v>
      </c>
      <c r="F160" s="54">
        <f t="shared" si="25"/>
        <v>6</v>
      </c>
      <c r="G160" s="55" t="str">
        <f t="shared" si="26"/>
        <v>Sa</v>
      </c>
      <c r="H160" s="56">
        <f t="shared" si="27"/>
        <v>18</v>
      </c>
      <c r="I160" s="55" t="str">
        <f t="shared" si="28"/>
        <v>Samstag</v>
      </c>
      <c r="J160" s="35">
        <f>INDEX(Zapfprofil!$B$61:$H$61,F160)</f>
        <v>2.5000000000000001E-2</v>
      </c>
      <c r="K160" s="35">
        <f>INDEX(Zapfprofil!$AL$19:$AN$42,H160+1,IF(F160&lt;=5,1,IF(F160=6,2,3)))</f>
        <v>0.04</v>
      </c>
      <c r="L160" s="57">
        <f t="shared" si="29"/>
        <v>0.42984480000000008</v>
      </c>
      <c r="M160" s="57">
        <f>Eingaben!$B$29</f>
        <v>0.2</v>
      </c>
      <c r="N160" s="57">
        <f t="shared" si="30"/>
        <v>0.62984480000000009</v>
      </c>
      <c r="O160" s="57">
        <f t="shared" si="31"/>
        <v>4</v>
      </c>
      <c r="P160" s="57">
        <f t="shared" si="32"/>
        <v>-3.3701552000000001</v>
      </c>
      <c r="Q160" s="58">
        <f t="shared" si="34"/>
        <v>0</v>
      </c>
      <c r="R160" s="55" t="str">
        <f t="shared" si="33"/>
        <v>Sa 18:00</v>
      </c>
      <c r="S160" s="58">
        <f t="shared" si="35"/>
        <v>37.216000000000001</v>
      </c>
    </row>
    <row r="161" spans="4:19" ht="15" customHeight="1" x14ac:dyDescent="0.35">
      <c r="D161" s="54">
        <v>140</v>
      </c>
      <c r="E161" s="54">
        <f t="shared" si="24"/>
        <v>6</v>
      </c>
      <c r="F161" s="54">
        <f t="shared" si="25"/>
        <v>6</v>
      </c>
      <c r="G161" s="55" t="str">
        <f t="shared" si="26"/>
        <v>Sa</v>
      </c>
      <c r="H161" s="56">
        <f t="shared" si="27"/>
        <v>19</v>
      </c>
      <c r="I161" s="55" t="str">
        <f t="shared" si="28"/>
        <v>Samstag</v>
      </c>
      <c r="J161" s="35">
        <f>INDEX(Zapfprofil!$B$61:$H$61,F161)</f>
        <v>2.5000000000000001E-2</v>
      </c>
      <c r="K161" s="35">
        <f>INDEX(Zapfprofil!$AL$19:$AN$42,H161+1,IF(F161&lt;=5,1,IF(F161=6,2,3)))</f>
        <v>3.5000000000000003E-2</v>
      </c>
      <c r="L161" s="57">
        <f t="shared" si="29"/>
        <v>0.37611420000000007</v>
      </c>
      <c r="M161" s="57">
        <f>Eingaben!$B$29</f>
        <v>0.2</v>
      </c>
      <c r="N161" s="57">
        <f t="shared" si="30"/>
        <v>0.57611420000000013</v>
      </c>
      <c r="O161" s="57">
        <f t="shared" si="31"/>
        <v>4</v>
      </c>
      <c r="P161" s="57">
        <f t="shared" si="32"/>
        <v>-3.4238857999999999</v>
      </c>
      <c r="Q161" s="58">
        <f t="shared" si="34"/>
        <v>0</v>
      </c>
      <c r="R161" s="55" t="str">
        <f t="shared" si="33"/>
        <v>Sa 19:00</v>
      </c>
      <c r="S161" s="58">
        <f t="shared" si="35"/>
        <v>37.216000000000001</v>
      </c>
    </row>
    <row r="162" spans="4:19" ht="15" customHeight="1" x14ac:dyDescent="0.35">
      <c r="D162" s="54">
        <v>141</v>
      </c>
      <c r="E162" s="54">
        <f t="shared" si="24"/>
        <v>6</v>
      </c>
      <c r="F162" s="54">
        <f t="shared" si="25"/>
        <v>6</v>
      </c>
      <c r="G162" s="55" t="str">
        <f t="shared" si="26"/>
        <v>Sa</v>
      </c>
      <c r="H162" s="56">
        <f t="shared" si="27"/>
        <v>20</v>
      </c>
      <c r="I162" s="55" t="str">
        <f t="shared" si="28"/>
        <v>Samstag</v>
      </c>
      <c r="J162" s="35">
        <f>INDEX(Zapfprofil!$B$61:$H$61,F162)</f>
        <v>2.5000000000000001E-2</v>
      </c>
      <c r="K162" s="35">
        <f>INDEX(Zapfprofil!$AL$19:$AN$42,H162+1,IF(F162&lt;=5,1,IF(F162=6,2,3)))</f>
        <v>0.03</v>
      </c>
      <c r="L162" s="57">
        <f t="shared" si="29"/>
        <v>0.32238360000000005</v>
      </c>
      <c r="M162" s="57">
        <f>Eingaben!$B$29</f>
        <v>0.2</v>
      </c>
      <c r="N162" s="57">
        <f t="shared" si="30"/>
        <v>0.52238360000000006</v>
      </c>
      <c r="O162" s="57">
        <f t="shared" si="31"/>
        <v>4</v>
      </c>
      <c r="P162" s="57">
        <f t="shared" si="32"/>
        <v>-3.4776164000000001</v>
      </c>
      <c r="Q162" s="58">
        <f t="shared" si="34"/>
        <v>0</v>
      </c>
      <c r="R162" s="55" t="str">
        <f t="shared" si="33"/>
        <v>Sa 20:00</v>
      </c>
      <c r="S162" s="58">
        <f t="shared" si="35"/>
        <v>37.216000000000001</v>
      </c>
    </row>
    <row r="163" spans="4:19" ht="15" customHeight="1" x14ac:dyDescent="0.35">
      <c r="D163" s="54">
        <v>142</v>
      </c>
      <c r="E163" s="54">
        <f t="shared" si="24"/>
        <v>6</v>
      </c>
      <c r="F163" s="54">
        <f t="shared" si="25"/>
        <v>6</v>
      </c>
      <c r="G163" s="55" t="str">
        <f t="shared" si="26"/>
        <v>Sa</v>
      </c>
      <c r="H163" s="56">
        <f t="shared" si="27"/>
        <v>21</v>
      </c>
      <c r="I163" s="55" t="str">
        <f t="shared" si="28"/>
        <v>Samstag</v>
      </c>
      <c r="J163" s="35">
        <f>INDEX(Zapfprofil!$B$61:$H$61,F163)</f>
        <v>2.5000000000000001E-2</v>
      </c>
      <c r="K163" s="35">
        <f>INDEX(Zapfprofil!$AL$19:$AN$42,H163+1,IF(F163&lt;=5,1,IF(F163=6,2,3)))</f>
        <v>2.5000000000000001E-2</v>
      </c>
      <c r="L163" s="57">
        <f t="shared" si="29"/>
        <v>0.26865300000000003</v>
      </c>
      <c r="M163" s="57">
        <f>Eingaben!$B$29</f>
        <v>0.2</v>
      </c>
      <c r="N163" s="57">
        <f t="shared" si="30"/>
        <v>0.46865300000000004</v>
      </c>
      <c r="O163" s="57">
        <f t="shared" si="31"/>
        <v>4</v>
      </c>
      <c r="P163" s="57">
        <f t="shared" si="32"/>
        <v>-3.5313469999999998</v>
      </c>
      <c r="Q163" s="58">
        <f t="shared" si="34"/>
        <v>0</v>
      </c>
      <c r="R163" s="55" t="str">
        <f t="shared" si="33"/>
        <v>Sa 21:00</v>
      </c>
      <c r="S163" s="58">
        <f t="shared" si="35"/>
        <v>37.216000000000001</v>
      </c>
    </row>
    <row r="164" spans="4:19" ht="15" customHeight="1" x14ac:dyDescent="0.35">
      <c r="D164" s="54">
        <v>143</v>
      </c>
      <c r="E164" s="54">
        <f t="shared" si="24"/>
        <v>6</v>
      </c>
      <c r="F164" s="54">
        <f t="shared" si="25"/>
        <v>6</v>
      </c>
      <c r="G164" s="55" t="str">
        <f t="shared" si="26"/>
        <v>Sa</v>
      </c>
      <c r="H164" s="56">
        <f t="shared" si="27"/>
        <v>22</v>
      </c>
      <c r="I164" s="55" t="str">
        <f t="shared" si="28"/>
        <v>Samstag</v>
      </c>
      <c r="J164" s="35">
        <f>INDEX(Zapfprofil!$B$61:$H$61,F164)</f>
        <v>2.5000000000000001E-2</v>
      </c>
      <c r="K164" s="35">
        <f>INDEX(Zapfprofil!$AL$19:$AN$42,H164+1,IF(F164&lt;=5,1,IF(F164=6,2,3)))</f>
        <v>2.5000000000000001E-2</v>
      </c>
      <c r="L164" s="57">
        <f t="shared" si="29"/>
        <v>0.26865300000000003</v>
      </c>
      <c r="M164" s="57">
        <f>Eingaben!$B$29</f>
        <v>0.2</v>
      </c>
      <c r="N164" s="57">
        <f t="shared" si="30"/>
        <v>0.46865300000000004</v>
      </c>
      <c r="O164" s="57">
        <f t="shared" si="31"/>
        <v>4</v>
      </c>
      <c r="P164" s="57">
        <f t="shared" si="32"/>
        <v>-3.5313469999999998</v>
      </c>
      <c r="Q164" s="58">
        <f t="shared" si="34"/>
        <v>0</v>
      </c>
      <c r="R164" s="55" t="str">
        <f t="shared" si="33"/>
        <v>Sa 22:00</v>
      </c>
      <c r="S164" s="58">
        <f t="shared" si="35"/>
        <v>37.216000000000001</v>
      </c>
    </row>
    <row r="165" spans="4:19" ht="15" customHeight="1" x14ac:dyDescent="0.35">
      <c r="D165" s="54">
        <v>144</v>
      </c>
      <c r="E165" s="54">
        <f t="shared" si="24"/>
        <v>6</v>
      </c>
      <c r="F165" s="54">
        <f t="shared" si="25"/>
        <v>6</v>
      </c>
      <c r="G165" s="55" t="str">
        <f t="shared" si="26"/>
        <v>Sa</v>
      </c>
      <c r="H165" s="56">
        <f t="shared" si="27"/>
        <v>23</v>
      </c>
      <c r="I165" s="55" t="str">
        <f t="shared" si="28"/>
        <v>Samstag</v>
      </c>
      <c r="J165" s="35">
        <f>INDEX(Zapfprofil!$B$61:$H$61,F165)</f>
        <v>2.5000000000000001E-2</v>
      </c>
      <c r="K165" s="35">
        <f>INDEX(Zapfprofil!$AL$19:$AN$42,H165+1,IF(F165&lt;=5,1,IF(F165=6,2,3)))</f>
        <v>2.5000000000000001E-2</v>
      </c>
      <c r="L165" s="57">
        <f t="shared" si="29"/>
        <v>0.26865300000000003</v>
      </c>
      <c r="M165" s="57">
        <f>Eingaben!$B$29</f>
        <v>0.2</v>
      </c>
      <c r="N165" s="57">
        <f t="shared" si="30"/>
        <v>0.46865300000000004</v>
      </c>
      <c r="O165" s="57">
        <f t="shared" si="31"/>
        <v>4</v>
      </c>
      <c r="P165" s="57">
        <f t="shared" si="32"/>
        <v>-3.5313469999999998</v>
      </c>
      <c r="Q165" s="58">
        <f t="shared" si="34"/>
        <v>0</v>
      </c>
      <c r="R165" s="55" t="str">
        <f t="shared" si="33"/>
        <v>Sa 23:00</v>
      </c>
      <c r="S165" s="58">
        <f t="shared" si="35"/>
        <v>37.216000000000001</v>
      </c>
    </row>
    <row r="166" spans="4:19" ht="15" customHeight="1" x14ac:dyDescent="0.35">
      <c r="D166" s="54">
        <v>145</v>
      </c>
      <c r="E166" s="54">
        <f t="shared" si="24"/>
        <v>7</v>
      </c>
      <c r="F166" s="54">
        <f t="shared" si="25"/>
        <v>7</v>
      </c>
      <c r="G166" s="55" t="str">
        <f t="shared" si="26"/>
        <v>So</v>
      </c>
      <c r="H166" s="56">
        <f t="shared" si="27"/>
        <v>0</v>
      </c>
      <c r="I166" s="55" t="str">
        <f t="shared" si="28"/>
        <v>Sonntag</v>
      </c>
      <c r="J166" s="35">
        <f>INDEX(Zapfprofil!$B$61:$H$61,F166)</f>
        <v>2.5000000000000001E-2</v>
      </c>
      <c r="K166" s="35">
        <f>INDEX(Zapfprofil!$AL$19:$AN$42,H166+1,IF(F166&lt;=5,1,IF(F166=6,2,3)))</f>
        <v>0.02</v>
      </c>
      <c r="L166" s="57">
        <f t="shared" si="29"/>
        <v>0.21492240000000004</v>
      </c>
      <c r="M166" s="57">
        <f>Eingaben!$B$29</f>
        <v>0.2</v>
      </c>
      <c r="N166" s="57">
        <f t="shared" si="30"/>
        <v>0.41492240000000002</v>
      </c>
      <c r="O166" s="57">
        <f t="shared" si="31"/>
        <v>4</v>
      </c>
      <c r="P166" s="57">
        <f t="shared" si="32"/>
        <v>-3.5850776</v>
      </c>
      <c r="Q166" s="58">
        <f t="shared" si="34"/>
        <v>0</v>
      </c>
      <c r="R166" s="55" t="str">
        <f t="shared" si="33"/>
        <v>So 00:00</v>
      </c>
      <c r="S166" s="58">
        <f t="shared" si="35"/>
        <v>37.216000000000001</v>
      </c>
    </row>
    <row r="167" spans="4:19" ht="15" customHeight="1" x14ac:dyDescent="0.35">
      <c r="D167" s="54">
        <v>146</v>
      </c>
      <c r="E167" s="54">
        <f t="shared" si="24"/>
        <v>7</v>
      </c>
      <c r="F167" s="54">
        <f t="shared" si="25"/>
        <v>7</v>
      </c>
      <c r="G167" s="55" t="str">
        <f t="shared" si="26"/>
        <v>So</v>
      </c>
      <c r="H167" s="56">
        <f t="shared" si="27"/>
        <v>1</v>
      </c>
      <c r="I167" s="55" t="str">
        <f t="shared" si="28"/>
        <v>Sonntag</v>
      </c>
      <c r="J167" s="35">
        <f>INDEX(Zapfprofil!$B$61:$H$61,F167)</f>
        <v>2.5000000000000001E-2</v>
      </c>
      <c r="K167" s="35">
        <f>INDEX(Zapfprofil!$AL$19:$AN$42,H167+1,IF(F167&lt;=5,1,IF(F167=6,2,3)))</f>
        <v>0.02</v>
      </c>
      <c r="L167" s="57">
        <f t="shared" si="29"/>
        <v>0.21492240000000004</v>
      </c>
      <c r="M167" s="57">
        <f>Eingaben!$B$29</f>
        <v>0.2</v>
      </c>
      <c r="N167" s="57">
        <f t="shared" si="30"/>
        <v>0.41492240000000002</v>
      </c>
      <c r="O167" s="57">
        <f t="shared" si="31"/>
        <v>4</v>
      </c>
      <c r="P167" s="57">
        <f t="shared" si="32"/>
        <v>-3.5850776</v>
      </c>
      <c r="Q167" s="58">
        <f t="shared" si="34"/>
        <v>0</v>
      </c>
      <c r="R167" s="55" t="str">
        <f t="shared" si="33"/>
        <v>So 01:00</v>
      </c>
      <c r="S167" s="58">
        <f t="shared" si="35"/>
        <v>37.216000000000001</v>
      </c>
    </row>
    <row r="168" spans="4:19" ht="15" customHeight="1" x14ac:dyDescent="0.35">
      <c r="D168" s="54">
        <v>147</v>
      </c>
      <c r="E168" s="54">
        <f t="shared" si="24"/>
        <v>7</v>
      </c>
      <c r="F168" s="54">
        <f t="shared" si="25"/>
        <v>7</v>
      </c>
      <c r="G168" s="55" t="str">
        <f t="shared" si="26"/>
        <v>So</v>
      </c>
      <c r="H168" s="56">
        <f t="shared" si="27"/>
        <v>2</v>
      </c>
      <c r="I168" s="55" t="str">
        <f t="shared" si="28"/>
        <v>Sonntag</v>
      </c>
      <c r="J168" s="35">
        <f>INDEX(Zapfprofil!$B$61:$H$61,F168)</f>
        <v>2.5000000000000001E-2</v>
      </c>
      <c r="K168" s="35">
        <f>INDEX(Zapfprofil!$AL$19:$AN$42,H168+1,IF(F168&lt;=5,1,IF(F168=6,2,3)))</f>
        <v>0.02</v>
      </c>
      <c r="L168" s="57">
        <f t="shared" si="29"/>
        <v>0.21492240000000004</v>
      </c>
      <c r="M168" s="57">
        <f>Eingaben!$B$29</f>
        <v>0.2</v>
      </c>
      <c r="N168" s="57">
        <f t="shared" si="30"/>
        <v>0.41492240000000002</v>
      </c>
      <c r="O168" s="57">
        <f t="shared" si="31"/>
        <v>4</v>
      </c>
      <c r="P168" s="57">
        <f t="shared" si="32"/>
        <v>-3.5850776</v>
      </c>
      <c r="Q168" s="58">
        <f t="shared" si="34"/>
        <v>0</v>
      </c>
      <c r="R168" s="55" t="str">
        <f t="shared" si="33"/>
        <v>So 02:00</v>
      </c>
      <c r="S168" s="58">
        <f t="shared" si="35"/>
        <v>37.216000000000001</v>
      </c>
    </row>
    <row r="169" spans="4:19" ht="15" customHeight="1" x14ac:dyDescent="0.35">
      <c r="D169" s="54">
        <v>148</v>
      </c>
      <c r="E169" s="54">
        <f t="shared" si="24"/>
        <v>7</v>
      </c>
      <c r="F169" s="54">
        <f t="shared" si="25"/>
        <v>7</v>
      </c>
      <c r="G169" s="55" t="str">
        <f t="shared" si="26"/>
        <v>So</v>
      </c>
      <c r="H169" s="56">
        <f t="shared" si="27"/>
        <v>3</v>
      </c>
      <c r="I169" s="55" t="str">
        <f t="shared" si="28"/>
        <v>Sonntag</v>
      </c>
      <c r="J169" s="35">
        <f>INDEX(Zapfprofil!$B$61:$H$61,F169)</f>
        <v>2.5000000000000001E-2</v>
      </c>
      <c r="K169" s="35">
        <f>INDEX(Zapfprofil!$AL$19:$AN$42,H169+1,IF(F169&lt;=5,1,IF(F169=6,2,3)))</f>
        <v>0.02</v>
      </c>
      <c r="L169" s="57">
        <f t="shared" si="29"/>
        <v>0.21492240000000004</v>
      </c>
      <c r="M169" s="57">
        <f>Eingaben!$B$29</f>
        <v>0.2</v>
      </c>
      <c r="N169" s="57">
        <f t="shared" si="30"/>
        <v>0.41492240000000002</v>
      </c>
      <c r="O169" s="57">
        <f t="shared" si="31"/>
        <v>4</v>
      </c>
      <c r="P169" s="57">
        <f t="shared" si="32"/>
        <v>-3.5850776</v>
      </c>
      <c r="Q169" s="58">
        <f t="shared" si="34"/>
        <v>0</v>
      </c>
      <c r="R169" s="55" t="str">
        <f t="shared" si="33"/>
        <v>So 03:00</v>
      </c>
      <c r="S169" s="58">
        <f t="shared" si="35"/>
        <v>37.216000000000001</v>
      </c>
    </row>
    <row r="170" spans="4:19" ht="15" customHeight="1" x14ac:dyDescent="0.35">
      <c r="D170" s="54">
        <v>149</v>
      </c>
      <c r="E170" s="54">
        <f t="shared" si="24"/>
        <v>7</v>
      </c>
      <c r="F170" s="54">
        <f t="shared" si="25"/>
        <v>7</v>
      </c>
      <c r="G170" s="55" t="str">
        <f t="shared" si="26"/>
        <v>So</v>
      </c>
      <c r="H170" s="56">
        <f t="shared" si="27"/>
        <v>4</v>
      </c>
      <c r="I170" s="55" t="str">
        <f t="shared" si="28"/>
        <v>Sonntag</v>
      </c>
      <c r="J170" s="35">
        <f>INDEX(Zapfprofil!$B$61:$H$61,F170)</f>
        <v>2.5000000000000001E-2</v>
      </c>
      <c r="K170" s="35">
        <f>INDEX(Zapfprofil!$AL$19:$AN$42,H170+1,IF(F170&lt;=5,1,IF(F170=6,2,3)))</f>
        <v>0.02</v>
      </c>
      <c r="L170" s="57">
        <f t="shared" si="29"/>
        <v>0.21492240000000004</v>
      </c>
      <c r="M170" s="57">
        <f>Eingaben!$B$29</f>
        <v>0.2</v>
      </c>
      <c r="N170" s="57">
        <f t="shared" si="30"/>
        <v>0.41492240000000002</v>
      </c>
      <c r="O170" s="57">
        <f t="shared" si="31"/>
        <v>4</v>
      </c>
      <c r="P170" s="57">
        <f t="shared" si="32"/>
        <v>-3.5850776</v>
      </c>
      <c r="Q170" s="58">
        <f t="shared" si="34"/>
        <v>0</v>
      </c>
      <c r="R170" s="55" t="str">
        <f t="shared" si="33"/>
        <v>So 04:00</v>
      </c>
      <c r="S170" s="58">
        <f t="shared" si="35"/>
        <v>37.216000000000001</v>
      </c>
    </row>
    <row r="171" spans="4:19" ht="15" customHeight="1" x14ac:dyDescent="0.35">
      <c r="D171" s="54">
        <v>150</v>
      </c>
      <c r="E171" s="54">
        <f t="shared" si="24"/>
        <v>7</v>
      </c>
      <c r="F171" s="54">
        <f t="shared" si="25"/>
        <v>7</v>
      </c>
      <c r="G171" s="55" t="str">
        <f t="shared" si="26"/>
        <v>So</v>
      </c>
      <c r="H171" s="56">
        <f t="shared" si="27"/>
        <v>5</v>
      </c>
      <c r="I171" s="55" t="str">
        <f t="shared" si="28"/>
        <v>Sonntag</v>
      </c>
      <c r="J171" s="35">
        <f>INDEX(Zapfprofil!$B$61:$H$61,F171)</f>
        <v>2.5000000000000001E-2</v>
      </c>
      <c r="K171" s="35">
        <f>INDEX(Zapfprofil!$AL$19:$AN$42,H171+1,IF(F171&lt;=5,1,IF(F171=6,2,3)))</f>
        <v>0.02</v>
      </c>
      <c r="L171" s="57">
        <f t="shared" si="29"/>
        <v>0.21492240000000004</v>
      </c>
      <c r="M171" s="57">
        <f>Eingaben!$B$29</f>
        <v>0.2</v>
      </c>
      <c r="N171" s="57">
        <f t="shared" si="30"/>
        <v>0.41492240000000002</v>
      </c>
      <c r="O171" s="57">
        <f t="shared" si="31"/>
        <v>4</v>
      </c>
      <c r="P171" s="57">
        <f t="shared" si="32"/>
        <v>-3.5850776</v>
      </c>
      <c r="Q171" s="58">
        <f t="shared" si="34"/>
        <v>0</v>
      </c>
      <c r="R171" s="55" t="str">
        <f t="shared" si="33"/>
        <v>So 05:00</v>
      </c>
      <c r="S171" s="58">
        <f t="shared" si="35"/>
        <v>37.216000000000001</v>
      </c>
    </row>
    <row r="172" spans="4:19" ht="15" customHeight="1" x14ac:dyDescent="0.35">
      <c r="D172" s="54">
        <v>151</v>
      </c>
      <c r="E172" s="54">
        <f t="shared" si="24"/>
        <v>7</v>
      </c>
      <c r="F172" s="54">
        <f t="shared" si="25"/>
        <v>7</v>
      </c>
      <c r="G172" s="55" t="str">
        <f t="shared" si="26"/>
        <v>So</v>
      </c>
      <c r="H172" s="56">
        <f t="shared" si="27"/>
        <v>6</v>
      </c>
      <c r="I172" s="55" t="str">
        <f t="shared" si="28"/>
        <v>Sonntag</v>
      </c>
      <c r="J172" s="35">
        <f>INDEX(Zapfprofil!$B$61:$H$61,F172)</f>
        <v>2.5000000000000001E-2</v>
      </c>
      <c r="K172" s="35">
        <f>INDEX(Zapfprofil!$AL$19:$AN$42,H172+1,IF(F172&lt;=5,1,IF(F172=6,2,3)))</f>
        <v>0.03</v>
      </c>
      <c r="L172" s="57">
        <f t="shared" si="29"/>
        <v>0.32238360000000005</v>
      </c>
      <c r="M172" s="57">
        <f>Eingaben!$B$29</f>
        <v>0.2</v>
      </c>
      <c r="N172" s="57">
        <f t="shared" si="30"/>
        <v>0.52238360000000006</v>
      </c>
      <c r="O172" s="57">
        <f t="shared" si="31"/>
        <v>4</v>
      </c>
      <c r="P172" s="57">
        <f t="shared" si="32"/>
        <v>-3.4776164000000001</v>
      </c>
      <c r="Q172" s="58">
        <f t="shared" si="34"/>
        <v>0</v>
      </c>
      <c r="R172" s="55" t="str">
        <f t="shared" si="33"/>
        <v>So 06:00</v>
      </c>
      <c r="S172" s="58">
        <f t="shared" si="35"/>
        <v>37.216000000000001</v>
      </c>
    </row>
    <row r="173" spans="4:19" ht="15" customHeight="1" x14ac:dyDescent="0.35">
      <c r="D173" s="54">
        <v>152</v>
      </c>
      <c r="E173" s="54">
        <f t="shared" si="24"/>
        <v>7</v>
      </c>
      <c r="F173" s="54">
        <f t="shared" si="25"/>
        <v>7</v>
      </c>
      <c r="G173" s="55" t="str">
        <f t="shared" si="26"/>
        <v>So</v>
      </c>
      <c r="H173" s="56">
        <f t="shared" si="27"/>
        <v>7</v>
      </c>
      <c r="I173" s="55" t="str">
        <f t="shared" si="28"/>
        <v>Sonntag</v>
      </c>
      <c r="J173" s="35">
        <f>INDEX(Zapfprofil!$B$61:$H$61,F173)</f>
        <v>2.5000000000000001E-2</v>
      </c>
      <c r="K173" s="35">
        <f>INDEX(Zapfprofil!$AL$19:$AN$42,H173+1,IF(F173&lt;=5,1,IF(F173=6,2,3)))</f>
        <v>0.04</v>
      </c>
      <c r="L173" s="57">
        <f t="shared" si="29"/>
        <v>0.42984480000000008</v>
      </c>
      <c r="M173" s="57">
        <f>Eingaben!$B$29</f>
        <v>0.2</v>
      </c>
      <c r="N173" s="57">
        <f t="shared" si="30"/>
        <v>0.62984480000000009</v>
      </c>
      <c r="O173" s="57">
        <f t="shared" si="31"/>
        <v>4</v>
      </c>
      <c r="P173" s="57">
        <f t="shared" si="32"/>
        <v>-3.3701552000000001</v>
      </c>
      <c r="Q173" s="58">
        <f t="shared" si="34"/>
        <v>0</v>
      </c>
      <c r="R173" s="55" t="str">
        <f t="shared" si="33"/>
        <v>So 07:00</v>
      </c>
      <c r="S173" s="58">
        <f t="shared" si="35"/>
        <v>37.216000000000001</v>
      </c>
    </row>
    <row r="174" spans="4:19" ht="15" customHeight="1" x14ac:dyDescent="0.35">
      <c r="D174" s="54">
        <v>153</v>
      </c>
      <c r="E174" s="54">
        <f t="shared" si="24"/>
        <v>7</v>
      </c>
      <c r="F174" s="54">
        <f t="shared" si="25"/>
        <v>7</v>
      </c>
      <c r="G174" s="55" t="str">
        <f t="shared" si="26"/>
        <v>So</v>
      </c>
      <c r="H174" s="56">
        <f t="shared" si="27"/>
        <v>8</v>
      </c>
      <c r="I174" s="55" t="str">
        <f t="shared" si="28"/>
        <v>Sonntag</v>
      </c>
      <c r="J174" s="35">
        <f>INDEX(Zapfprofil!$B$61:$H$61,F174)</f>
        <v>2.5000000000000001E-2</v>
      </c>
      <c r="K174" s="35">
        <f>INDEX(Zapfprofil!$AL$19:$AN$42,H174+1,IF(F174&lt;=5,1,IF(F174=6,2,3)))</f>
        <v>0.05</v>
      </c>
      <c r="L174" s="57">
        <f t="shared" si="29"/>
        <v>0.53730600000000006</v>
      </c>
      <c r="M174" s="57">
        <f>Eingaben!$B$29</f>
        <v>0.2</v>
      </c>
      <c r="N174" s="57">
        <f t="shared" si="30"/>
        <v>0.73730600000000002</v>
      </c>
      <c r="O174" s="57">
        <f t="shared" si="31"/>
        <v>4</v>
      </c>
      <c r="P174" s="57">
        <f t="shared" si="32"/>
        <v>-3.2626939999999998</v>
      </c>
      <c r="Q174" s="58">
        <f t="shared" si="34"/>
        <v>0</v>
      </c>
      <c r="R174" s="55" t="str">
        <f t="shared" si="33"/>
        <v>So 08:00</v>
      </c>
      <c r="S174" s="58">
        <f t="shared" si="35"/>
        <v>37.216000000000001</v>
      </c>
    </row>
    <row r="175" spans="4:19" ht="15" customHeight="1" x14ac:dyDescent="0.35">
      <c r="D175" s="54">
        <v>154</v>
      </c>
      <c r="E175" s="54">
        <f t="shared" si="24"/>
        <v>7</v>
      </c>
      <c r="F175" s="54">
        <f t="shared" si="25"/>
        <v>7</v>
      </c>
      <c r="G175" s="55" t="str">
        <f t="shared" si="26"/>
        <v>So</v>
      </c>
      <c r="H175" s="56">
        <f t="shared" si="27"/>
        <v>9</v>
      </c>
      <c r="I175" s="55" t="str">
        <f t="shared" si="28"/>
        <v>Sonntag</v>
      </c>
      <c r="J175" s="35">
        <f>INDEX(Zapfprofil!$B$61:$H$61,F175)</f>
        <v>2.5000000000000001E-2</v>
      </c>
      <c r="K175" s="35">
        <f>INDEX(Zapfprofil!$AL$19:$AN$42,H175+1,IF(F175&lt;=5,1,IF(F175=6,2,3)))</f>
        <v>6.5000000000000002E-2</v>
      </c>
      <c r="L175" s="57">
        <f t="shared" si="29"/>
        <v>0.69849780000000006</v>
      </c>
      <c r="M175" s="57">
        <f>Eingaben!$B$29</f>
        <v>0.2</v>
      </c>
      <c r="N175" s="57">
        <f t="shared" si="30"/>
        <v>0.89849780000000012</v>
      </c>
      <c r="O175" s="57">
        <f t="shared" si="31"/>
        <v>4</v>
      </c>
      <c r="P175" s="57">
        <f t="shared" si="32"/>
        <v>-3.1015021999999997</v>
      </c>
      <c r="Q175" s="58">
        <f t="shared" si="34"/>
        <v>0</v>
      </c>
      <c r="R175" s="55" t="str">
        <f t="shared" si="33"/>
        <v>So 09:00</v>
      </c>
      <c r="S175" s="58">
        <f t="shared" si="35"/>
        <v>37.216000000000001</v>
      </c>
    </row>
    <row r="176" spans="4:19" ht="15" customHeight="1" x14ac:dyDescent="0.35">
      <c r="D176" s="54">
        <v>155</v>
      </c>
      <c r="E176" s="54">
        <f t="shared" si="24"/>
        <v>7</v>
      </c>
      <c r="F176" s="54">
        <f t="shared" si="25"/>
        <v>7</v>
      </c>
      <c r="G176" s="55" t="str">
        <f t="shared" si="26"/>
        <v>So</v>
      </c>
      <c r="H176" s="56">
        <f t="shared" si="27"/>
        <v>10</v>
      </c>
      <c r="I176" s="55" t="str">
        <f t="shared" si="28"/>
        <v>Sonntag</v>
      </c>
      <c r="J176" s="35">
        <f>INDEX(Zapfprofil!$B$61:$H$61,F176)</f>
        <v>2.5000000000000001E-2</v>
      </c>
      <c r="K176" s="35">
        <f>INDEX(Zapfprofil!$AL$19:$AN$42,H176+1,IF(F176&lt;=5,1,IF(F176=6,2,3)))</f>
        <v>7.0000000000000007E-2</v>
      </c>
      <c r="L176" s="57">
        <f t="shared" si="29"/>
        <v>0.75222840000000013</v>
      </c>
      <c r="M176" s="57">
        <f>Eingaben!$B$29</f>
        <v>0.2</v>
      </c>
      <c r="N176" s="57">
        <f t="shared" si="30"/>
        <v>0.95222840000000009</v>
      </c>
      <c r="O176" s="57">
        <f t="shared" si="31"/>
        <v>4</v>
      </c>
      <c r="P176" s="57">
        <f t="shared" si="32"/>
        <v>-3.0477715999999999</v>
      </c>
      <c r="Q176" s="58">
        <f t="shared" si="34"/>
        <v>0</v>
      </c>
      <c r="R176" s="55" t="str">
        <f t="shared" si="33"/>
        <v>So 10:00</v>
      </c>
      <c r="S176" s="58">
        <f t="shared" si="35"/>
        <v>37.216000000000001</v>
      </c>
    </row>
    <row r="177" spans="4:20" ht="15" customHeight="1" x14ac:dyDescent="0.35">
      <c r="D177" s="54">
        <v>156</v>
      </c>
      <c r="E177" s="54">
        <f t="shared" si="24"/>
        <v>7</v>
      </c>
      <c r="F177" s="54">
        <f t="shared" si="25"/>
        <v>7</v>
      </c>
      <c r="G177" s="55" t="str">
        <f t="shared" si="26"/>
        <v>So</v>
      </c>
      <c r="H177" s="56">
        <f t="shared" si="27"/>
        <v>11</v>
      </c>
      <c r="I177" s="55" t="str">
        <f t="shared" si="28"/>
        <v>Sonntag</v>
      </c>
      <c r="J177" s="35">
        <f>INDEX(Zapfprofil!$B$61:$H$61,F177)</f>
        <v>2.5000000000000001E-2</v>
      </c>
      <c r="K177" s="35">
        <f>INDEX(Zapfprofil!$AL$19:$AN$42,H177+1,IF(F177&lt;=5,1,IF(F177=6,2,3)))</f>
        <v>7.4999999999999997E-2</v>
      </c>
      <c r="L177" s="57">
        <f t="shared" si="29"/>
        <v>0.80595900000000009</v>
      </c>
      <c r="M177" s="57">
        <f>Eingaben!$B$29</f>
        <v>0.2</v>
      </c>
      <c r="N177" s="57">
        <f t="shared" si="30"/>
        <v>1.005959</v>
      </c>
      <c r="O177" s="57">
        <f t="shared" si="31"/>
        <v>4</v>
      </c>
      <c r="P177" s="57">
        <f t="shared" si="32"/>
        <v>-2.9940410000000002</v>
      </c>
      <c r="Q177" s="58">
        <f t="shared" si="34"/>
        <v>0</v>
      </c>
      <c r="R177" s="55" t="str">
        <f t="shared" si="33"/>
        <v>So 11:00</v>
      </c>
      <c r="S177" s="58">
        <f t="shared" si="35"/>
        <v>37.216000000000001</v>
      </c>
    </row>
    <row r="178" spans="4:20" ht="15" customHeight="1" x14ac:dyDescent="0.35">
      <c r="D178" s="54">
        <v>157</v>
      </c>
      <c r="E178" s="54">
        <f t="shared" si="24"/>
        <v>7</v>
      </c>
      <c r="F178" s="54">
        <f t="shared" si="25"/>
        <v>7</v>
      </c>
      <c r="G178" s="55" t="str">
        <f t="shared" si="26"/>
        <v>So</v>
      </c>
      <c r="H178" s="56">
        <f t="shared" si="27"/>
        <v>12</v>
      </c>
      <c r="I178" s="55" t="str">
        <f t="shared" si="28"/>
        <v>Sonntag</v>
      </c>
      <c r="J178" s="35">
        <f>INDEX(Zapfprofil!$B$61:$H$61,F178)</f>
        <v>2.5000000000000001E-2</v>
      </c>
      <c r="K178" s="35">
        <f>INDEX(Zapfprofil!$AL$19:$AN$42,H178+1,IF(F178&lt;=5,1,IF(F178=6,2,3)))</f>
        <v>7.4999999999999997E-2</v>
      </c>
      <c r="L178" s="57">
        <f t="shared" si="29"/>
        <v>0.80595900000000009</v>
      </c>
      <c r="M178" s="57">
        <f>Eingaben!$B$29</f>
        <v>0.2</v>
      </c>
      <c r="N178" s="57">
        <f t="shared" si="30"/>
        <v>1.005959</v>
      </c>
      <c r="O178" s="57">
        <f t="shared" si="31"/>
        <v>4</v>
      </c>
      <c r="P178" s="57">
        <f t="shared" si="32"/>
        <v>-2.9940410000000002</v>
      </c>
      <c r="Q178" s="58">
        <f t="shared" si="34"/>
        <v>0</v>
      </c>
      <c r="R178" s="55" t="str">
        <f t="shared" si="33"/>
        <v>So 12:00</v>
      </c>
      <c r="S178" s="58">
        <f t="shared" si="35"/>
        <v>37.216000000000001</v>
      </c>
    </row>
    <row r="179" spans="4:20" ht="15" customHeight="1" x14ac:dyDescent="0.35">
      <c r="D179" s="54">
        <v>158</v>
      </c>
      <c r="E179" s="54">
        <f t="shared" si="24"/>
        <v>7</v>
      </c>
      <c r="F179" s="54">
        <f t="shared" si="25"/>
        <v>7</v>
      </c>
      <c r="G179" s="55" t="str">
        <f t="shared" si="26"/>
        <v>So</v>
      </c>
      <c r="H179" s="56">
        <f t="shared" si="27"/>
        <v>13</v>
      </c>
      <c r="I179" s="55" t="str">
        <f t="shared" si="28"/>
        <v>Sonntag</v>
      </c>
      <c r="J179" s="35">
        <f>INDEX(Zapfprofil!$B$61:$H$61,F179)</f>
        <v>2.5000000000000001E-2</v>
      </c>
      <c r="K179" s="35">
        <f>INDEX(Zapfprofil!$AL$19:$AN$42,H179+1,IF(F179&lt;=5,1,IF(F179=6,2,3)))</f>
        <v>7.0000000000000007E-2</v>
      </c>
      <c r="L179" s="57">
        <f t="shared" si="29"/>
        <v>0.75222840000000013</v>
      </c>
      <c r="M179" s="57">
        <f>Eingaben!$B$29</f>
        <v>0.2</v>
      </c>
      <c r="N179" s="57">
        <f t="shared" si="30"/>
        <v>0.95222840000000009</v>
      </c>
      <c r="O179" s="57">
        <f t="shared" si="31"/>
        <v>4</v>
      </c>
      <c r="P179" s="57">
        <f t="shared" si="32"/>
        <v>-3.0477715999999999</v>
      </c>
      <c r="Q179" s="58">
        <f t="shared" si="34"/>
        <v>0</v>
      </c>
      <c r="R179" s="55" t="str">
        <f t="shared" si="33"/>
        <v>So 13:00</v>
      </c>
      <c r="S179" s="58">
        <f t="shared" si="35"/>
        <v>37.216000000000001</v>
      </c>
    </row>
    <row r="180" spans="4:20" ht="15" customHeight="1" x14ac:dyDescent="0.35">
      <c r="D180" s="54">
        <v>159</v>
      </c>
      <c r="E180" s="54">
        <f t="shared" si="24"/>
        <v>7</v>
      </c>
      <c r="F180" s="54">
        <f t="shared" si="25"/>
        <v>7</v>
      </c>
      <c r="G180" s="55" t="str">
        <f t="shared" si="26"/>
        <v>So</v>
      </c>
      <c r="H180" s="56">
        <f t="shared" si="27"/>
        <v>14</v>
      </c>
      <c r="I180" s="55" t="str">
        <f t="shared" si="28"/>
        <v>Sonntag</v>
      </c>
      <c r="J180" s="35">
        <f>INDEX(Zapfprofil!$B$61:$H$61,F180)</f>
        <v>2.5000000000000001E-2</v>
      </c>
      <c r="K180" s="35">
        <f>INDEX(Zapfprofil!$AL$19:$AN$42,H180+1,IF(F180&lt;=5,1,IF(F180=6,2,3)))</f>
        <v>6.5000000000000002E-2</v>
      </c>
      <c r="L180" s="57">
        <f t="shared" si="29"/>
        <v>0.69849780000000006</v>
      </c>
      <c r="M180" s="57">
        <f>Eingaben!$B$29</f>
        <v>0.2</v>
      </c>
      <c r="N180" s="57">
        <f t="shared" si="30"/>
        <v>0.89849780000000012</v>
      </c>
      <c r="O180" s="57">
        <f t="shared" si="31"/>
        <v>4</v>
      </c>
      <c r="P180" s="57">
        <f t="shared" si="32"/>
        <v>-3.1015021999999997</v>
      </c>
      <c r="Q180" s="58">
        <f t="shared" si="34"/>
        <v>0</v>
      </c>
      <c r="R180" s="55" t="str">
        <f t="shared" si="33"/>
        <v>So 14:00</v>
      </c>
      <c r="S180" s="58">
        <f t="shared" si="35"/>
        <v>37.216000000000001</v>
      </c>
    </row>
    <row r="181" spans="4:20" ht="15" customHeight="1" x14ac:dyDescent="0.35">
      <c r="D181" s="54">
        <v>160</v>
      </c>
      <c r="E181" s="54">
        <f t="shared" si="24"/>
        <v>7</v>
      </c>
      <c r="F181" s="54">
        <f t="shared" si="25"/>
        <v>7</v>
      </c>
      <c r="G181" s="55" t="str">
        <f t="shared" si="26"/>
        <v>So</v>
      </c>
      <c r="H181" s="56">
        <f t="shared" si="27"/>
        <v>15</v>
      </c>
      <c r="I181" s="55" t="str">
        <f t="shared" si="28"/>
        <v>Sonntag</v>
      </c>
      <c r="J181" s="35">
        <f>INDEX(Zapfprofil!$B$61:$H$61,F181)</f>
        <v>2.5000000000000001E-2</v>
      </c>
      <c r="K181" s="35">
        <f>INDEX(Zapfprofil!$AL$19:$AN$42,H181+1,IF(F181&lt;=5,1,IF(F181=6,2,3)))</f>
        <v>0.06</v>
      </c>
      <c r="L181" s="57">
        <f t="shared" si="29"/>
        <v>0.6447672000000001</v>
      </c>
      <c r="M181" s="57">
        <f>Eingaben!$B$29</f>
        <v>0.2</v>
      </c>
      <c r="N181" s="57">
        <f t="shared" si="30"/>
        <v>0.84476720000000016</v>
      </c>
      <c r="O181" s="57">
        <f t="shared" si="31"/>
        <v>4</v>
      </c>
      <c r="P181" s="57">
        <f t="shared" si="32"/>
        <v>-3.1552327999999998</v>
      </c>
      <c r="Q181" s="58">
        <f t="shared" si="34"/>
        <v>0</v>
      </c>
      <c r="R181" s="55" t="str">
        <f t="shared" si="33"/>
        <v>So 15:00</v>
      </c>
      <c r="S181" s="58">
        <f t="shared" si="35"/>
        <v>37.216000000000001</v>
      </c>
    </row>
    <row r="182" spans="4:20" ht="15" customHeight="1" x14ac:dyDescent="0.35">
      <c r="D182" s="54">
        <v>161</v>
      </c>
      <c r="E182" s="54">
        <f t="shared" si="24"/>
        <v>7</v>
      </c>
      <c r="F182" s="54">
        <f t="shared" si="25"/>
        <v>7</v>
      </c>
      <c r="G182" s="55" t="str">
        <f t="shared" si="26"/>
        <v>So</v>
      </c>
      <c r="H182" s="56">
        <f t="shared" si="27"/>
        <v>16</v>
      </c>
      <c r="I182" s="55" t="str">
        <f t="shared" si="28"/>
        <v>Sonntag</v>
      </c>
      <c r="J182" s="35">
        <f>INDEX(Zapfprofil!$B$61:$H$61,F182)</f>
        <v>2.5000000000000001E-2</v>
      </c>
      <c r="K182" s="35">
        <f>INDEX(Zapfprofil!$AL$19:$AN$42,H182+1,IF(F182&lt;=5,1,IF(F182=6,2,3)))</f>
        <v>5.5E-2</v>
      </c>
      <c r="L182" s="57">
        <f t="shared" si="29"/>
        <v>0.59103660000000002</v>
      </c>
      <c r="M182" s="57">
        <f>Eingaben!$B$29</f>
        <v>0.2</v>
      </c>
      <c r="N182" s="57">
        <f t="shared" si="30"/>
        <v>0.79103659999999998</v>
      </c>
      <c r="O182" s="57">
        <f t="shared" si="31"/>
        <v>4</v>
      </c>
      <c r="P182" s="57">
        <f t="shared" si="32"/>
        <v>-3.2089634</v>
      </c>
      <c r="Q182" s="58">
        <f t="shared" si="34"/>
        <v>0</v>
      </c>
      <c r="R182" s="55" t="str">
        <f t="shared" si="33"/>
        <v>So 16:00</v>
      </c>
      <c r="S182" s="58">
        <f t="shared" si="35"/>
        <v>37.216000000000001</v>
      </c>
    </row>
    <row r="183" spans="4:20" ht="15" customHeight="1" x14ac:dyDescent="0.35">
      <c r="D183" s="54">
        <v>162</v>
      </c>
      <c r="E183" s="54">
        <f t="shared" si="24"/>
        <v>7</v>
      </c>
      <c r="F183" s="54">
        <f t="shared" si="25"/>
        <v>7</v>
      </c>
      <c r="G183" s="55" t="str">
        <f t="shared" si="26"/>
        <v>So</v>
      </c>
      <c r="H183" s="56">
        <f t="shared" si="27"/>
        <v>17</v>
      </c>
      <c r="I183" s="55" t="str">
        <f t="shared" si="28"/>
        <v>Sonntag</v>
      </c>
      <c r="J183" s="35">
        <f>INDEX(Zapfprofil!$B$61:$H$61,F183)</f>
        <v>2.5000000000000001E-2</v>
      </c>
      <c r="K183" s="35">
        <f>INDEX(Zapfprofil!$AL$19:$AN$42,H183+1,IF(F183&lt;=5,1,IF(F183=6,2,3)))</f>
        <v>4.4999999999999998E-2</v>
      </c>
      <c r="L183" s="57">
        <f t="shared" si="29"/>
        <v>0.48357540000000004</v>
      </c>
      <c r="M183" s="57">
        <f>Eingaben!$B$29</f>
        <v>0.2</v>
      </c>
      <c r="N183" s="57">
        <f t="shared" si="30"/>
        <v>0.68357540000000006</v>
      </c>
      <c r="O183" s="57">
        <f t="shared" si="31"/>
        <v>4</v>
      </c>
      <c r="P183" s="57">
        <f t="shared" si="32"/>
        <v>-3.3164245999999999</v>
      </c>
      <c r="Q183" s="58">
        <f t="shared" si="34"/>
        <v>0</v>
      </c>
      <c r="R183" s="55" t="str">
        <f t="shared" si="33"/>
        <v>So 17:00</v>
      </c>
      <c r="S183" s="58">
        <f t="shared" si="35"/>
        <v>37.216000000000001</v>
      </c>
    </row>
    <row r="184" spans="4:20" ht="15" customHeight="1" x14ac:dyDescent="0.35">
      <c r="D184" s="54">
        <v>163</v>
      </c>
      <c r="E184" s="54">
        <f t="shared" si="24"/>
        <v>7</v>
      </c>
      <c r="F184" s="54">
        <f t="shared" si="25"/>
        <v>7</v>
      </c>
      <c r="G184" s="55" t="str">
        <f t="shared" si="26"/>
        <v>So</v>
      </c>
      <c r="H184" s="56">
        <f t="shared" si="27"/>
        <v>18</v>
      </c>
      <c r="I184" s="55" t="str">
        <f t="shared" si="28"/>
        <v>Sonntag</v>
      </c>
      <c r="J184" s="35">
        <f>INDEX(Zapfprofil!$B$61:$H$61,F184)</f>
        <v>2.5000000000000001E-2</v>
      </c>
      <c r="K184" s="35">
        <f>INDEX(Zapfprofil!$AL$19:$AN$42,H184+1,IF(F184&lt;=5,1,IF(F184=6,2,3)))</f>
        <v>0.04</v>
      </c>
      <c r="L184" s="57">
        <f t="shared" si="29"/>
        <v>0.42984480000000008</v>
      </c>
      <c r="M184" s="57">
        <f>Eingaben!$B$29</f>
        <v>0.2</v>
      </c>
      <c r="N184" s="57">
        <f t="shared" si="30"/>
        <v>0.62984480000000009</v>
      </c>
      <c r="O184" s="57">
        <f t="shared" si="31"/>
        <v>4</v>
      </c>
      <c r="P184" s="57">
        <f t="shared" si="32"/>
        <v>-3.3701552000000001</v>
      </c>
      <c r="Q184" s="58">
        <f t="shared" si="34"/>
        <v>0</v>
      </c>
      <c r="R184" s="55" t="str">
        <f t="shared" si="33"/>
        <v>So 18:00</v>
      </c>
      <c r="S184" s="58">
        <f t="shared" si="35"/>
        <v>37.216000000000001</v>
      </c>
    </row>
    <row r="185" spans="4:20" ht="15" customHeight="1" x14ac:dyDescent="0.35">
      <c r="D185" s="54">
        <v>164</v>
      </c>
      <c r="E185" s="54">
        <f t="shared" si="24"/>
        <v>7</v>
      </c>
      <c r="F185" s="54">
        <f t="shared" si="25"/>
        <v>7</v>
      </c>
      <c r="G185" s="55" t="str">
        <f t="shared" si="26"/>
        <v>So</v>
      </c>
      <c r="H185" s="56">
        <f t="shared" si="27"/>
        <v>19</v>
      </c>
      <c r="I185" s="55" t="str">
        <f t="shared" si="28"/>
        <v>Sonntag</v>
      </c>
      <c r="J185" s="35">
        <f>INDEX(Zapfprofil!$B$61:$H$61,F185)</f>
        <v>2.5000000000000001E-2</v>
      </c>
      <c r="K185" s="35">
        <f>INDEX(Zapfprofil!$AL$19:$AN$42,H185+1,IF(F185&lt;=5,1,IF(F185=6,2,3)))</f>
        <v>3.5000000000000003E-2</v>
      </c>
      <c r="L185" s="57">
        <f t="shared" si="29"/>
        <v>0.37611420000000007</v>
      </c>
      <c r="M185" s="57">
        <f>Eingaben!$B$29</f>
        <v>0.2</v>
      </c>
      <c r="N185" s="57">
        <f t="shared" si="30"/>
        <v>0.57611420000000013</v>
      </c>
      <c r="O185" s="57">
        <f t="shared" si="31"/>
        <v>4</v>
      </c>
      <c r="P185" s="57">
        <f t="shared" si="32"/>
        <v>-3.4238857999999999</v>
      </c>
      <c r="Q185" s="58">
        <f t="shared" si="34"/>
        <v>0</v>
      </c>
      <c r="R185" s="55" t="str">
        <f t="shared" si="33"/>
        <v>So 19:00</v>
      </c>
      <c r="S185" s="58">
        <f t="shared" si="35"/>
        <v>37.216000000000001</v>
      </c>
    </row>
    <row r="186" spans="4:20" ht="15" customHeight="1" x14ac:dyDescent="0.35">
      <c r="D186" s="54">
        <v>165</v>
      </c>
      <c r="E186" s="54">
        <f t="shared" si="24"/>
        <v>7</v>
      </c>
      <c r="F186" s="54">
        <f t="shared" si="25"/>
        <v>7</v>
      </c>
      <c r="G186" s="55" t="str">
        <f t="shared" si="26"/>
        <v>So</v>
      </c>
      <c r="H186" s="56">
        <f t="shared" si="27"/>
        <v>20</v>
      </c>
      <c r="I186" s="55" t="str">
        <f t="shared" si="28"/>
        <v>Sonntag</v>
      </c>
      <c r="J186" s="35">
        <f>INDEX(Zapfprofil!$B$61:$H$61,F186)</f>
        <v>2.5000000000000001E-2</v>
      </c>
      <c r="K186" s="35">
        <f>INDEX(Zapfprofil!$AL$19:$AN$42,H186+1,IF(F186&lt;=5,1,IF(F186=6,2,3)))</f>
        <v>0.03</v>
      </c>
      <c r="L186" s="57">
        <f t="shared" si="29"/>
        <v>0.32238360000000005</v>
      </c>
      <c r="M186" s="57">
        <f>Eingaben!$B$29</f>
        <v>0.2</v>
      </c>
      <c r="N186" s="57">
        <f t="shared" si="30"/>
        <v>0.52238360000000006</v>
      </c>
      <c r="O186" s="57">
        <f t="shared" si="31"/>
        <v>4</v>
      </c>
      <c r="P186" s="57">
        <f t="shared" si="32"/>
        <v>-3.4776164000000001</v>
      </c>
      <c r="Q186" s="58">
        <f t="shared" si="34"/>
        <v>0</v>
      </c>
      <c r="R186" s="55" t="str">
        <f t="shared" si="33"/>
        <v>So 20:00</v>
      </c>
      <c r="S186" s="58">
        <f t="shared" si="35"/>
        <v>37.216000000000001</v>
      </c>
    </row>
    <row r="187" spans="4:20" ht="15" customHeight="1" x14ac:dyDescent="0.35">
      <c r="D187" s="54">
        <v>166</v>
      </c>
      <c r="E187" s="54">
        <f t="shared" si="24"/>
        <v>7</v>
      </c>
      <c r="F187" s="54">
        <f t="shared" si="25"/>
        <v>7</v>
      </c>
      <c r="G187" s="55" t="str">
        <f t="shared" si="26"/>
        <v>So</v>
      </c>
      <c r="H187" s="56">
        <f t="shared" si="27"/>
        <v>21</v>
      </c>
      <c r="I187" s="55" t="str">
        <f t="shared" si="28"/>
        <v>Sonntag</v>
      </c>
      <c r="J187" s="35">
        <f>INDEX(Zapfprofil!$B$61:$H$61,F187)</f>
        <v>2.5000000000000001E-2</v>
      </c>
      <c r="K187" s="35">
        <f>INDEX(Zapfprofil!$AL$19:$AN$42,H187+1,IF(F187&lt;=5,1,IF(F187=6,2,3)))</f>
        <v>2.5000000000000001E-2</v>
      </c>
      <c r="L187" s="57">
        <f t="shared" si="29"/>
        <v>0.26865300000000003</v>
      </c>
      <c r="M187" s="57">
        <f>Eingaben!$B$29</f>
        <v>0.2</v>
      </c>
      <c r="N187" s="57">
        <f t="shared" si="30"/>
        <v>0.46865300000000004</v>
      </c>
      <c r="O187" s="57">
        <f t="shared" si="31"/>
        <v>4</v>
      </c>
      <c r="P187" s="57">
        <f t="shared" si="32"/>
        <v>-3.5313469999999998</v>
      </c>
      <c r="Q187" s="58">
        <f t="shared" si="34"/>
        <v>0</v>
      </c>
      <c r="R187" s="55" t="str">
        <f t="shared" si="33"/>
        <v>So 21:00</v>
      </c>
      <c r="S187" s="58">
        <f t="shared" si="35"/>
        <v>37.216000000000001</v>
      </c>
    </row>
    <row r="188" spans="4:20" ht="15" customHeight="1" x14ac:dyDescent="0.35">
      <c r="D188" s="54">
        <v>167</v>
      </c>
      <c r="E188" s="54">
        <f t="shared" si="24"/>
        <v>7</v>
      </c>
      <c r="F188" s="54">
        <f t="shared" si="25"/>
        <v>7</v>
      </c>
      <c r="G188" s="55" t="str">
        <f t="shared" si="26"/>
        <v>So</v>
      </c>
      <c r="H188" s="56">
        <f t="shared" si="27"/>
        <v>22</v>
      </c>
      <c r="I188" s="55" t="str">
        <f t="shared" si="28"/>
        <v>Sonntag</v>
      </c>
      <c r="J188" s="35">
        <f>INDEX(Zapfprofil!$B$61:$H$61,F188)</f>
        <v>2.5000000000000001E-2</v>
      </c>
      <c r="K188" s="35">
        <f>INDEX(Zapfprofil!$AL$19:$AN$42,H188+1,IF(F188&lt;=5,1,IF(F188=6,2,3)))</f>
        <v>2.5000000000000001E-2</v>
      </c>
      <c r="L188" s="57">
        <f t="shared" si="29"/>
        <v>0.26865300000000003</v>
      </c>
      <c r="M188" s="57">
        <f>Eingaben!$B$29</f>
        <v>0.2</v>
      </c>
      <c r="N188" s="57">
        <f t="shared" si="30"/>
        <v>0.46865300000000004</v>
      </c>
      <c r="O188" s="57">
        <f t="shared" si="31"/>
        <v>4</v>
      </c>
      <c r="P188" s="57">
        <f t="shared" si="32"/>
        <v>-3.5313469999999998</v>
      </c>
      <c r="Q188" s="58">
        <f t="shared" si="34"/>
        <v>0</v>
      </c>
      <c r="R188" s="55" t="str">
        <f t="shared" si="33"/>
        <v>So 22:00</v>
      </c>
      <c r="S188" s="58">
        <f t="shared" si="35"/>
        <v>37.216000000000001</v>
      </c>
    </row>
    <row r="189" spans="4:20" ht="15" customHeight="1" x14ac:dyDescent="0.35">
      <c r="D189" s="54">
        <v>168</v>
      </c>
      <c r="E189" s="54">
        <f t="shared" si="24"/>
        <v>7</v>
      </c>
      <c r="F189" s="54">
        <f t="shared" si="25"/>
        <v>7</v>
      </c>
      <c r="G189" s="55" t="str">
        <f t="shared" si="26"/>
        <v>So</v>
      </c>
      <c r="H189" s="56">
        <f t="shared" si="27"/>
        <v>23</v>
      </c>
      <c r="I189" s="55" t="str">
        <f t="shared" si="28"/>
        <v>Sonntag</v>
      </c>
      <c r="J189" s="35">
        <f>INDEX(Zapfprofil!$B$61:$H$61,F189)</f>
        <v>2.5000000000000001E-2</v>
      </c>
      <c r="K189" s="35">
        <f>INDEX(Zapfprofil!$AL$19:$AN$42,H189+1,IF(F189&lt;=5,1,IF(F189=6,2,3)))</f>
        <v>2.5000000000000001E-2</v>
      </c>
      <c r="L189" s="57">
        <f t="shared" si="29"/>
        <v>0.26865300000000003</v>
      </c>
      <c r="M189" s="57">
        <f>Eingaben!$B$29</f>
        <v>0.2</v>
      </c>
      <c r="N189" s="57">
        <f t="shared" si="30"/>
        <v>0.46865300000000004</v>
      </c>
      <c r="O189" s="57">
        <f t="shared" si="31"/>
        <v>4</v>
      </c>
      <c r="P189" s="57">
        <f t="shared" si="32"/>
        <v>-3.5313469999999998</v>
      </c>
      <c r="Q189" s="58">
        <f t="shared" si="34"/>
        <v>0</v>
      </c>
      <c r="R189" s="55" t="str">
        <f t="shared" si="33"/>
        <v>So 23:00</v>
      </c>
      <c r="S189" s="58">
        <f t="shared" si="35"/>
        <v>37.216000000000001</v>
      </c>
    </row>
    <row r="190" spans="4:20" ht="15" customHeight="1" x14ac:dyDescent="0.35">
      <c r="D190" s="59">
        <v>169</v>
      </c>
      <c r="E190" s="59">
        <f t="shared" si="24"/>
        <v>8</v>
      </c>
      <c r="F190" s="59">
        <f t="shared" si="25"/>
        <v>1</v>
      </c>
      <c r="G190" s="60" t="str">
        <f t="shared" si="26"/>
        <v>Mo</v>
      </c>
      <c r="H190" s="61">
        <f t="shared" si="27"/>
        <v>0</v>
      </c>
      <c r="I190" s="60" t="str">
        <f t="shared" si="28"/>
        <v>Werktag</v>
      </c>
      <c r="J190" s="39">
        <f>INDEX(Zapfprofil!$B$61:$H$61,F190)</f>
        <v>0.19</v>
      </c>
      <c r="K190" s="39">
        <f>INDEX(Zapfprofil!$AL$19:$AN$42,H190+1,IF(F190&lt;=5,1,IF(F190=6,2,3)))</f>
        <v>0</v>
      </c>
      <c r="L190" s="62">
        <f t="shared" si="29"/>
        <v>0</v>
      </c>
      <c r="M190" s="62">
        <f>Eingaben!$B$29</f>
        <v>0.2</v>
      </c>
      <c r="N190" s="62">
        <f t="shared" si="30"/>
        <v>0.2</v>
      </c>
      <c r="O190" s="62">
        <f t="shared" si="31"/>
        <v>4</v>
      </c>
      <c r="P190" s="62">
        <f t="shared" si="32"/>
        <v>-3.8</v>
      </c>
      <c r="Q190" s="63">
        <f t="shared" si="34"/>
        <v>0</v>
      </c>
      <c r="R190" s="60" t="str">
        <f t="shared" si="33"/>
        <v>Mo 00:00</v>
      </c>
      <c r="S190" s="58">
        <f t="shared" si="35"/>
        <v>37.216000000000001</v>
      </c>
      <c r="T190" s="7" t="s">
        <v>341</v>
      </c>
    </row>
    <row r="191" spans="4:20" ht="15" customHeight="1" x14ac:dyDescent="0.35">
      <c r="D191" s="59">
        <v>170</v>
      </c>
      <c r="E191" s="59">
        <f t="shared" si="24"/>
        <v>8</v>
      </c>
      <c r="F191" s="59">
        <f t="shared" si="25"/>
        <v>1</v>
      </c>
      <c r="G191" s="60" t="str">
        <f t="shared" si="26"/>
        <v>Mo</v>
      </c>
      <c r="H191" s="61">
        <f t="shared" si="27"/>
        <v>1</v>
      </c>
      <c r="I191" s="60" t="str">
        <f t="shared" si="28"/>
        <v>Werktag</v>
      </c>
      <c r="J191" s="39">
        <f>INDEX(Zapfprofil!$B$61:$H$61,F191)</f>
        <v>0.19</v>
      </c>
      <c r="K191" s="39">
        <f>INDEX(Zapfprofil!$AL$19:$AN$42,H191+1,IF(F191&lt;=5,1,IF(F191=6,2,3)))</f>
        <v>0</v>
      </c>
      <c r="L191" s="62">
        <f t="shared" si="29"/>
        <v>0</v>
      </c>
      <c r="M191" s="62">
        <f>Eingaben!$B$29</f>
        <v>0.2</v>
      </c>
      <c r="N191" s="62">
        <f t="shared" si="30"/>
        <v>0.2</v>
      </c>
      <c r="O191" s="62">
        <f t="shared" si="31"/>
        <v>4</v>
      </c>
      <c r="P191" s="62">
        <f t="shared" si="32"/>
        <v>-3.8</v>
      </c>
      <c r="Q191" s="63">
        <f t="shared" si="34"/>
        <v>0</v>
      </c>
      <c r="R191" s="60" t="str">
        <f t="shared" si="33"/>
        <v>Mo 01:00</v>
      </c>
      <c r="S191" s="58">
        <f t="shared" si="35"/>
        <v>37.216000000000001</v>
      </c>
    </row>
    <row r="192" spans="4:20" ht="15" customHeight="1" x14ac:dyDescent="0.35">
      <c r="D192" s="59">
        <v>171</v>
      </c>
      <c r="E192" s="59">
        <f t="shared" si="24"/>
        <v>8</v>
      </c>
      <c r="F192" s="59">
        <f t="shared" si="25"/>
        <v>1</v>
      </c>
      <c r="G192" s="60" t="str">
        <f t="shared" si="26"/>
        <v>Mo</v>
      </c>
      <c r="H192" s="61">
        <f t="shared" si="27"/>
        <v>2</v>
      </c>
      <c r="I192" s="60" t="str">
        <f t="shared" si="28"/>
        <v>Werktag</v>
      </c>
      <c r="J192" s="39">
        <f>INDEX(Zapfprofil!$B$61:$H$61,F192)</f>
        <v>0.19</v>
      </c>
      <c r="K192" s="39">
        <f>INDEX(Zapfprofil!$AL$19:$AN$42,H192+1,IF(F192&lt;=5,1,IF(F192=6,2,3)))</f>
        <v>0</v>
      </c>
      <c r="L192" s="62">
        <f t="shared" si="29"/>
        <v>0</v>
      </c>
      <c r="M192" s="62">
        <f>Eingaben!$B$29</f>
        <v>0.2</v>
      </c>
      <c r="N192" s="62">
        <f t="shared" si="30"/>
        <v>0.2</v>
      </c>
      <c r="O192" s="62">
        <f t="shared" si="31"/>
        <v>4</v>
      </c>
      <c r="P192" s="62">
        <f t="shared" si="32"/>
        <v>-3.8</v>
      </c>
      <c r="Q192" s="63">
        <f t="shared" si="34"/>
        <v>0</v>
      </c>
      <c r="R192" s="60" t="str">
        <f t="shared" si="33"/>
        <v>Mo 02:00</v>
      </c>
      <c r="S192" s="58">
        <f t="shared" si="35"/>
        <v>37.216000000000001</v>
      </c>
    </row>
    <row r="193" spans="4:19" ht="15" customHeight="1" x14ac:dyDescent="0.35">
      <c r="D193" s="59">
        <v>172</v>
      </c>
      <c r="E193" s="59">
        <f t="shared" si="24"/>
        <v>8</v>
      </c>
      <c r="F193" s="59">
        <f t="shared" si="25"/>
        <v>1</v>
      </c>
      <c r="G193" s="60" t="str">
        <f t="shared" si="26"/>
        <v>Mo</v>
      </c>
      <c r="H193" s="61">
        <f t="shared" si="27"/>
        <v>3</v>
      </c>
      <c r="I193" s="60" t="str">
        <f t="shared" si="28"/>
        <v>Werktag</v>
      </c>
      <c r="J193" s="39">
        <f>INDEX(Zapfprofil!$B$61:$H$61,F193)</f>
        <v>0.19</v>
      </c>
      <c r="K193" s="39">
        <f>INDEX(Zapfprofil!$AL$19:$AN$42,H193+1,IF(F193&lt;=5,1,IF(F193=6,2,3)))</f>
        <v>0</v>
      </c>
      <c r="L193" s="62">
        <f t="shared" si="29"/>
        <v>0</v>
      </c>
      <c r="M193" s="62">
        <f>Eingaben!$B$29</f>
        <v>0.2</v>
      </c>
      <c r="N193" s="62">
        <f t="shared" si="30"/>
        <v>0.2</v>
      </c>
      <c r="O193" s="62">
        <f t="shared" si="31"/>
        <v>4</v>
      </c>
      <c r="P193" s="62">
        <f t="shared" si="32"/>
        <v>-3.8</v>
      </c>
      <c r="Q193" s="63">
        <f t="shared" si="34"/>
        <v>0</v>
      </c>
      <c r="R193" s="60" t="str">
        <f t="shared" si="33"/>
        <v>Mo 03:00</v>
      </c>
      <c r="S193" s="58">
        <f t="shared" si="35"/>
        <v>37.216000000000001</v>
      </c>
    </row>
    <row r="194" spans="4:19" ht="15" customHeight="1" x14ac:dyDescent="0.35">
      <c r="D194" s="59">
        <v>173</v>
      </c>
      <c r="E194" s="59">
        <f t="shared" si="24"/>
        <v>8</v>
      </c>
      <c r="F194" s="59">
        <f t="shared" si="25"/>
        <v>1</v>
      </c>
      <c r="G194" s="60" t="str">
        <f t="shared" si="26"/>
        <v>Mo</v>
      </c>
      <c r="H194" s="61">
        <f t="shared" si="27"/>
        <v>4</v>
      </c>
      <c r="I194" s="60" t="str">
        <f t="shared" si="28"/>
        <v>Werktag</v>
      </c>
      <c r="J194" s="39">
        <f>INDEX(Zapfprofil!$B$61:$H$61,F194)</f>
        <v>0.19</v>
      </c>
      <c r="K194" s="39">
        <f>INDEX(Zapfprofil!$AL$19:$AN$42,H194+1,IF(F194&lt;=5,1,IF(F194=6,2,3)))</f>
        <v>0</v>
      </c>
      <c r="L194" s="62">
        <f t="shared" si="29"/>
        <v>0</v>
      </c>
      <c r="M194" s="62">
        <f>Eingaben!$B$29</f>
        <v>0.2</v>
      </c>
      <c r="N194" s="62">
        <f t="shared" si="30"/>
        <v>0.2</v>
      </c>
      <c r="O194" s="62">
        <f t="shared" si="31"/>
        <v>4</v>
      </c>
      <c r="P194" s="62">
        <f t="shared" si="32"/>
        <v>-3.8</v>
      </c>
      <c r="Q194" s="63">
        <f t="shared" si="34"/>
        <v>0</v>
      </c>
      <c r="R194" s="60" t="str">
        <f t="shared" si="33"/>
        <v>Mo 04:00</v>
      </c>
      <c r="S194" s="58">
        <f t="shared" si="35"/>
        <v>37.216000000000001</v>
      </c>
    </row>
    <row r="195" spans="4:19" ht="15" customHeight="1" x14ac:dyDescent="0.35">
      <c r="D195" s="59">
        <v>174</v>
      </c>
      <c r="E195" s="59">
        <f t="shared" si="24"/>
        <v>8</v>
      </c>
      <c r="F195" s="59">
        <f t="shared" si="25"/>
        <v>1</v>
      </c>
      <c r="G195" s="60" t="str">
        <f t="shared" si="26"/>
        <v>Mo</v>
      </c>
      <c r="H195" s="61">
        <f t="shared" si="27"/>
        <v>5</v>
      </c>
      <c r="I195" s="60" t="str">
        <f t="shared" si="28"/>
        <v>Werktag</v>
      </c>
      <c r="J195" s="39">
        <f>INDEX(Zapfprofil!$B$61:$H$61,F195)</f>
        <v>0.19</v>
      </c>
      <c r="K195" s="39">
        <f>INDEX(Zapfprofil!$AL$19:$AN$42,H195+1,IF(F195&lt;=5,1,IF(F195=6,2,3)))</f>
        <v>0</v>
      </c>
      <c r="L195" s="62">
        <f t="shared" si="29"/>
        <v>0</v>
      </c>
      <c r="M195" s="62">
        <f>Eingaben!$B$29</f>
        <v>0.2</v>
      </c>
      <c r="N195" s="62">
        <f t="shared" si="30"/>
        <v>0.2</v>
      </c>
      <c r="O195" s="62">
        <f t="shared" si="31"/>
        <v>4</v>
      </c>
      <c r="P195" s="62">
        <f t="shared" si="32"/>
        <v>-3.8</v>
      </c>
      <c r="Q195" s="63">
        <f t="shared" si="34"/>
        <v>0</v>
      </c>
      <c r="R195" s="60" t="str">
        <f t="shared" si="33"/>
        <v>Mo 05:00</v>
      </c>
      <c r="S195" s="58">
        <f t="shared" si="35"/>
        <v>37.216000000000001</v>
      </c>
    </row>
    <row r="196" spans="4:19" ht="15" customHeight="1" x14ac:dyDescent="0.35">
      <c r="D196" s="59">
        <v>175</v>
      </c>
      <c r="E196" s="59">
        <f t="shared" si="24"/>
        <v>8</v>
      </c>
      <c r="F196" s="59">
        <f t="shared" si="25"/>
        <v>1</v>
      </c>
      <c r="G196" s="60" t="str">
        <f t="shared" si="26"/>
        <v>Mo</v>
      </c>
      <c r="H196" s="61">
        <f t="shared" si="27"/>
        <v>6</v>
      </c>
      <c r="I196" s="60" t="str">
        <f t="shared" si="28"/>
        <v>Werktag</v>
      </c>
      <c r="J196" s="39">
        <f>INDEX(Zapfprofil!$B$61:$H$61,F196)</f>
        <v>0.19</v>
      </c>
      <c r="K196" s="39">
        <f>INDEX(Zapfprofil!$AL$19:$AN$42,H196+1,IF(F196&lt;=5,1,IF(F196=6,2,3)))</f>
        <v>0.02</v>
      </c>
      <c r="L196" s="62">
        <f t="shared" si="29"/>
        <v>1.6334102400000001</v>
      </c>
      <c r="M196" s="62">
        <f>Eingaben!$B$29</f>
        <v>0.2</v>
      </c>
      <c r="N196" s="62">
        <f t="shared" si="30"/>
        <v>1.8334102400000001</v>
      </c>
      <c r="O196" s="62">
        <f t="shared" si="31"/>
        <v>4</v>
      </c>
      <c r="P196" s="62">
        <f t="shared" si="32"/>
        <v>-2.1665897599999999</v>
      </c>
      <c r="Q196" s="63">
        <f t="shared" si="34"/>
        <v>0</v>
      </c>
      <c r="R196" s="60" t="str">
        <f t="shared" si="33"/>
        <v>Mo 06:00</v>
      </c>
      <c r="S196" s="58">
        <f t="shared" si="35"/>
        <v>37.216000000000001</v>
      </c>
    </row>
    <row r="197" spans="4:19" ht="15" customHeight="1" x14ac:dyDescent="0.35">
      <c r="D197" s="59">
        <v>176</v>
      </c>
      <c r="E197" s="59">
        <f t="shared" si="24"/>
        <v>8</v>
      </c>
      <c r="F197" s="59">
        <f t="shared" si="25"/>
        <v>1</v>
      </c>
      <c r="G197" s="60" t="str">
        <f t="shared" si="26"/>
        <v>Mo</v>
      </c>
      <c r="H197" s="61">
        <f t="shared" si="27"/>
        <v>7</v>
      </c>
      <c r="I197" s="60" t="str">
        <f t="shared" si="28"/>
        <v>Werktag</v>
      </c>
      <c r="J197" s="39">
        <f>INDEX(Zapfprofil!$B$61:$H$61,F197)</f>
        <v>0.19</v>
      </c>
      <c r="K197" s="39">
        <f>INDEX(Zapfprofil!$AL$19:$AN$42,H197+1,IF(F197&lt;=5,1,IF(F197=6,2,3)))</f>
        <v>0.06</v>
      </c>
      <c r="L197" s="62">
        <f t="shared" si="29"/>
        <v>4.9002307199999997</v>
      </c>
      <c r="M197" s="62">
        <f>Eingaben!$B$29</f>
        <v>0.2</v>
      </c>
      <c r="N197" s="62">
        <f t="shared" si="30"/>
        <v>5.1002307199999999</v>
      </c>
      <c r="O197" s="62">
        <f t="shared" si="31"/>
        <v>4</v>
      </c>
      <c r="P197" s="62">
        <f t="shared" si="32"/>
        <v>1.1002307199999999</v>
      </c>
      <c r="Q197" s="63">
        <f t="shared" si="34"/>
        <v>1.1002307199999999</v>
      </c>
      <c r="R197" s="60" t="str">
        <f t="shared" si="33"/>
        <v>Mo 07:00</v>
      </c>
      <c r="S197" s="58">
        <f t="shared" si="35"/>
        <v>36.115769280000002</v>
      </c>
    </row>
    <row r="198" spans="4:19" ht="15" customHeight="1" x14ac:dyDescent="0.35">
      <c r="D198" s="59">
        <v>177</v>
      </c>
      <c r="E198" s="59">
        <f t="shared" si="24"/>
        <v>8</v>
      </c>
      <c r="F198" s="59">
        <f t="shared" si="25"/>
        <v>1</v>
      </c>
      <c r="G198" s="60" t="str">
        <f t="shared" si="26"/>
        <v>Mo</v>
      </c>
      <c r="H198" s="61">
        <f t="shared" si="27"/>
        <v>8</v>
      </c>
      <c r="I198" s="60" t="str">
        <f t="shared" si="28"/>
        <v>Werktag</v>
      </c>
      <c r="J198" s="39">
        <f>INDEX(Zapfprofil!$B$61:$H$61,F198)</f>
        <v>0.19</v>
      </c>
      <c r="K198" s="39">
        <f>INDEX(Zapfprofil!$AL$19:$AN$42,H198+1,IF(F198&lt;=5,1,IF(F198=6,2,3)))</f>
        <v>0.08</v>
      </c>
      <c r="L198" s="62">
        <f t="shared" si="29"/>
        <v>6.5336409600000005</v>
      </c>
      <c r="M198" s="62">
        <f>Eingaben!$B$29</f>
        <v>0.2</v>
      </c>
      <c r="N198" s="62">
        <f t="shared" si="30"/>
        <v>6.7336409600000007</v>
      </c>
      <c r="O198" s="62">
        <f t="shared" si="31"/>
        <v>4</v>
      </c>
      <c r="P198" s="62">
        <f t="shared" si="32"/>
        <v>2.7336409600000007</v>
      </c>
      <c r="Q198" s="63">
        <f t="shared" si="34"/>
        <v>3.8338716800000006</v>
      </c>
      <c r="R198" s="60" t="str">
        <f t="shared" si="33"/>
        <v>Mo 08:00</v>
      </c>
      <c r="S198" s="58">
        <f t="shared" si="35"/>
        <v>33.38212832</v>
      </c>
    </row>
    <row r="199" spans="4:19" ht="15" customHeight="1" x14ac:dyDescent="0.35">
      <c r="D199" s="59">
        <v>178</v>
      </c>
      <c r="E199" s="59">
        <f t="shared" si="24"/>
        <v>8</v>
      </c>
      <c r="F199" s="59">
        <f t="shared" si="25"/>
        <v>1</v>
      </c>
      <c r="G199" s="60" t="str">
        <f t="shared" si="26"/>
        <v>Mo</v>
      </c>
      <c r="H199" s="61">
        <f t="shared" si="27"/>
        <v>9</v>
      </c>
      <c r="I199" s="60" t="str">
        <f t="shared" si="28"/>
        <v>Werktag</v>
      </c>
      <c r="J199" s="39">
        <f>INDEX(Zapfprofil!$B$61:$H$61,F199)</f>
        <v>0.19</v>
      </c>
      <c r="K199" s="39">
        <f>INDEX(Zapfprofil!$AL$19:$AN$42,H199+1,IF(F199&lt;=5,1,IF(F199=6,2,3)))</f>
        <v>8.5000000000000006E-2</v>
      </c>
      <c r="L199" s="62">
        <f t="shared" si="29"/>
        <v>6.9419935200000005</v>
      </c>
      <c r="M199" s="62">
        <f>Eingaben!$B$29</f>
        <v>0.2</v>
      </c>
      <c r="N199" s="62">
        <f t="shared" si="30"/>
        <v>7.1419935200000007</v>
      </c>
      <c r="O199" s="62">
        <f t="shared" si="31"/>
        <v>4</v>
      </c>
      <c r="P199" s="62">
        <f t="shared" si="32"/>
        <v>3.1419935200000007</v>
      </c>
      <c r="Q199" s="63">
        <f t="shared" si="34"/>
        <v>6.9758652000000012</v>
      </c>
      <c r="R199" s="60" t="str">
        <f t="shared" si="33"/>
        <v>Mo 09:00</v>
      </c>
      <c r="S199" s="58">
        <f t="shared" si="35"/>
        <v>30.2401348</v>
      </c>
    </row>
    <row r="200" spans="4:19" ht="15" customHeight="1" x14ac:dyDescent="0.35">
      <c r="D200" s="59">
        <v>179</v>
      </c>
      <c r="E200" s="59">
        <f t="shared" si="24"/>
        <v>8</v>
      </c>
      <c r="F200" s="59">
        <f t="shared" si="25"/>
        <v>1</v>
      </c>
      <c r="G200" s="60" t="str">
        <f t="shared" si="26"/>
        <v>Mo</v>
      </c>
      <c r="H200" s="61">
        <f t="shared" si="27"/>
        <v>10</v>
      </c>
      <c r="I200" s="60" t="str">
        <f t="shared" si="28"/>
        <v>Werktag</v>
      </c>
      <c r="J200" s="39">
        <f>INDEX(Zapfprofil!$B$61:$H$61,F200)</f>
        <v>0.19</v>
      </c>
      <c r="K200" s="39">
        <f>INDEX(Zapfprofil!$AL$19:$AN$42,H200+1,IF(F200&lt;=5,1,IF(F200=6,2,3)))</f>
        <v>8.5000000000000006E-2</v>
      </c>
      <c r="L200" s="62">
        <f t="shared" si="29"/>
        <v>6.9419935200000005</v>
      </c>
      <c r="M200" s="62">
        <f>Eingaben!$B$29</f>
        <v>0.2</v>
      </c>
      <c r="N200" s="62">
        <f t="shared" si="30"/>
        <v>7.1419935200000007</v>
      </c>
      <c r="O200" s="62">
        <f t="shared" si="31"/>
        <v>4</v>
      </c>
      <c r="P200" s="62">
        <f t="shared" si="32"/>
        <v>3.1419935200000007</v>
      </c>
      <c r="Q200" s="63">
        <f t="shared" si="34"/>
        <v>10.117858720000001</v>
      </c>
      <c r="R200" s="60" t="str">
        <f t="shared" si="33"/>
        <v>Mo 10:00</v>
      </c>
      <c r="S200" s="58">
        <f t="shared" si="35"/>
        <v>27.09814128</v>
      </c>
    </row>
    <row r="201" spans="4:19" ht="15" customHeight="1" x14ac:dyDescent="0.35">
      <c r="D201" s="59">
        <v>180</v>
      </c>
      <c r="E201" s="59">
        <f t="shared" si="24"/>
        <v>8</v>
      </c>
      <c r="F201" s="59">
        <f t="shared" si="25"/>
        <v>1</v>
      </c>
      <c r="G201" s="60" t="str">
        <f t="shared" si="26"/>
        <v>Mo</v>
      </c>
      <c r="H201" s="61">
        <f t="shared" si="27"/>
        <v>11</v>
      </c>
      <c r="I201" s="60" t="str">
        <f t="shared" si="28"/>
        <v>Werktag</v>
      </c>
      <c r="J201" s="39">
        <f>INDEX(Zapfprofil!$B$61:$H$61,F201)</f>
        <v>0.19</v>
      </c>
      <c r="K201" s="39">
        <f>INDEX(Zapfprofil!$AL$19:$AN$42,H201+1,IF(F201&lt;=5,1,IF(F201=6,2,3)))</f>
        <v>0.09</v>
      </c>
      <c r="L201" s="62">
        <f t="shared" si="29"/>
        <v>7.3503460799999996</v>
      </c>
      <c r="M201" s="62">
        <f>Eingaben!$B$29</f>
        <v>0.2</v>
      </c>
      <c r="N201" s="62">
        <f t="shared" si="30"/>
        <v>7.5503460799999997</v>
      </c>
      <c r="O201" s="62">
        <f t="shared" si="31"/>
        <v>4</v>
      </c>
      <c r="P201" s="62">
        <f t="shared" si="32"/>
        <v>3.5503460799999997</v>
      </c>
      <c r="Q201" s="63">
        <f t="shared" si="34"/>
        <v>13.668204800000002</v>
      </c>
      <c r="R201" s="60" t="str">
        <f t="shared" si="33"/>
        <v>Mo 11:00</v>
      </c>
      <c r="S201" s="58">
        <f t="shared" si="35"/>
        <v>23.547795199999999</v>
      </c>
    </row>
    <row r="202" spans="4:19" ht="15" customHeight="1" x14ac:dyDescent="0.35">
      <c r="D202" s="59">
        <v>181</v>
      </c>
      <c r="E202" s="59">
        <f t="shared" si="24"/>
        <v>8</v>
      </c>
      <c r="F202" s="59">
        <f t="shared" si="25"/>
        <v>1</v>
      </c>
      <c r="G202" s="60" t="str">
        <f t="shared" si="26"/>
        <v>Mo</v>
      </c>
      <c r="H202" s="61">
        <f t="shared" si="27"/>
        <v>12</v>
      </c>
      <c r="I202" s="60" t="str">
        <f t="shared" si="28"/>
        <v>Werktag</v>
      </c>
      <c r="J202" s="39">
        <f>INDEX(Zapfprofil!$B$61:$H$61,F202)</f>
        <v>0.19</v>
      </c>
      <c r="K202" s="39">
        <f>INDEX(Zapfprofil!$AL$19:$AN$42,H202+1,IF(F202&lt;=5,1,IF(F202=6,2,3)))</f>
        <v>0.1</v>
      </c>
      <c r="L202" s="62">
        <f t="shared" si="29"/>
        <v>8.1670512000000013</v>
      </c>
      <c r="M202" s="62">
        <f>Eingaben!$B$29</f>
        <v>0.2</v>
      </c>
      <c r="N202" s="62">
        <f t="shared" si="30"/>
        <v>8.3670512000000006</v>
      </c>
      <c r="O202" s="62">
        <f t="shared" si="31"/>
        <v>4</v>
      </c>
      <c r="P202" s="62">
        <f t="shared" si="32"/>
        <v>4.3670512000000006</v>
      </c>
      <c r="Q202" s="63">
        <f t="shared" si="34"/>
        <v>18.035256000000004</v>
      </c>
      <c r="R202" s="60" t="str">
        <f t="shared" si="33"/>
        <v>Mo 12:00</v>
      </c>
      <c r="S202" s="58">
        <f t="shared" si="35"/>
        <v>19.180743999999997</v>
      </c>
    </row>
    <row r="203" spans="4:19" ht="15" customHeight="1" x14ac:dyDescent="0.35">
      <c r="D203" s="59">
        <v>182</v>
      </c>
      <c r="E203" s="59">
        <f t="shared" si="24"/>
        <v>8</v>
      </c>
      <c r="F203" s="59">
        <f t="shared" si="25"/>
        <v>1</v>
      </c>
      <c r="G203" s="60" t="str">
        <f t="shared" si="26"/>
        <v>Mo</v>
      </c>
      <c r="H203" s="61">
        <f t="shared" si="27"/>
        <v>13</v>
      </c>
      <c r="I203" s="60" t="str">
        <f t="shared" si="28"/>
        <v>Werktag</v>
      </c>
      <c r="J203" s="39">
        <f>INDEX(Zapfprofil!$B$61:$H$61,F203)</f>
        <v>0.19</v>
      </c>
      <c r="K203" s="39">
        <f>INDEX(Zapfprofil!$AL$19:$AN$42,H203+1,IF(F203&lt;=5,1,IF(F203=6,2,3)))</f>
        <v>9.5000000000000001E-2</v>
      </c>
      <c r="L203" s="62">
        <f t="shared" si="29"/>
        <v>7.7586986400000004</v>
      </c>
      <c r="M203" s="62">
        <f>Eingaben!$B$29</f>
        <v>0.2</v>
      </c>
      <c r="N203" s="62">
        <f t="shared" si="30"/>
        <v>7.9586986400000006</v>
      </c>
      <c r="O203" s="62">
        <f t="shared" si="31"/>
        <v>4</v>
      </c>
      <c r="P203" s="62">
        <f t="shared" si="32"/>
        <v>3.9586986400000006</v>
      </c>
      <c r="Q203" s="63">
        <f t="shared" si="34"/>
        <v>21.993954640000005</v>
      </c>
      <c r="R203" s="60" t="str">
        <f t="shared" si="33"/>
        <v>Mo 13:00</v>
      </c>
      <c r="S203" s="58">
        <f t="shared" si="35"/>
        <v>15.222045359999996</v>
      </c>
    </row>
    <row r="204" spans="4:19" ht="15" customHeight="1" x14ac:dyDescent="0.35">
      <c r="D204" s="59">
        <v>183</v>
      </c>
      <c r="E204" s="59">
        <f t="shared" si="24"/>
        <v>8</v>
      </c>
      <c r="F204" s="59">
        <f t="shared" si="25"/>
        <v>1</v>
      </c>
      <c r="G204" s="60" t="str">
        <f t="shared" si="26"/>
        <v>Mo</v>
      </c>
      <c r="H204" s="61">
        <f t="shared" si="27"/>
        <v>14</v>
      </c>
      <c r="I204" s="60" t="str">
        <f t="shared" si="28"/>
        <v>Werktag</v>
      </c>
      <c r="J204" s="39">
        <f>INDEX(Zapfprofil!$B$61:$H$61,F204)</f>
        <v>0.19</v>
      </c>
      <c r="K204" s="39">
        <f>INDEX(Zapfprofil!$AL$19:$AN$42,H204+1,IF(F204&lt;=5,1,IF(F204=6,2,3)))</f>
        <v>8.5000000000000006E-2</v>
      </c>
      <c r="L204" s="62">
        <f t="shared" si="29"/>
        <v>6.9419935200000005</v>
      </c>
      <c r="M204" s="62">
        <f>Eingaben!$B$29</f>
        <v>0.2</v>
      </c>
      <c r="N204" s="62">
        <f t="shared" si="30"/>
        <v>7.1419935200000007</v>
      </c>
      <c r="O204" s="62">
        <f t="shared" si="31"/>
        <v>4</v>
      </c>
      <c r="P204" s="62">
        <f t="shared" si="32"/>
        <v>3.1419935200000007</v>
      </c>
      <c r="Q204" s="63">
        <f t="shared" si="34"/>
        <v>25.135948160000005</v>
      </c>
      <c r="R204" s="60" t="str">
        <f t="shared" si="33"/>
        <v>Mo 14:00</v>
      </c>
      <c r="S204" s="58">
        <f t="shared" si="35"/>
        <v>12.080051839999996</v>
      </c>
    </row>
    <row r="205" spans="4:19" ht="15" customHeight="1" x14ac:dyDescent="0.35">
      <c r="D205" s="59">
        <v>184</v>
      </c>
      <c r="E205" s="59">
        <f t="shared" si="24"/>
        <v>8</v>
      </c>
      <c r="F205" s="59">
        <f t="shared" si="25"/>
        <v>1</v>
      </c>
      <c r="G205" s="60" t="str">
        <f t="shared" si="26"/>
        <v>Mo</v>
      </c>
      <c r="H205" s="61">
        <f t="shared" si="27"/>
        <v>15</v>
      </c>
      <c r="I205" s="60" t="str">
        <f t="shared" si="28"/>
        <v>Werktag</v>
      </c>
      <c r="J205" s="39">
        <f>INDEX(Zapfprofil!$B$61:$H$61,F205)</f>
        <v>0.19</v>
      </c>
      <c r="K205" s="39">
        <f>INDEX(Zapfprofil!$AL$19:$AN$42,H205+1,IF(F205&lt;=5,1,IF(F205=6,2,3)))</f>
        <v>0.08</v>
      </c>
      <c r="L205" s="62">
        <f t="shared" si="29"/>
        <v>6.5336409600000005</v>
      </c>
      <c r="M205" s="62">
        <f>Eingaben!$B$29</f>
        <v>0.2</v>
      </c>
      <c r="N205" s="62">
        <f t="shared" si="30"/>
        <v>6.7336409600000007</v>
      </c>
      <c r="O205" s="62">
        <f t="shared" si="31"/>
        <v>4</v>
      </c>
      <c r="P205" s="62">
        <f t="shared" si="32"/>
        <v>2.7336409600000007</v>
      </c>
      <c r="Q205" s="63">
        <f t="shared" si="34"/>
        <v>27.869589120000008</v>
      </c>
      <c r="R205" s="60" t="str">
        <f t="shared" si="33"/>
        <v>Mo 15:00</v>
      </c>
      <c r="S205" s="58">
        <f t="shared" si="35"/>
        <v>9.3464108799999934</v>
      </c>
    </row>
    <row r="206" spans="4:19" ht="15" customHeight="1" x14ac:dyDescent="0.35">
      <c r="D206" s="59">
        <v>185</v>
      </c>
      <c r="E206" s="59">
        <f t="shared" si="24"/>
        <v>8</v>
      </c>
      <c r="F206" s="59">
        <f t="shared" si="25"/>
        <v>1</v>
      </c>
      <c r="G206" s="60" t="str">
        <f t="shared" si="26"/>
        <v>Mo</v>
      </c>
      <c r="H206" s="61">
        <f t="shared" si="27"/>
        <v>16</v>
      </c>
      <c r="I206" s="60" t="str">
        <f t="shared" si="28"/>
        <v>Werktag</v>
      </c>
      <c r="J206" s="39">
        <f>INDEX(Zapfprofil!$B$61:$H$61,F206)</f>
        <v>0.19</v>
      </c>
      <c r="K206" s="39">
        <f>INDEX(Zapfprofil!$AL$19:$AN$42,H206+1,IF(F206&lt;=5,1,IF(F206=6,2,3)))</f>
        <v>7.4999999999999997E-2</v>
      </c>
      <c r="L206" s="62">
        <f t="shared" si="29"/>
        <v>6.1252883999999996</v>
      </c>
      <c r="M206" s="62">
        <f>Eingaben!$B$29</f>
        <v>0.2</v>
      </c>
      <c r="N206" s="62">
        <f t="shared" si="30"/>
        <v>6.3252883999999998</v>
      </c>
      <c r="O206" s="62">
        <f t="shared" si="31"/>
        <v>4</v>
      </c>
      <c r="P206" s="62">
        <f t="shared" si="32"/>
        <v>2.3252883999999998</v>
      </c>
      <c r="Q206" s="63">
        <f t="shared" si="34"/>
        <v>30.194877520000006</v>
      </c>
      <c r="R206" s="60" t="str">
        <f t="shared" si="33"/>
        <v>Mo 16:00</v>
      </c>
      <c r="S206" s="58">
        <f t="shared" si="35"/>
        <v>7.0211224799999954</v>
      </c>
    </row>
    <row r="207" spans="4:19" ht="15" customHeight="1" x14ac:dyDescent="0.35">
      <c r="D207" s="59">
        <v>186</v>
      </c>
      <c r="E207" s="59">
        <f t="shared" si="24"/>
        <v>8</v>
      </c>
      <c r="F207" s="59">
        <f t="shared" si="25"/>
        <v>1</v>
      </c>
      <c r="G207" s="60" t="str">
        <f t="shared" si="26"/>
        <v>Mo</v>
      </c>
      <c r="H207" s="61">
        <f t="shared" si="27"/>
        <v>17</v>
      </c>
      <c r="I207" s="60" t="str">
        <f t="shared" si="28"/>
        <v>Werktag</v>
      </c>
      <c r="J207" s="39">
        <f>INDEX(Zapfprofil!$B$61:$H$61,F207)</f>
        <v>0.19</v>
      </c>
      <c r="K207" s="39">
        <f>INDEX(Zapfprofil!$AL$19:$AN$42,H207+1,IF(F207&lt;=5,1,IF(F207=6,2,3)))</f>
        <v>0.06</v>
      </c>
      <c r="L207" s="62">
        <f t="shared" si="29"/>
        <v>4.9002307199999997</v>
      </c>
      <c r="M207" s="62">
        <f>Eingaben!$B$29</f>
        <v>0.2</v>
      </c>
      <c r="N207" s="62">
        <f t="shared" si="30"/>
        <v>5.1002307199999999</v>
      </c>
      <c r="O207" s="62">
        <f t="shared" si="31"/>
        <v>4</v>
      </c>
      <c r="P207" s="62">
        <f t="shared" si="32"/>
        <v>1.1002307199999999</v>
      </c>
      <c r="Q207" s="63">
        <f t="shared" si="34"/>
        <v>31.295108240000005</v>
      </c>
      <c r="R207" s="60" t="str">
        <f t="shared" si="33"/>
        <v>Mo 17:00</v>
      </c>
      <c r="S207" s="58">
        <f t="shared" si="35"/>
        <v>5.9208917599999964</v>
      </c>
    </row>
    <row r="208" spans="4:19" ht="15" customHeight="1" x14ac:dyDescent="0.35">
      <c r="D208" s="59">
        <v>187</v>
      </c>
      <c r="E208" s="59">
        <f t="shared" si="24"/>
        <v>8</v>
      </c>
      <c r="F208" s="59">
        <f t="shared" si="25"/>
        <v>1</v>
      </c>
      <c r="G208" s="60" t="str">
        <f t="shared" si="26"/>
        <v>Mo</v>
      </c>
      <c r="H208" s="61">
        <f t="shared" si="27"/>
        <v>18</v>
      </c>
      <c r="I208" s="60" t="str">
        <f t="shared" si="28"/>
        <v>Werktag</v>
      </c>
      <c r="J208" s="39">
        <f>INDEX(Zapfprofil!$B$61:$H$61,F208)</f>
        <v>0.19</v>
      </c>
      <c r="K208" s="39">
        <f>INDEX(Zapfprofil!$AL$19:$AN$42,H208+1,IF(F208&lt;=5,1,IF(F208=6,2,3)))</f>
        <v>4.4999999999999998E-2</v>
      </c>
      <c r="L208" s="62">
        <f t="shared" si="29"/>
        <v>3.6751730399999998</v>
      </c>
      <c r="M208" s="62">
        <f>Eingaben!$B$29</f>
        <v>0.2</v>
      </c>
      <c r="N208" s="62">
        <f t="shared" si="30"/>
        <v>3.87517304</v>
      </c>
      <c r="O208" s="62">
        <f t="shared" si="31"/>
        <v>4</v>
      </c>
      <c r="P208" s="62">
        <f t="shared" si="32"/>
        <v>-0.12482696000000004</v>
      </c>
      <c r="Q208" s="63">
        <f t="shared" si="34"/>
        <v>31.170281280000005</v>
      </c>
      <c r="R208" s="60" t="str">
        <f t="shared" si="33"/>
        <v>Mo 18:00</v>
      </c>
      <c r="S208" s="58">
        <f t="shared" si="35"/>
        <v>6.0457187199999964</v>
      </c>
    </row>
    <row r="209" spans="4:19" ht="15" customHeight="1" x14ac:dyDescent="0.35">
      <c r="D209" s="59">
        <v>188</v>
      </c>
      <c r="E209" s="59">
        <f t="shared" si="24"/>
        <v>8</v>
      </c>
      <c r="F209" s="59">
        <f t="shared" si="25"/>
        <v>1</v>
      </c>
      <c r="G209" s="60" t="str">
        <f t="shared" si="26"/>
        <v>Mo</v>
      </c>
      <c r="H209" s="61">
        <f t="shared" si="27"/>
        <v>19</v>
      </c>
      <c r="I209" s="60" t="str">
        <f t="shared" si="28"/>
        <v>Werktag</v>
      </c>
      <c r="J209" s="39">
        <f>INDEX(Zapfprofil!$B$61:$H$61,F209)</f>
        <v>0.19</v>
      </c>
      <c r="K209" s="39">
        <f>INDEX(Zapfprofil!$AL$19:$AN$42,H209+1,IF(F209&lt;=5,1,IF(F209=6,2,3)))</f>
        <v>2.5000000000000001E-2</v>
      </c>
      <c r="L209" s="62">
        <f t="shared" si="29"/>
        <v>2.0417628000000003</v>
      </c>
      <c r="M209" s="62">
        <f>Eingaben!$B$29</f>
        <v>0.2</v>
      </c>
      <c r="N209" s="62">
        <f t="shared" si="30"/>
        <v>2.2417628000000005</v>
      </c>
      <c r="O209" s="62">
        <f t="shared" si="31"/>
        <v>4</v>
      </c>
      <c r="P209" s="62">
        <f t="shared" si="32"/>
        <v>-1.7582371999999995</v>
      </c>
      <c r="Q209" s="63">
        <f t="shared" si="34"/>
        <v>29.412044080000005</v>
      </c>
      <c r="R209" s="60" t="str">
        <f t="shared" si="33"/>
        <v>Mo 19:00</v>
      </c>
      <c r="S209" s="58">
        <f t="shared" si="35"/>
        <v>7.8039559199999964</v>
      </c>
    </row>
    <row r="210" spans="4:19" ht="15" customHeight="1" x14ac:dyDescent="0.35">
      <c r="D210" s="59">
        <v>189</v>
      </c>
      <c r="E210" s="59">
        <f t="shared" si="24"/>
        <v>8</v>
      </c>
      <c r="F210" s="59">
        <f t="shared" si="25"/>
        <v>1</v>
      </c>
      <c r="G210" s="60" t="str">
        <f t="shared" si="26"/>
        <v>Mo</v>
      </c>
      <c r="H210" s="61">
        <f t="shared" si="27"/>
        <v>20</v>
      </c>
      <c r="I210" s="60" t="str">
        <f t="shared" si="28"/>
        <v>Werktag</v>
      </c>
      <c r="J210" s="39">
        <f>INDEX(Zapfprofil!$B$61:$H$61,F210)</f>
        <v>0.19</v>
      </c>
      <c r="K210" s="39">
        <f>INDEX(Zapfprofil!$AL$19:$AN$42,H210+1,IF(F210&lt;=5,1,IF(F210=6,2,3)))</f>
        <v>1.4999999999999999E-2</v>
      </c>
      <c r="L210" s="62">
        <f t="shared" si="29"/>
        <v>1.2250576799999999</v>
      </c>
      <c r="M210" s="62">
        <f>Eingaben!$B$29</f>
        <v>0.2</v>
      </c>
      <c r="N210" s="62">
        <f t="shared" si="30"/>
        <v>1.4250576799999999</v>
      </c>
      <c r="O210" s="62">
        <f t="shared" si="31"/>
        <v>4</v>
      </c>
      <c r="P210" s="62">
        <f t="shared" si="32"/>
        <v>-2.5749423199999999</v>
      </c>
      <c r="Q210" s="63">
        <f t="shared" si="34"/>
        <v>26.837101760000003</v>
      </c>
      <c r="R210" s="60" t="str">
        <f t="shared" si="33"/>
        <v>Mo 20:00</v>
      </c>
      <c r="S210" s="58">
        <f t="shared" si="35"/>
        <v>10.378898239999998</v>
      </c>
    </row>
    <row r="211" spans="4:19" ht="15" customHeight="1" x14ac:dyDescent="0.35">
      <c r="D211" s="59">
        <v>190</v>
      </c>
      <c r="E211" s="59">
        <f t="shared" si="24"/>
        <v>8</v>
      </c>
      <c r="F211" s="59">
        <f t="shared" si="25"/>
        <v>1</v>
      </c>
      <c r="G211" s="60" t="str">
        <f t="shared" si="26"/>
        <v>Mo</v>
      </c>
      <c r="H211" s="61">
        <f t="shared" si="27"/>
        <v>21</v>
      </c>
      <c r="I211" s="60" t="str">
        <f t="shared" si="28"/>
        <v>Werktag</v>
      </c>
      <c r="J211" s="39">
        <f>INDEX(Zapfprofil!$B$61:$H$61,F211)</f>
        <v>0.19</v>
      </c>
      <c r="K211" s="39">
        <f>INDEX(Zapfprofil!$AL$19:$AN$42,H211+1,IF(F211&lt;=5,1,IF(F211=6,2,3)))</f>
        <v>0</v>
      </c>
      <c r="L211" s="62">
        <f t="shared" si="29"/>
        <v>0</v>
      </c>
      <c r="M211" s="62">
        <f>Eingaben!$B$29</f>
        <v>0.2</v>
      </c>
      <c r="N211" s="62">
        <f t="shared" si="30"/>
        <v>0.2</v>
      </c>
      <c r="O211" s="62">
        <f t="shared" si="31"/>
        <v>4</v>
      </c>
      <c r="P211" s="62">
        <f t="shared" si="32"/>
        <v>-3.8</v>
      </c>
      <c r="Q211" s="63">
        <f t="shared" si="34"/>
        <v>23.037101760000002</v>
      </c>
      <c r="R211" s="60" t="str">
        <f t="shared" si="33"/>
        <v>Mo 21:00</v>
      </c>
      <c r="S211" s="58">
        <f t="shared" si="35"/>
        <v>14.178898239999999</v>
      </c>
    </row>
    <row r="212" spans="4:19" ht="15" customHeight="1" x14ac:dyDescent="0.35">
      <c r="D212" s="59">
        <v>191</v>
      </c>
      <c r="E212" s="59">
        <f t="shared" si="24"/>
        <v>8</v>
      </c>
      <c r="F212" s="59">
        <f t="shared" si="25"/>
        <v>1</v>
      </c>
      <c r="G212" s="60" t="str">
        <f t="shared" si="26"/>
        <v>Mo</v>
      </c>
      <c r="H212" s="61">
        <f t="shared" si="27"/>
        <v>22</v>
      </c>
      <c r="I212" s="60" t="str">
        <f t="shared" si="28"/>
        <v>Werktag</v>
      </c>
      <c r="J212" s="39">
        <f>INDEX(Zapfprofil!$B$61:$H$61,F212)</f>
        <v>0.19</v>
      </c>
      <c r="K212" s="39">
        <f>INDEX(Zapfprofil!$AL$19:$AN$42,H212+1,IF(F212&lt;=5,1,IF(F212=6,2,3)))</f>
        <v>0</v>
      </c>
      <c r="L212" s="62">
        <f t="shared" si="29"/>
        <v>0</v>
      </c>
      <c r="M212" s="62">
        <f>Eingaben!$B$29</f>
        <v>0.2</v>
      </c>
      <c r="N212" s="62">
        <f t="shared" si="30"/>
        <v>0.2</v>
      </c>
      <c r="O212" s="62">
        <f t="shared" si="31"/>
        <v>4</v>
      </c>
      <c r="P212" s="62">
        <f t="shared" si="32"/>
        <v>-3.8</v>
      </c>
      <c r="Q212" s="63">
        <f t="shared" si="34"/>
        <v>19.237101760000002</v>
      </c>
      <c r="R212" s="60" t="str">
        <f t="shared" si="33"/>
        <v>Mo 22:00</v>
      </c>
      <c r="S212" s="58">
        <f t="shared" si="35"/>
        <v>17.978898239999999</v>
      </c>
    </row>
    <row r="213" spans="4:19" ht="15" customHeight="1" x14ac:dyDescent="0.35">
      <c r="D213" s="59">
        <v>192</v>
      </c>
      <c r="E213" s="59">
        <f t="shared" si="24"/>
        <v>8</v>
      </c>
      <c r="F213" s="59">
        <f t="shared" si="25"/>
        <v>1</v>
      </c>
      <c r="G213" s="60" t="str">
        <f t="shared" si="26"/>
        <v>Mo</v>
      </c>
      <c r="H213" s="61">
        <f t="shared" si="27"/>
        <v>23</v>
      </c>
      <c r="I213" s="60" t="str">
        <f t="shared" si="28"/>
        <v>Werktag</v>
      </c>
      <c r="J213" s="39">
        <f>INDEX(Zapfprofil!$B$61:$H$61,F213)</f>
        <v>0.19</v>
      </c>
      <c r="K213" s="39">
        <f>INDEX(Zapfprofil!$AL$19:$AN$42,H213+1,IF(F213&lt;=5,1,IF(F213=6,2,3)))</f>
        <v>0</v>
      </c>
      <c r="L213" s="62">
        <f t="shared" si="29"/>
        <v>0</v>
      </c>
      <c r="M213" s="62">
        <f>Eingaben!$B$29</f>
        <v>0.2</v>
      </c>
      <c r="N213" s="62">
        <f t="shared" si="30"/>
        <v>0.2</v>
      </c>
      <c r="O213" s="62">
        <f t="shared" si="31"/>
        <v>4</v>
      </c>
      <c r="P213" s="62">
        <f t="shared" si="32"/>
        <v>-3.8</v>
      </c>
      <c r="Q213" s="63">
        <f t="shared" si="34"/>
        <v>15.437101760000001</v>
      </c>
      <c r="R213" s="60" t="str">
        <f t="shared" si="33"/>
        <v>Mo 23:00</v>
      </c>
      <c r="S213" s="58">
        <f t="shared" si="35"/>
        <v>21.77889824</v>
      </c>
    </row>
    <row r="214" spans="4:19" ht="15" customHeight="1" x14ac:dyDescent="0.35">
      <c r="D214" s="59">
        <v>193</v>
      </c>
      <c r="E214" s="59">
        <f t="shared" ref="E214:E277" si="36">INT((D214-1)/24)+1</f>
        <v>9</v>
      </c>
      <c r="F214" s="59">
        <f t="shared" ref="F214:F277" si="37">MOD(E214-1,7)+1</f>
        <v>2</v>
      </c>
      <c r="G214" s="60" t="str">
        <f t="shared" ref="G214:G277" si="38">CHOOSE(F214,"Mo","Di","Mi","Do","Fr","Sa","So")</f>
        <v>Di</v>
      </c>
      <c r="H214" s="61">
        <f t="shared" ref="H214:H277" si="39">MOD(D214-1,24)</f>
        <v>0</v>
      </c>
      <c r="I214" s="60" t="str">
        <f t="shared" ref="I214:I277" si="40">IF(F214&lt;=5,"Werktag",IF(F214=6,"Samstag","Sonntag"))</f>
        <v>Werktag</v>
      </c>
      <c r="J214" s="39">
        <f>INDEX(Zapfprofil!$B$61:$H$61,F214)</f>
        <v>0.19</v>
      </c>
      <c r="K214" s="39">
        <f>INDEX(Zapfprofil!$AL$19:$AN$42,H214+1,IF(F214&lt;=5,1,IF(F214=6,2,3)))</f>
        <v>0</v>
      </c>
      <c r="L214" s="62">
        <f t="shared" ref="L214:L277" si="41">$B$17*J214*K214*$B$16</f>
        <v>0</v>
      </c>
      <c r="M214" s="62">
        <f>Eingaben!$B$29</f>
        <v>0.2</v>
      </c>
      <c r="N214" s="62">
        <f t="shared" ref="N214:N277" si="42">L214+M214</f>
        <v>0.2</v>
      </c>
      <c r="O214" s="62">
        <f t="shared" ref="O214:O277" si="43">$B$12</f>
        <v>4</v>
      </c>
      <c r="P214" s="62">
        <f t="shared" ref="P214:P277" si="44">N214-O214</f>
        <v>-3.8</v>
      </c>
      <c r="Q214" s="63">
        <f t="shared" si="34"/>
        <v>11.63710176</v>
      </c>
      <c r="R214" s="60" t="str">
        <f t="shared" ref="R214:R277" si="45">G214&amp;" "&amp;RIGHT("0"&amp;H214,2)&amp;":00"</f>
        <v>Di 00:00</v>
      </c>
      <c r="S214" s="58">
        <f t="shared" si="35"/>
        <v>25.578898240000001</v>
      </c>
    </row>
    <row r="215" spans="4:19" ht="15" customHeight="1" x14ac:dyDescent="0.35">
      <c r="D215" s="59">
        <v>194</v>
      </c>
      <c r="E215" s="59">
        <f t="shared" si="36"/>
        <v>9</v>
      </c>
      <c r="F215" s="59">
        <f t="shared" si="37"/>
        <v>2</v>
      </c>
      <c r="G215" s="60" t="str">
        <f t="shared" si="38"/>
        <v>Di</v>
      </c>
      <c r="H215" s="61">
        <f t="shared" si="39"/>
        <v>1</v>
      </c>
      <c r="I215" s="60" t="str">
        <f t="shared" si="40"/>
        <v>Werktag</v>
      </c>
      <c r="J215" s="39">
        <f>INDEX(Zapfprofil!$B$61:$H$61,F215)</f>
        <v>0.19</v>
      </c>
      <c r="K215" s="39">
        <f>INDEX(Zapfprofil!$AL$19:$AN$42,H215+1,IF(F215&lt;=5,1,IF(F215=6,2,3)))</f>
        <v>0</v>
      </c>
      <c r="L215" s="62">
        <f t="shared" si="41"/>
        <v>0</v>
      </c>
      <c r="M215" s="62">
        <f>Eingaben!$B$29</f>
        <v>0.2</v>
      </c>
      <c r="N215" s="62">
        <f t="shared" si="42"/>
        <v>0.2</v>
      </c>
      <c r="O215" s="62">
        <f t="shared" si="43"/>
        <v>4</v>
      </c>
      <c r="P215" s="62">
        <f t="shared" si="44"/>
        <v>-3.8</v>
      </c>
      <c r="Q215" s="63">
        <f t="shared" ref="Q215:Q278" si="46">MAX(0,Q214+P215)</f>
        <v>7.8371017600000004</v>
      </c>
      <c r="R215" s="60" t="str">
        <f t="shared" si="45"/>
        <v>Di 01:00</v>
      </c>
      <c r="S215" s="58">
        <f t="shared" ref="S215:S278" si="47">MAX(0,$B$419-Q215)</f>
        <v>29.378898240000002</v>
      </c>
    </row>
    <row r="216" spans="4:19" ht="15" customHeight="1" x14ac:dyDescent="0.35">
      <c r="D216" s="59">
        <v>195</v>
      </c>
      <c r="E216" s="59">
        <f t="shared" si="36"/>
        <v>9</v>
      </c>
      <c r="F216" s="59">
        <f t="shared" si="37"/>
        <v>2</v>
      </c>
      <c r="G216" s="60" t="str">
        <f t="shared" si="38"/>
        <v>Di</v>
      </c>
      <c r="H216" s="61">
        <f t="shared" si="39"/>
        <v>2</v>
      </c>
      <c r="I216" s="60" t="str">
        <f t="shared" si="40"/>
        <v>Werktag</v>
      </c>
      <c r="J216" s="39">
        <f>INDEX(Zapfprofil!$B$61:$H$61,F216)</f>
        <v>0.19</v>
      </c>
      <c r="K216" s="39">
        <f>INDEX(Zapfprofil!$AL$19:$AN$42,H216+1,IF(F216&lt;=5,1,IF(F216=6,2,3)))</f>
        <v>0</v>
      </c>
      <c r="L216" s="62">
        <f t="shared" si="41"/>
        <v>0</v>
      </c>
      <c r="M216" s="62">
        <f>Eingaben!$B$29</f>
        <v>0.2</v>
      </c>
      <c r="N216" s="62">
        <f t="shared" si="42"/>
        <v>0.2</v>
      </c>
      <c r="O216" s="62">
        <f t="shared" si="43"/>
        <v>4</v>
      </c>
      <c r="P216" s="62">
        <f t="shared" si="44"/>
        <v>-3.8</v>
      </c>
      <c r="Q216" s="63">
        <f t="shared" si="46"/>
        <v>4.0371017600000005</v>
      </c>
      <c r="R216" s="60" t="str">
        <f t="shared" si="45"/>
        <v>Di 02:00</v>
      </c>
      <c r="S216" s="58">
        <f t="shared" si="47"/>
        <v>33.178898240000002</v>
      </c>
    </row>
    <row r="217" spans="4:19" ht="15" customHeight="1" x14ac:dyDescent="0.35">
      <c r="D217" s="59">
        <v>196</v>
      </c>
      <c r="E217" s="59">
        <f t="shared" si="36"/>
        <v>9</v>
      </c>
      <c r="F217" s="59">
        <f t="shared" si="37"/>
        <v>2</v>
      </c>
      <c r="G217" s="60" t="str">
        <f t="shared" si="38"/>
        <v>Di</v>
      </c>
      <c r="H217" s="61">
        <f t="shared" si="39"/>
        <v>3</v>
      </c>
      <c r="I217" s="60" t="str">
        <f t="shared" si="40"/>
        <v>Werktag</v>
      </c>
      <c r="J217" s="39">
        <f>INDEX(Zapfprofil!$B$61:$H$61,F217)</f>
        <v>0.19</v>
      </c>
      <c r="K217" s="39">
        <f>INDEX(Zapfprofil!$AL$19:$AN$42,H217+1,IF(F217&lt;=5,1,IF(F217=6,2,3)))</f>
        <v>0</v>
      </c>
      <c r="L217" s="62">
        <f t="shared" si="41"/>
        <v>0</v>
      </c>
      <c r="M217" s="62">
        <f>Eingaben!$B$29</f>
        <v>0.2</v>
      </c>
      <c r="N217" s="62">
        <f t="shared" si="42"/>
        <v>0.2</v>
      </c>
      <c r="O217" s="62">
        <f t="shared" si="43"/>
        <v>4</v>
      </c>
      <c r="P217" s="62">
        <f t="shared" si="44"/>
        <v>-3.8</v>
      </c>
      <c r="Q217" s="63">
        <f t="shared" si="46"/>
        <v>0.23710176000000072</v>
      </c>
      <c r="R217" s="60" t="str">
        <f t="shared" si="45"/>
        <v>Di 03:00</v>
      </c>
      <c r="S217" s="58">
        <f t="shared" si="47"/>
        <v>36.978898239999999</v>
      </c>
    </row>
    <row r="218" spans="4:19" ht="15" customHeight="1" x14ac:dyDescent="0.35">
      <c r="D218" s="59">
        <v>197</v>
      </c>
      <c r="E218" s="59">
        <f t="shared" si="36"/>
        <v>9</v>
      </c>
      <c r="F218" s="59">
        <f t="shared" si="37"/>
        <v>2</v>
      </c>
      <c r="G218" s="60" t="str">
        <f t="shared" si="38"/>
        <v>Di</v>
      </c>
      <c r="H218" s="61">
        <f t="shared" si="39"/>
        <v>4</v>
      </c>
      <c r="I218" s="60" t="str">
        <f t="shared" si="40"/>
        <v>Werktag</v>
      </c>
      <c r="J218" s="39">
        <f>INDEX(Zapfprofil!$B$61:$H$61,F218)</f>
        <v>0.19</v>
      </c>
      <c r="K218" s="39">
        <f>INDEX(Zapfprofil!$AL$19:$AN$42,H218+1,IF(F218&lt;=5,1,IF(F218=6,2,3)))</f>
        <v>0</v>
      </c>
      <c r="L218" s="62">
        <f t="shared" si="41"/>
        <v>0</v>
      </c>
      <c r="M218" s="62">
        <f>Eingaben!$B$29</f>
        <v>0.2</v>
      </c>
      <c r="N218" s="62">
        <f t="shared" si="42"/>
        <v>0.2</v>
      </c>
      <c r="O218" s="62">
        <f t="shared" si="43"/>
        <v>4</v>
      </c>
      <c r="P218" s="62">
        <f t="shared" si="44"/>
        <v>-3.8</v>
      </c>
      <c r="Q218" s="63">
        <f t="shared" si="46"/>
        <v>0</v>
      </c>
      <c r="R218" s="60" t="str">
        <f t="shared" si="45"/>
        <v>Di 04:00</v>
      </c>
      <c r="S218" s="58">
        <f t="shared" si="47"/>
        <v>37.216000000000001</v>
      </c>
    </row>
    <row r="219" spans="4:19" ht="15" customHeight="1" x14ac:dyDescent="0.35">
      <c r="D219" s="59">
        <v>198</v>
      </c>
      <c r="E219" s="59">
        <f t="shared" si="36"/>
        <v>9</v>
      </c>
      <c r="F219" s="59">
        <f t="shared" si="37"/>
        <v>2</v>
      </c>
      <c r="G219" s="60" t="str">
        <f t="shared" si="38"/>
        <v>Di</v>
      </c>
      <c r="H219" s="61">
        <f t="shared" si="39"/>
        <v>5</v>
      </c>
      <c r="I219" s="60" t="str">
        <f t="shared" si="40"/>
        <v>Werktag</v>
      </c>
      <c r="J219" s="39">
        <f>INDEX(Zapfprofil!$B$61:$H$61,F219)</f>
        <v>0.19</v>
      </c>
      <c r="K219" s="39">
        <f>INDEX(Zapfprofil!$AL$19:$AN$42,H219+1,IF(F219&lt;=5,1,IF(F219=6,2,3)))</f>
        <v>0</v>
      </c>
      <c r="L219" s="62">
        <f t="shared" si="41"/>
        <v>0</v>
      </c>
      <c r="M219" s="62">
        <f>Eingaben!$B$29</f>
        <v>0.2</v>
      </c>
      <c r="N219" s="62">
        <f t="shared" si="42"/>
        <v>0.2</v>
      </c>
      <c r="O219" s="62">
        <f t="shared" si="43"/>
        <v>4</v>
      </c>
      <c r="P219" s="62">
        <f t="shared" si="44"/>
        <v>-3.8</v>
      </c>
      <c r="Q219" s="63">
        <f t="shared" si="46"/>
        <v>0</v>
      </c>
      <c r="R219" s="60" t="str">
        <f t="shared" si="45"/>
        <v>Di 05:00</v>
      </c>
      <c r="S219" s="58">
        <f t="shared" si="47"/>
        <v>37.216000000000001</v>
      </c>
    </row>
    <row r="220" spans="4:19" ht="15" customHeight="1" x14ac:dyDescent="0.35">
      <c r="D220" s="59">
        <v>199</v>
      </c>
      <c r="E220" s="59">
        <f t="shared" si="36"/>
        <v>9</v>
      </c>
      <c r="F220" s="59">
        <f t="shared" si="37"/>
        <v>2</v>
      </c>
      <c r="G220" s="60" t="str">
        <f t="shared" si="38"/>
        <v>Di</v>
      </c>
      <c r="H220" s="61">
        <f t="shared" si="39"/>
        <v>6</v>
      </c>
      <c r="I220" s="60" t="str">
        <f t="shared" si="40"/>
        <v>Werktag</v>
      </c>
      <c r="J220" s="39">
        <f>INDEX(Zapfprofil!$B$61:$H$61,F220)</f>
        <v>0.19</v>
      </c>
      <c r="K220" s="39">
        <f>INDEX(Zapfprofil!$AL$19:$AN$42,H220+1,IF(F220&lt;=5,1,IF(F220=6,2,3)))</f>
        <v>0.02</v>
      </c>
      <c r="L220" s="62">
        <f t="shared" si="41"/>
        <v>1.6334102400000001</v>
      </c>
      <c r="M220" s="62">
        <f>Eingaben!$B$29</f>
        <v>0.2</v>
      </c>
      <c r="N220" s="62">
        <f t="shared" si="42"/>
        <v>1.8334102400000001</v>
      </c>
      <c r="O220" s="62">
        <f t="shared" si="43"/>
        <v>4</v>
      </c>
      <c r="P220" s="62">
        <f t="shared" si="44"/>
        <v>-2.1665897599999999</v>
      </c>
      <c r="Q220" s="63">
        <f t="shared" si="46"/>
        <v>0</v>
      </c>
      <c r="R220" s="60" t="str">
        <f t="shared" si="45"/>
        <v>Di 06:00</v>
      </c>
      <c r="S220" s="58">
        <f t="shared" si="47"/>
        <v>37.216000000000001</v>
      </c>
    </row>
    <row r="221" spans="4:19" ht="15" customHeight="1" x14ac:dyDescent="0.35">
      <c r="D221" s="59">
        <v>200</v>
      </c>
      <c r="E221" s="59">
        <f t="shared" si="36"/>
        <v>9</v>
      </c>
      <c r="F221" s="59">
        <f t="shared" si="37"/>
        <v>2</v>
      </c>
      <c r="G221" s="60" t="str">
        <f t="shared" si="38"/>
        <v>Di</v>
      </c>
      <c r="H221" s="61">
        <f t="shared" si="39"/>
        <v>7</v>
      </c>
      <c r="I221" s="60" t="str">
        <f t="shared" si="40"/>
        <v>Werktag</v>
      </c>
      <c r="J221" s="39">
        <f>INDEX(Zapfprofil!$B$61:$H$61,F221)</f>
        <v>0.19</v>
      </c>
      <c r="K221" s="39">
        <f>INDEX(Zapfprofil!$AL$19:$AN$42,H221+1,IF(F221&lt;=5,1,IF(F221=6,2,3)))</f>
        <v>0.06</v>
      </c>
      <c r="L221" s="62">
        <f t="shared" si="41"/>
        <v>4.9002307199999997</v>
      </c>
      <c r="M221" s="62">
        <f>Eingaben!$B$29</f>
        <v>0.2</v>
      </c>
      <c r="N221" s="62">
        <f t="shared" si="42"/>
        <v>5.1002307199999999</v>
      </c>
      <c r="O221" s="62">
        <f t="shared" si="43"/>
        <v>4</v>
      </c>
      <c r="P221" s="62">
        <f t="shared" si="44"/>
        <v>1.1002307199999999</v>
      </c>
      <c r="Q221" s="63">
        <f t="shared" si="46"/>
        <v>1.1002307199999999</v>
      </c>
      <c r="R221" s="60" t="str">
        <f t="shared" si="45"/>
        <v>Di 07:00</v>
      </c>
      <c r="S221" s="58">
        <f t="shared" si="47"/>
        <v>36.115769280000002</v>
      </c>
    </row>
    <row r="222" spans="4:19" ht="15" customHeight="1" x14ac:dyDescent="0.35">
      <c r="D222" s="59">
        <v>201</v>
      </c>
      <c r="E222" s="59">
        <f t="shared" si="36"/>
        <v>9</v>
      </c>
      <c r="F222" s="59">
        <f t="shared" si="37"/>
        <v>2</v>
      </c>
      <c r="G222" s="60" t="str">
        <f t="shared" si="38"/>
        <v>Di</v>
      </c>
      <c r="H222" s="61">
        <f t="shared" si="39"/>
        <v>8</v>
      </c>
      <c r="I222" s="60" t="str">
        <f t="shared" si="40"/>
        <v>Werktag</v>
      </c>
      <c r="J222" s="39">
        <f>INDEX(Zapfprofil!$B$61:$H$61,F222)</f>
        <v>0.19</v>
      </c>
      <c r="K222" s="39">
        <f>INDEX(Zapfprofil!$AL$19:$AN$42,H222+1,IF(F222&lt;=5,1,IF(F222=6,2,3)))</f>
        <v>0.08</v>
      </c>
      <c r="L222" s="62">
        <f t="shared" si="41"/>
        <v>6.5336409600000005</v>
      </c>
      <c r="M222" s="62">
        <f>Eingaben!$B$29</f>
        <v>0.2</v>
      </c>
      <c r="N222" s="62">
        <f t="shared" si="42"/>
        <v>6.7336409600000007</v>
      </c>
      <c r="O222" s="62">
        <f t="shared" si="43"/>
        <v>4</v>
      </c>
      <c r="P222" s="62">
        <f t="shared" si="44"/>
        <v>2.7336409600000007</v>
      </c>
      <c r="Q222" s="63">
        <f t="shared" si="46"/>
        <v>3.8338716800000006</v>
      </c>
      <c r="R222" s="60" t="str">
        <f t="shared" si="45"/>
        <v>Di 08:00</v>
      </c>
      <c r="S222" s="58">
        <f t="shared" si="47"/>
        <v>33.38212832</v>
      </c>
    </row>
    <row r="223" spans="4:19" ht="15" customHeight="1" x14ac:dyDescent="0.35">
      <c r="D223" s="59">
        <v>202</v>
      </c>
      <c r="E223" s="59">
        <f t="shared" si="36"/>
        <v>9</v>
      </c>
      <c r="F223" s="59">
        <f t="shared" si="37"/>
        <v>2</v>
      </c>
      <c r="G223" s="60" t="str">
        <f t="shared" si="38"/>
        <v>Di</v>
      </c>
      <c r="H223" s="61">
        <f t="shared" si="39"/>
        <v>9</v>
      </c>
      <c r="I223" s="60" t="str">
        <f t="shared" si="40"/>
        <v>Werktag</v>
      </c>
      <c r="J223" s="39">
        <f>INDEX(Zapfprofil!$B$61:$H$61,F223)</f>
        <v>0.19</v>
      </c>
      <c r="K223" s="39">
        <f>INDEX(Zapfprofil!$AL$19:$AN$42,H223+1,IF(F223&lt;=5,1,IF(F223=6,2,3)))</f>
        <v>8.5000000000000006E-2</v>
      </c>
      <c r="L223" s="62">
        <f t="shared" si="41"/>
        <v>6.9419935200000005</v>
      </c>
      <c r="M223" s="62">
        <f>Eingaben!$B$29</f>
        <v>0.2</v>
      </c>
      <c r="N223" s="62">
        <f t="shared" si="42"/>
        <v>7.1419935200000007</v>
      </c>
      <c r="O223" s="62">
        <f t="shared" si="43"/>
        <v>4</v>
      </c>
      <c r="P223" s="62">
        <f t="shared" si="44"/>
        <v>3.1419935200000007</v>
      </c>
      <c r="Q223" s="63">
        <f t="shared" si="46"/>
        <v>6.9758652000000012</v>
      </c>
      <c r="R223" s="60" t="str">
        <f t="shared" si="45"/>
        <v>Di 09:00</v>
      </c>
      <c r="S223" s="58">
        <f t="shared" si="47"/>
        <v>30.2401348</v>
      </c>
    </row>
    <row r="224" spans="4:19" ht="15" customHeight="1" x14ac:dyDescent="0.35">
      <c r="D224" s="59">
        <v>203</v>
      </c>
      <c r="E224" s="59">
        <f t="shared" si="36"/>
        <v>9</v>
      </c>
      <c r="F224" s="59">
        <f t="shared" si="37"/>
        <v>2</v>
      </c>
      <c r="G224" s="60" t="str">
        <f t="shared" si="38"/>
        <v>Di</v>
      </c>
      <c r="H224" s="61">
        <f t="shared" si="39"/>
        <v>10</v>
      </c>
      <c r="I224" s="60" t="str">
        <f t="shared" si="40"/>
        <v>Werktag</v>
      </c>
      <c r="J224" s="39">
        <f>INDEX(Zapfprofil!$B$61:$H$61,F224)</f>
        <v>0.19</v>
      </c>
      <c r="K224" s="39">
        <f>INDEX(Zapfprofil!$AL$19:$AN$42,H224+1,IF(F224&lt;=5,1,IF(F224=6,2,3)))</f>
        <v>8.5000000000000006E-2</v>
      </c>
      <c r="L224" s="62">
        <f t="shared" si="41"/>
        <v>6.9419935200000005</v>
      </c>
      <c r="M224" s="62">
        <f>Eingaben!$B$29</f>
        <v>0.2</v>
      </c>
      <c r="N224" s="62">
        <f t="shared" si="42"/>
        <v>7.1419935200000007</v>
      </c>
      <c r="O224" s="62">
        <f t="shared" si="43"/>
        <v>4</v>
      </c>
      <c r="P224" s="62">
        <f t="shared" si="44"/>
        <v>3.1419935200000007</v>
      </c>
      <c r="Q224" s="63">
        <f t="shared" si="46"/>
        <v>10.117858720000001</v>
      </c>
      <c r="R224" s="60" t="str">
        <f t="shared" si="45"/>
        <v>Di 10:00</v>
      </c>
      <c r="S224" s="58">
        <f t="shared" si="47"/>
        <v>27.09814128</v>
      </c>
    </row>
    <row r="225" spans="4:19" ht="15" customHeight="1" x14ac:dyDescent="0.35">
      <c r="D225" s="59">
        <v>204</v>
      </c>
      <c r="E225" s="59">
        <f t="shared" si="36"/>
        <v>9</v>
      </c>
      <c r="F225" s="59">
        <f t="shared" si="37"/>
        <v>2</v>
      </c>
      <c r="G225" s="60" t="str">
        <f t="shared" si="38"/>
        <v>Di</v>
      </c>
      <c r="H225" s="61">
        <f t="shared" si="39"/>
        <v>11</v>
      </c>
      <c r="I225" s="60" t="str">
        <f t="shared" si="40"/>
        <v>Werktag</v>
      </c>
      <c r="J225" s="39">
        <f>INDEX(Zapfprofil!$B$61:$H$61,F225)</f>
        <v>0.19</v>
      </c>
      <c r="K225" s="39">
        <f>INDEX(Zapfprofil!$AL$19:$AN$42,H225+1,IF(F225&lt;=5,1,IF(F225=6,2,3)))</f>
        <v>0.09</v>
      </c>
      <c r="L225" s="62">
        <f t="shared" si="41"/>
        <v>7.3503460799999996</v>
      </c>
      <c r="M225" s="62">
        <f>Eingaben!$B$29</f>
        <v>0.2</v>
      </c>
      <c r="N225" s="62">
        <f t="shared" si="42"/>
        <v>7.5503460799999997</v>
      </c>
      <c r="O225" s="62">
        <f t="shared" si="43"/>
        <v>4</v>
      </c>
      <c r="P225" s="62">
        <f t="shared" si="44"/>
        <v>3.5503460799999997</v>
      </c>
      <c r="Q225" s="63">
        <f t="shared" si="46"/>
        <v>13.668204800000002</v>
      </c>
      <c r="R225" s="60" t="str">
        <f t="shared" si="45"/>
        <v>Di 11:00</v>
      </c>
      <c r="S225" s="58">
        <f t="shared" si="47"/>
        <v>23.547795199999999</v>
      </c>
    </row>
    <row r="226" spans="4:19" ht="15" customHeight="1" x14ac:dyDescent="0.35">
      <c r="D226" s="59">
        <v>205</v>
      </c>
      <c r="E226" s="59">
        <f t="shared" si="36"/>
        <v>9</v>
      </c>
      <c r="F226" s="59">
        <f t="shared" si="37"/>
        <v>2</v>
      </c>
      <c r="G226" s="60" t="str">
        <f t="shared" si="38"/>
        <v>Di</v>
      </c>
      <c r="H226" s="61">
        <f t="shared" si="39"/>
        <v>12</v>
      </c>
      <c r="I226" s="60" t="str">
        <f t="shared" si="40"/>
        <v>Werktag</v>
      </c>
      <c r="J226" s="39">
        <f>INDEX(Zapfprofil!$B$61:$H$61,F226)</f>
        <v>0.19</v>
      </c>
      <c r="K226" s="39">
        <f>INDEX(Zapfprofil!$AL$19:$AN$42,H226+1,IF(F226&lt;=5,1,IF(F226=6,2,3)))</f>
        <v>0.1</v>
      </c>
      <c r="L226" s="62">
        <f t="shared" si="41"/>
        <v>8.1670512000000013</v>
      </c>
      <c r="M226" s="62">
        <f>Eingaben!$B$29</f>
        <v>0.2</v>
      </c>
      <c r="N226" s="62">
        <f t="shared" si="42"/>
        <v>8.3670512000000006</v>
      </c>
      <c r="O226" s="62">
        <f t="shared" si="43"/>
        <v>4</v>
      </c>
      <c r="P226" s="62">
        <f t="shared" si="44"/>
        <v>4.3670512000000006</v>
      </c>
      <c r="Q226" s="63">
        <f t="shared" si="46"/>
        <v>18.035256000000004</v>
      </c>
      <c r="R226" s="60" t="str">
        <f t="shared" si="45"/>
        <v>Di 12:00</v>
      </c>
      <c r="S226" s="58">
        <f t="shared" si="47"/>
        <v>19.180743999999997</v>
      </c>
    </row>
    <row r="227" spans="4:19" ht="15" customHeight="1" x14ac:dyDescent="0.35">
      <c r="D227" s="59">
        <v>206</v>
      </c>
      <c r="E227" s="59">
        <f t="shared" si="36"/>
        <v>9</v>
      </c>
      <c r="F227" s="59">
        <f t="shared" si="37"/>
        <v>2</v>
      </c>
      <c r="G227" s="60" t="str">
        <f t="shared" si="38"/>
        <v>Di</v>
      </c>
      <c r="H227" s="61">
        <f t="shared" si="39"/>
        <v>13</v>
      </c>
      <c r="I227" s="60" t="str">
        <f t="shared" si="40"/>
        <v>Werktag</v>
      </c>
      <c r="J227" s="39">
        <f>INDEX(Zapfprofil!$B$61:$H$61,F227)</f>
        <v>0.19</v>
      </c>
      <c r="K227" s="39">
        <f>INDEX(Zapfprofil!$AL$19:$AN$42,H227+1,IF(F227&lt;=5,1,IF(F227=6,2,3)))</f>
        <v>9.5000000000000001E-2</v>
      </c>
      <c r="L227" s="62">
        <f t="shared" si="41"/>
        <v>7.7586986400000004</v>
      </c>
      <c r="M227" s="62">
        <f>Eingaben!$B$29</f>
        <v>0.2</v>
      </c>
      <c r="N227" s="62">
        <f t="shared" si="42"/>
        <v>7.9586986400000006</v>
      </c>
      <c r="O227" s="62">
        <f t="shared" si="43"/>
        <v>4</v>
      </c>
      <c r="P227" s="62">
        <f t="shared" si="44"/>
        <v>3.9586986400000006</v>
      </c>
      <c r="Q227" s="63">
        <f t="shared" si="46"/>
        <v>21.993954640000005</v>
      </c>
      <c r="R227" s="60" t="str">
        <f t="shared" si="45"/>
        <v>Di 13:00</v>
      </c>
      <c r="S227" s="58">
        <f t="shared" si="47"/>
        <v>15.222045359999996</v>
      </c>
    </row>
    <row r="228" spans="4:19" ht="15" customHeight="1" x14ac:dyDescent="0.35">
      <c r="D228" s="59">
        <v>207</v>
      </c>
      <c r="E228" s="59">
        <f t="shared" si="36"/>
        <v>9</v>
      </c>
      <c r="F228" s="59">
        <f t="shared" si="37"/>
        <v>2</v>
      </c>
      <c r="G228" s="60" t="str">
        <f t="shared" si="38"/>
        <v>Di</v>
      </c>
      <c r="H228" s="61">
        <f t="shared" si="39"/>
        <v>14</v>
      </c>
      <c r="I228" s="60" t="str">
        <f t="shared" si="40"/>
        <v>Werktag</v>
      </c>
      <c r="J228" s="39">
        <f>INDEX(Zapfprofil!$B$61:$H$61,F228)</f>
        <v>0.19</v>
      </c>
      <c r="K228" s="39">
        <f>INDEX(Zapfprofil!$AL$19:$AN$42,H228+1,IF(F228&lt;=5,1,IF(F228=6,2,3)))</f>
        <v>8.5000000000000006E-2</v>
      </c>
      <c r="L228" s="62">
        <f t="shared" si="41"/>
        <v>6.9419935200000005</v>
      </c>
      <c r="M228" s="62">
        <f>Eingaben!$B$29</f>
        <v>0.2</v>
      </c>
      <c r="N228" s="62">
        <f t="shared" si="42"/>
        <v>7.1419935200000007</v>
      </c>
      <c r="O228" s="62">
        <f t="shared" si="43"/>
        <v>4</v>
      </c>
      <c r="P228" s="62">
        <f t="shared" si="44"/>
        <v>3.1419935200000007</v>
      </c>
      <c r="Q228" s="63">
        <f t="shared" si="46"/>
        <v>25.135948160000005</v>
      </c>
      <c r="R228" s="60" t="str">
        <f t="shared" si="45"/>
        <v>Di 14:00</v>
      </c>
      <c r="S228" s="58">
        <f t="shared" si="47"/>
        <v>12.080051839999996</v>
      </c>
    </row>
    <row r="229" spans="4:19" ht="15" customHeight="1" x14ac:dyDescent="0.35">
      <c r="D229" s="59">
        <v>208</v>
      </c>
      <c r="E229" s="59">
        <f t="shared" si="36"/>
        <v>9</v>
      </c>
      <c r="F229" s="59">
        <f t="shared" si="37"/>
        <v>2</v>
      </c>
      <c r="G229" s="60" t="str">
        <f t="shared" si="38"/>
        <v>Di</v>
      </c>
      <c r="H229" s="61">
        <f t="shared" si="39"/>
        <v>15</v>
      </c>
      <c r="I229" s="60" t="str">
        <f t="shared" si="40"/>
        <v>Werktag</v>
      </c>
      <c r="J229" s="39">
        <f>INDEX(Zapfprofil!$B$61:$H$61,F229)</f>
        <v>0.19</v>
      </c>
      <c r="K229" s="39">
        <f>INDEX(Zapfprofil!$AL$19:$AN$42,H229+1,IF(F229&lt;=5,1,IF(F229=6,2,3)))</f>
        <v>0.08</v>
      </c>
      <c r="L229" s="62">
        <f t="shared" si="41"/>
        <v>6.5336409600000005</v>
      </c>
      <c r="M229" s="62">
        <f>Eingaben!$B$29</f>
        <v>0.2</v>
      </c>
      <c r="N229" s="62">
        <f t="shared" si="42"/>
        <v>6.7336409600000007</v>
      </c>
      <c r="O229" s="62">
        <f t="shared" si="43"/>
        <v>4</v>
      </c>
      <c r="P229" s="62">
        <f t="shared" si="44"/>
        <v>2.7336409600000007</v>
      </c>
      <c r="Q229" s="63">
        <f t="shared" si="46"/>
        <v>27.869589120000008</v>
      </c>
      <c r="R229" s="60" t="str">
        <f t="shared" si="45"/>
        <v>Di 15:00</v>
      </c>
      <c r="S229" s="58">
        <f t="shared" si="47"/>
        <v>9.3464108799999934</v>
      </c>
    </row>
    <row r="230" spans="4:19" ht="15" customHeight="1" x14ac:dyDescent="0.35">
      <c r="D230" s="59">
        <v>209</v>
      </c>
      <c r="E230" s="59">
        <f t="shared" si="36"/>
        <v>9</v>
      </c>
      <c r="F230" s="59">
        <f t="shared" si="37"/>
        <v>2</v>
      </c>
      <c r="G230" s="60" t="str">
        <f t="shared" si="38"/>
        <v>Di</v>
      </c>
      <c r="H230" s="61">
        <f t="shared" si="39"/>
        <v>16</v>
      </c>
      <c r="I230" s="60" t="str">
        <f t="shared" si="40"/>
        <v>Werktag</v>
      </c>
      <c r="J230" s="39">
        <f>INDEX(Zapfprofil!$B$61:$H$61,F230)</f>
        <v>0.19</v>
      </c>
      <c r="K230" s="39">
        <f>INDEX(Zapfprofil!$AL$19:$AN$42,H230+1,IF(F230&lt;=5,1,IF(F230=6,2,3)))</f>
        <v>7.4999999999999997E-2</v>
      </c>
      <c r="L230" s="62">
        <f t="shared" si="41"/>
        <v>6.1252883999999996</v>
      </c>
      <c r="M230" s="62">
        <f>Eingaben!$B$29</f>
        <v>0.2</v>
      </c>
      <c r="N230" s="62">
        <f t="shared" si="42"/>
        <v>6.3252883999999998</v>
      </c>
      <c r="O230" s="62">
        <f t="shared" si="43"/>
        <v>4</v>
      </c>
      <c r="P230" s="62">
        <f t="shared" si="44"/>
        <v>2.3252883999999998</v>
      </c>
      <c r="Q230" s="63">
        <f t="shared" si="46"/>
        <v>30.194877520000006</v>
      </c>
      <c r="R230" s="60" t="str">
        <f t="shared" si="45"/>
        <v>Di 16:00</v>
      </c>
      <c r="S230" s="58">
        <f t="shared" si="47"/>
        <v>7.0211224799999954</v>
      </c>
    </row>
    <row r="231" spans="4:19" ht="15" customHeight="1" x14ac:dyDescent="0.35">
      <c r="D231" s="59">
        <v>210</v>
      </c>
      <c r="E231" s="59">
        <f t="shared" si="36"/>
        <v>9</v>
      </c>
      <c r="F231" s="59">
        <f t="shared" si="37"/>
        <v>2</v>
      </c>
      <c r="G231" s="60" t="str">
        <f t="shared" si="38"/>
        <v>Di</v>
      </c>
      <c r="H231" s="61">
        <f t="shared" si="39"/>
        <v>17</v>
      </c>
      <c r="I231" s="60" t="str">
        <f t="shared" si="40"/>
        <v>Werktag</v>
      </c>
      <c r="J231" s="39">
        <f>INDEX(Zapfprofil!$B$61:$H$61,F231)</f>
        <v>0.19</v>
      </c>
      <c r="K231" s="39">
        <f>INDEX(Zapfprofil!$AL$19:$AN$42,H231+1,IF(F231&lt;=5,1,IF(F231=6,2,3)))</f>
        <v>0.06</v>
      </c>
      <c r="L231" s="62">
        <f t="shared" si="41"/>
        <v>4.9002307199999997</v>
      </c>
      <c r="M231" s="62">
        <f>Eingaben!$B$29</f>
        <v>0.2</v>
      </c>
      <c r="N231" s="62">
        <f t="shared" si="42"/>
        <v>5.1002307199999999</v>
      </c>
      <c r="O231" s="62">
        <f t="shared" si="43"/>
        <v>4</v>
      </c>
      <c r="P231" s="62">
        <f t="shared" si="44"/>
        <v>1.1002307199999999</v>
      </c>
      <c r="Q231" s="63">
        <f t="shared" si="46"/>
        <v>31.295108240000005</v>
      </c>
      <c r="R231" s="60" t="str">
        <f t="shared" si="45"/>
        <v>Di 17:00</v>
      </c>
      <c r="S231" s="58">
        <f t="shared" si="47"/>
        <v>5.9208917599999964</v>
      </c>
    </row>
    <row r="232" spans="4:19" ht="15" customHeight="1" x14ac:dyDescent="0.35">
      <c r="D232" s="59">
        <v>211</v>
      </c>
      <c r="E232" s="59">
        <f t="shared" si="36"/>
        <v>9</v>
      </c>
      <c r="F232" s="59">
        <f t="shared" si="37"/>
        <v>2</v>
      </c>
      <c r="G232" s="60" t="str">
        <f t="shared" si="38"/>
        <v>Di</v>
      </c>
      <c r="H232" s="61">
        <f t="shared" si="39"/>
        <v>18</v>
      </c>
      <c r="I232" s="60" t="str">
        <f t="shared" si="40"/>
        <v>Werktag</v>
      </c>
      <c r="J232" s="39">
        <f>INDEX(Zapfprofil!$B$61:$H$61,F232)</f>
        <v>0.19</v>
      </c>
      <c r="K232" s="39">
        <f>INDEX(Zapfprofil!$AL$19:$AN$42,H232+1,IF(F232&lt;=5,1,IF(F232=6,2,3)))</f>
        <v>4.4999999999999998E-2</v>
      </c>
      <c r="L232" s="62">
        <f t="shared" si="41"/>
        <v>3.6751730399999998</v>
      </c>
      <c r="M232" s="62">
        <f>Eingaben!$B$29</f>
        <v>0.2</v>
      </c>
      <c r="N232" s="62">
        <f t="shared" si="42"/>
        <v>3.87517304</v>
      </c>
      <c r="O232" s="62">
        <f t="shared" si="43"/>
        <v>4</v>
      </c>
      <c r="P232" s="62">
        <f t="shared" si="44"/>
        <v>-0.12482696000000004</v>
      </c>
      <c r="Q232" s="63">
        <f t="shared" si="46"/>
        <v>31.170281280000005</v>
      </c>
      <c r="R232" s="60" t="str">
        <f t="shared" si="45"/>
        <v>Di 18:00</v>
      </c>
      <c r="S232" s="58">
        <f t="shared" si="47"/>
        <v>6.0457187199999964</v>
      </c>
    </row>
    <row r="233" spans="4:19" ht="15" customHeight="1" x14ac:dyDescent="0.35">
      <c r="D233" s="59">
        <v>212</v>
      </c>
      <c r="E233" s="59">
        <f t="shared" si="36"/>
        <v>9</v>
      </c>
      <c r="F233" s="59">
        <f t="shared" si="37"/>
        <v>2</v>
      </c>
      <c r="G233" s="60" t="str">
        <f t="shared" si="38"/>
        <v>Di</v>
      </c>
      <c r="H233" s="61">
        <f t="shared" si="39"/>
        <v>19</v>
      </c>
      <c r="I233" s="60" t="str">
        <f t="shared" si="40"/>
        <v>Werktag</v>
      </c>
      <c r="J233" s="39">
        <f>INDEX(Zapfprofil!$B$61:$H$61,F233)</f>
        <v>0.19</v>
      </c>
      <c r="K233" s="39">
        <f>INDEX(Zapfprofil!$AL$19:$AN$42,H233+1,IF(F233&lt;=5,1,IF(F233=6,2,3)))</f>
        <v>2.5000000000000001E-2</v>
      </c>
      <c r="L233" s="62">
        <f t="shared" si="41"/>
        <v>2.0417628000000003</v>
      </c>
      <c r="M233" s="62">
        <f>Eingaben!$B$29</f>
        <v>0.2</v>
      </c>
      <c r="N233" s="62">
        <f t="shared" si="42"/>
        <v>2.2417628000000005</v>
      </c>
      <c r="O233" s="62">
        <f t="shared" si="43"/>
        <v>4</v>
      </c>
      <c r="P233" s="62">
        <f t="shared" si="44"/>
        <v>-1.7582371999999995</v>
      </c>
      <c r="Q233" s="63">
        <f t="shared" si="46"/>
        <v>29.412044080000005</v>
      </c>
      <c r="R233" s="60" t="str">
        <f t="shared" si="45"/>
        <v>Di 19:00</v>
      </c>
      <c r="S233" s="58">
        <f t="shared" si="47"/>
        <v>7.8039559199999964</v>
      </c>
    </row>
    <row r="234" spans="4:19" ht="15" customHeight="1" x14ac:dyDescent="0.35">
      <c r="D234" s="59">
        <v>213</v>
      </c>
      <c r="E234" s="59">
        <f t="shared" si="36"/>
        <v>9</v>
      </c>
      <c r="F234" s="59">
        <f t="shared" si="37"/>
        <v>2</v>
      </c>
      <c r="G234" s="60" t="str">
        <f t="shared" si="38"/>
        <v>Di</v>
      </c>
      <c r="H234" s="61">
        <f t="shared" si="39"/>
        <v>20</v>
      </c>
      <c r="I234" s="60" t="str">
        <f t="shared" si="40"/>
        <v>Werktag</v>
      </c>
      <c r="J234" s="39">
        <f>INDEX(Zapfprofil!$B$61:$H$61,F234)</f>
        <v>0.19</v>
      </c>
      <c r="K234" s="39">
        <f>INDEX(Zapfprofil!$AL$19:$AN$42,H234+1,IF(F234&lt;=5,1,IF(F234=6,2,3)))</f>
        <v>1.4999999999999999E-2</v>
      </c>
      <c r="L234" s="62">
        <f t="shared" si="41"/>
        <v>1.2250576799999999</v>
      </c>
      <c r="M234" s="62">
        <f>Eingaben!$B$29</f>
        <v>0.2</v>
      </c>
      <c r="N234" s="62">
        <f t="shared" si="42"/>
        <v>1.4250576799999999</v>
      </c>
      <c r="O234" s="62">
        <f t="shared" si="43"/>
        <v>4</v>
      </c>
      <c r="P234" s="62">
        <f t="shared" si="44"/>
        <v>-2.5749423199999999</v>
      </c>
      <c r="Q234" s="63">
        <f t="shared" si="46"/>
        <v>26.837101760000003</v>
      </c>
      <c r="R234" s="60" t="str">
        <f t="shared" si="45"/>
        <v>Di 20:00</v>
      </c>
      <c r="S234" s="58">
        <f t="shared" si="47"/>
        <v>10.378898239999998</v>
      </c>
    </row>
    <row r="235" spans="4:19" ht="15" customHeight="1" x14ac:dyDescent="0.35">
      <c r="D235" s="59">
        <v>214</v>
      </c>
      <c r="E235" s="59">
        <f t="shared" si="36"/>
        <v>9</v>
      </c>
      <c r="F235" s="59">
        <f t="shared" si="37"/>
        <v>2</v>
      </c>
      <c r="G235" s="60" t="str">
        <f t="shared" si="38"/>
        <v>Di</v>
      </c>
      <c r="H235" s="61">
        <f t="shared" si="39"/>
        <v>21</v>
      </c>
      <c r="I235" s="60" t="str">
        <f t="shared" si="40"/>
        <v>Werktag</v>
      </c>
      <c r="J235" s="39">
        <f>INDEX(Zapfprofil!$B$61:$H$61,F235)</f>
        <v>0.19</v>
      </c>
      <c r="K235" s="39">
        <f>INDEX(Zapfprofil!$AL$19:$AN$42,H235+1,IF(F235&lt;=5,1,IF(F235=6,2,3)))</f>
        <v>0</v>
      </c>
      <c r="L235" s="62">
        <f t="shared" si="41"/>
        <v>0</v>
      </c>
      <c r="M235" s="62">
        <f>Eingaben!$B$29</f>
        <v>0.2</v>
      </c>
      <c r="N235" s="62">
        <f t="shared" si="42"/>
        <v>0.2</v>
      </c>
      <c r="O235" s="62">
        <f t="shared" si="43"/>
        <v>4</v>
      </c>
      <c r="P235" s="62">
        <f t="shared" si="44"/>
        <v>-3.8</v>
      </c>
      <c r="Q235" s="63">
        <f t="shared" si="46"/>
        <v>23.037101760000002</v>
      </c>
      <c r="R235" s="60" t="str">
        <f t="shared" si="45"/>
        <v>Di 21:00</v>
      </c>
      <c r="S235" s="58">
        <f t="shared" si="47"/>
        <v>14.178898239999999</v>
      </c>
    </row>
    <row r="236" spans="4:19" ht="15" customHeight="1" x14ac:dyDescent="0.35">
      <c r="D236" s="59">
        <v>215</v>
      </c>
      <c r="E236" s="59">
        <f t="shared" si="36"/>
        <v>9</v>
      </c>
      <c r="F236" s="59">
        <f t="shared" si="37"/>
        <v>2</v>
      </c>
      <c r="G236" s="60" t="str">
        <f t="shared" si="38"/>
        <v>Di</v>
      </c>
      <c r="H236" s="61">
        <f t="shared" si="39"/>
        <v>22</v>
      </c>
      <c r="I236" s="60" t="str">
        <f t="shared" si="40"/>
        <v>Werktag</v>
      </c>
      <c r="J236" s="39">
        <f>INDEX(Zapfprofil!$B$61:$H$61,F236)</f>
        <v>0.19</v>
      </c>
      <c r="K236" s="39">
        <f>INDEX(Zapfprofil!$AL$19:$AN$42,H236+1,IF(F236&lt;=5,1,IF(F236=6,2,3)))</f>
        <v>0</v>
      </c>
      <c r="L236" s="62">
        <f t="shared" si="41"/>
        <v>0</v>
      </c>
      <c r="M236" s="62">
        <f>Eingaben!$B$29</f>
        <v>0.2</v>
      </c>
      <c r="N236" s="62">
        <f t="shared" si="42"/>
        <v>0.2</v>
      </c>
      <c r="O236" s="62">
        <f t="shared" si="43"/>
        <v>4</v>
      </c>
      <c r="P236" s="62">
        <f t="shared" si="44"/>
        <v>-3.8</v>
      </c>
      <c r="Q236" s="63">
        <f t="shared" si="46"/>
        <v>19.237101760000002</v>
      </c>
      <c r="R236" s="60" t="str">
        <f t="shared" si="45"/>
        <v>Di 22:00</v>
      </c>
      <c r="S236" s="58">
        <f t="shared" si="47"/>
        <v>17.978898239999999</v>
      </c>
    </row>
    <row r="237" spans="4:19" ht="15" customHeight="1" x14ac:dyDescent="0.35">
      <c r="D237" s="59">
        <v>216</v>
      </c>
      <c r="E237" s="59">
        <f t="shared" si="36"/>
        <v>9</v>
      </c>
      <c r="F237" s="59">
        <f t="shared" si="37"/>
        <v>2</v>
      </c>
      <c r="G237" s="60" t="str">
        <f t="shared" si="38"/>
        <v>Di</v>
      </c>
      <c r="H237" s="61">
        <f t="shared" si="39"/>
        <v>23</v>
      </c>
      <c r="I237" s="60" t="str">
        <f t="shared" si="40"/>
        <v>Werktag</v>
      </c>
      <c r="J237" s="39">
        <f>INDEX(Zapfprofil!$B$61:$H$61,F237)</f>
        <v>0.19</v>
      </c>
      <c r="K237" s="39">
        <f>INDEX(Zapfprofil!$AL$19:$AN$42,H237+1,IF(F237&lt;=5,1,IF(F237=6,2,3)))</f>
        <v>0</v>
      </c>
      <c r="L237" s="62">
        <f t="shared" si="41"/>
        <v>0</v>
      </c>
      <c r="M237" s="62">
        <f>Eingaben!$B$29</f>
        <v>0.2</v>
      </c>
      <c r="N237" s="62">
        <f t="shared" si="42"/>
        <v>0.2</v>
      </c>
      <c r="O237" s="62">
        <f t="shared" si="43"/>
        <v>4</v>
      </c>
      <c r="P237" s="62">
        <f t="shared" si="44"/>
        <v>-3.8</v>
      </c>
      <c r="Q237" s="63">
        <f t="shared" si="46"/>
        <v>15.437101760000001</v>
      </c>
      <c r="R237" s="60" t="str">
        <f t="shared" si="45"/>
        <v>Di 23:00</v>
      </c>
      <c r="S237" s="58">
        <f t="shared" si="47"/>
        <v>21.77889824</v>
      </c>
    </row>
    <row r="238" spans="4:19" ht="15" customHeight="1" x14ac:dyDescent="0.35">
      <c r="D238" s="59">
        <v>217</v>
      </c>
      <c r="E238" s="59">
        <f t="shared" si="36"/>
        <v>10</v>
      </c>
      <c r="F238" s="59">
        <f t="shared" si="37"/>
        <v>3</v>
      </c>
      <c r="G238" s="60" t="str">
        <f t="shared" si="38"/>
        <v>Mi</v>
      </c>
      <c r="H238" s="61">
        <f t="shared" si="39"/>
        <v>0</v>
      </c>
      <c r="I238" s="60" t="str">
        <f t="shared" si="40"/>
        <v>Werktag</v>
      </c>
      <c r="J238" s="39">
        <f>INDEX(Zapfprofil!$B$61:$H$61,F238)</f>
        <v>0.19</v>
      </c>
      <c r="K238" s="39">
        <f>INDEX(Zapfprofil!$AL$19:$AN$42,H238+1,IF(F238&lt;=5,1,IF(F238=6,2,3)))</f>
        <v>0</v>
      </c>
      <c r="L238" s="62">
        <f t="shared" si="41"/>
        <v>0</v>
      </c>
      <c r="M238" s="62">
        <f>Eingaben!$B$29</f>
        <v>0.2</v>
      </c>
      <c r="N238" s="62">
        <f t="shared" si="42"/>
        <v>0.2</v>
      </c>
      <c r="O238" s="62">
        <f t="shared" si="43"/>
        <v>4</v>
      </c>
      <c r="P238" s="62">
        <f t="shared" si="44"/>
        <v>-3.8</v>
      </c>
      <c r="Q238" s="63">
        <f t="shared" si="46"/>
        <v>11.63710176</v>
      </c>
      <c r="R238" s="60" t="str">
        <f t="shared" si="45"/>
        <v>Mi 00:00</v>
      </c>
      <c r="S238" s="58">
        <f t="shared" si="47"/>
        <v>25.578898240000001</v>
      </c>
    </row>
    <row r="239" spans="4:19" ht="15" customHeight="1" x14ac:dyDescent="0.35">
      <c r="D239" s="59">
        <v>218</v>
      </c>
      <c r="E239" s="59">
        <f t="shared" si="36"/>
        <v>10</v>
      </c>
      <c r="F239" s="59">
        <f t="shared" si="37"/>
        <v>3</v>
      </c>
      <c r="G239" s="60" t="str">
        <f t="shared" si="38"/>
        <v>Mi</v>
      </c>
      <c r="H239" s="61">
        <f t="shared" si="39"/>
        <v>1</v>
      </c>
      <c r="I239" s="60" t="str">
        <f t="shared" si="40"/>
        <v>Werktag</v>
      </c>
      <c r="J239" s="39">
        <f>INDEX(Zapfprofil!$B$61:$H$61,F239)</f>
        <v>0.19</v>
      </c>
      <c r="K239" s="39">
        <f>INDEX(Zapfprofil!$AL$19:$AN$42,H239+1,IF(F239&lt;=5,1,IF(F239=6,2,3)))</f>
        <v>0</v>
      </c>
      <c r="L239" s="62">
        <f t="shared" si="41"/>
        <v>0</v>
      </c>
      <c r="M239" s="62">
        <f>Eingaben!$B$29</f>
        <v>0.2</v>
      </c>
      <c r="N239" s="62">
        <f t="shared" si="42"/>
        <v>0.2</v>
      </c>
      <c r="O239" s="62">
        <f t="shared" si="43"/>
        <v>4</v>
      </c>
      <c r="P239" s="62">
        <f t="shared" si="44"/>
        <v>-3.8</v>
      </c>
      <c r="Q239" s="63">
        <f t="shared" si="46"/>
        <v>7.8371017600000004</v>
      </c>
      <c r="R239" s="60" t="str">
        <f t="shared" si="45"/>
        <v>Mi 01:00</v>
      </c>
      <c r="S239" s="58">
        <f t="shared" si="47"/>
        <v>29.378898240000002</v>
      </c>
    </row>
    <row r="240" spans="4:19" ht="15" customHeight="1" x14ac:dyDescent="0.35">
      <c r="D240" s="59">
        <v>219</v>
      </c>
      <c r="E240" s="59">
        <f t="shared" si="36"/>
        <v>10</v>
      </c>
      <c r="F240" s="59">
        <f t="shared" si="37"/>
        <v>3</v>
      </c>
      <c r="G240" s="60" t="str">
        <f t="shared" si="38"/>
        <v>Mi</v>
      </c>
      <c r="H240" s="61">
        <f t="shared" si="39"/>
        <v>2</v>
      </c>
      <c r="I240" s="60" t="str">
        <f t="shared" si="40"/>
        <v>Werktag</v>
      </c>
      <c r="J240" s="39">
        <f>INDEX(Zapfprofil!$B$61:$H$61,F240)</f>
        <v>0.19</v>
      </c>
      <c r="K240" s="39">
        <f>INDEX(Zapfprofil!$AL$19:$AN$42,H240+1,IF(F240&lt;=5,1,IF(F240=6,2,3)))</f>
        <v>0</v>
      </c>
      <c r="L240" s="62">
        <f t="shared" si="41"/>
        <v>0</v>
      </c>
      <c r="M240" s="62">
        <f>Eingaben!$B$29</f>
        <v>0.2</v>
      </c>
      <c r="N240" s="62">
        <f t="shared" si="42"/>
        <v>0.2</v>
      </c>
      <c r="O240" s="62">
        <f t="shared" si="43"/>
        <v>4</v>
      </c>
      <c r="P240" s="62">
        <f t="shared" si="44"/>
        <v>-3.8</v>
      </c>
      <c r="Q240" s="63">
        <f t="shared" si="46"/>
        <v>4.0371017600000005</v>
      </c>
      <c r="R240" s="60" t="str">
        <f t="shared" si="45"/>
        <v>Mi 02:00</v>
      </c>
      <c r="S240" s="58">
        <f t="shared" si="47"/>
        <v>33.178898240000002</v>
      </c>
    </row>
    <row r="241" spans="4:19" ht="15" customHeight="1" x14ac:dyDescent="0.35">
      <c r="D241" s="59">
        <v>220</v>
      </c>
      <c r="E241" s="59">
        <f t="shared" si="36"/>
        <v>10</v>
      </c>
      <c r="F241" s="59">
        <f t="shared" si="37"/>
        <v>3</v>
      </c>
      <c r="G241" s="60" t="str">
        <f t="shared" si="38"/>
        <v>Mi</v>
      </c>
      <c r="H241" s="61">
        <f t="shared" si="39"/>
        <v>3</v>
      </c>
      <c r="I241" s="60" t="str">
        <f t="shared" si="40"/>
        <v>Werktag</v>
      </c>
      <c r="J241" s="39">
        <f>INDEX(Zapfprofil!$B$61:$H$61,F241)</f>
        <v>0.19</v>
      </c>
      <c r="K241" s="39">
        <f>INDEX(Zapfprofil!$AL$19:$AN$42,H241+1,IF(F241&lt;=5,1,IF(F241=6,2,3)))</f>
        <v>0</v>
      </c>
      <c r="L241" s="62">
        <f t="shared" si="41"/>
        <v>0</v>
      </c>
      <c r="M241" s="62">
        <f>Eingaben!$B$29</f>
        <v>0.2</v>
      </c>
      <c r="N241" s="62">
        <f t="shared" si="42"/>
        <v>0.2</v>
      </c>
      <c r="O241" s="62">
        <f t="shared" si="43"/>
        <v>4</v>
      </c>
      <c r="P241" s="62">
        <f t="shared" si="44"/>
        <v>-3.8</v>
      </c>
      <c r="Q241" s="63">
        <f t="shared" si="46"/>
        <v>0.23710176000000072</v>
      </c>
      <c r="R241" s="60" t="str">
        <f t="shared" si="45"/>
        <v>Mi 03:00</v>
      </c>
      <c r="S241" s="58">
        <f t="shared" si="47"/>
        <v>36.978898239999999</v>
      </c>
    </row>
    <row r="242" spans="4:19" ht="15" customHeight="1" x14ac:dyDescent="0.35">
      <c r="D242" s="59">
        <v>221</v>
      </c>
      <c r="E242" s="59">
        <f t="shared" si="36"/>
        <v>10</v>
      </c>
      <c r="F242" s="59">
        <f t="shared" si="37"/>
        <v>3</v>
      </c>
      <c r="G242" s="60" t="str">
        <f t="shared" si="38"/>
        <v>Mi</v>
      </c>
      <c r="H242" s="61">
        <f t="shared" si="39"/>
        <v>4</v>
      </c>
      <c r="I242" s="60" t="str">
        <f t="shared" si="40"/>
        <v>Werktag</v>
      </c>
      <c r="J242" s="39">
        <f>INDEX(Zapfprofil!$B$61:$H$61,F242)</f>
        <v>0.19</v>
      </c>
      <c r="K242" s="39">
        <f>INDEX(Zapfprofil!$AL$19:$AN$42,H242+1,IF(F242&lt;=5,1,IF(F242=6,2,3)))</f>
        <v>0</v>
      </c>
      <c r="L242" s="62">
        <f t="shared" si="41"/>
        <v>0</v>
      </c>
      <c r="M242" s="62">
        <f>Eingaben!$B$29</f>
        <v>0.2</v>
      </c>
      <c r="N242" s="62">
        <f t="shared" si="42"/>
        <v>0.2</v>
      </c>
      <c r="O242" s="62">
        <f t="shared" si="43"/>
        <v>4</v>
      </c>
      <c r="P242" s="62">
        <f t="shared" si="44"/>
        <v>-3.8</v>
      </c>
      <c r="Q242" s="63">
        <f t="shared" si="46"/>
        <v>0</v>
      </c>
      <c r="R242" s="60" t="str">
        <f t="shared" si="45"/>
        <v>Mi 04:00</v>
      </c>
      <c r="S242" s="58">
        <f t="shared" si="47"/>
        <v>37.216000000000001</v>
      </c>
    </row>
    <row r="243" spans="4:19" ht="15" customHeight="1" x14ac:dyDescent="0.35">
      <c r="D243" s="59">
        <v>222</v>
      </c>
      <c r="E243" s="59">
        <f t="shared" si="36"/>
        <v>10</v>
      </c>
      <c r="F243" s="59">
        <f t="shared" si="37"/>
        <v>3</v>
      </c>
      <c r="G243" s="60" t="str">
        <f t="shared" si="38"/>
        <v>Mi</v>
      </c>
      <c r="H243" s="61">
        <f t="shared" si="39"/>
        <v>5</v>
      </c>
      <c r="I243" s="60" t="str">
        <f t="shared" si="40"/>
        <v>Werktag</v>
      </c>
      <c r="J243" s="39">
        <f>INDEX(Zapfprofil!$B$61:$H$61,F243)</f>
        <v>0.19</v>
      </c>
      <c r="K243" s="39">
        <f>INDEX(Zapfprofil!$AL$19:$AN$42,H243+1,IF(F243&lt;=5,1,IF(F243=6,2,3)))</f>
        <v>0</v>
      </c>
      <c r="L243" s="62">
        <f t="shared" si="41"/>
        <v>0</v>
      </c>
      <c r="M243" s="62">
        <f>Eingaben!$B$29</f>
        <v>0.2</v>
      </c>
      <c r="N243" s="62">
        <f t="shared" si="42"/>
        <v>0.2</v>
      </c>
      <c r="O243" s="62">
        <f t="shared" si="43"/>
        <v>4</v>
      </c>
      <c r="P243" s="62">
        <f t="shared" si="44"/>
        <v>-3.8</v>
      </c>
      <c r="Q243" s="63">
        <f t="shared" si="46"/>
        <v>0</v>
      </c>
      <c r="R243" s="60" t="str">
        <f t="shared" si="45"/>
        <v>Mi 05:00</v>
      </c>
      <c r="S243" s="58">
        <f t="shared" si="47"/>
        <v>37.216000000000001</v>
      </c>
    </row>
    <row r="244" spans="4:19" ht="15" customHeight="1" x14ac:dyDescent="0.35">
      <c r="D244" s="59">
        <v>223</v>
      </c>
      <c r="E244" s="59">
        <f t="shared" si="36"/>
        <v>10</v>
      </c>
      <c r="F244" s="59">
        <f t="shared" si="37"/>
        <v>3</v>
      </c>
      <c r="G244" s="60" t="str">
        <f t="shared" si="38"/>
        <v>Mi</v>
      </c>
      <c r="H244" s="61">
        <f t="shared" si="39"/>
        <v>6</v>
      </c>
      <c r="I244" s="60" t="str">
        <f t="shared" si="40"/>
        <v>Werktag</v>
      </c>
      <c r="J244" s="39">
        <f>INDEX(Zapfprofil!$B$61:$H$61,F244)</f>
        <v>0.19</v>
      </c>
      <c r="K244" s="39">
        <f>INDEX(Zapfprofil!$AL$19:$AN$42,H244+1,IF(F244&lt;=5,1,IF(F244=6,2,3)))</f>
        <v>0.02</v>
      </c>
      <c r="L244" s="62">
        <f t="shared" si="41"/>
        <v>1.6334102400000001</v>
      </c>
      <c r="M244" s="62">
        <f>Eingaben!$B$29</f>
        <v>0.2</v>
      </c>
      <c r="N244" s="62">
        <f t="shared" si="42"/>
        <v>1.8334102400000001</v>
      </c>
      <c r="O244" s="62">
        <f t="shared" si="43"/>
        <v>4</v>
      </c>
      <c r="P244" s="62">
        <f t="shared" si="44"/>
        <v>-2.1665897599999999</v>
      </c>
      <c r="Q244" s="63">
        <f t="shared" si="46"/>
        <v>0</v>
      </c>
      <c r="R244" s="60" t="str">
        <f t="shared" si="45"/>
        <v>Mi 06:00</v>
      </c>
      <c r="S244" s="58">
        <f t="shared" si="47"/>
        <v>37.216000000000001</v>
      </c>
    </row>
    <row r="245" spans="4:19" ht="15" customHeight="1" x14ac:dyDescent="0.35">
      <c r="D245" s="59">
        <v>224</v>
      </c>
      <c r="E245" s="59">
        <f t="shared" si="36"/>
        <v>10</v>
      </c>
      <c r="F245" s="59">
        <f t="shared" si="37"/>
        <v>3</v>
      </c>
      <c r="G245" s="60" t="str">
        <f t="shared" si="38"/>
        <v>Mi</v>
      </c>
      <c r="H245" s="61">
        <f t="shared" si="39"/>
        <v>7</v>
      </c>
      <c r="I245" s="60" t="str">
        <f t="shared" si="40"/>
        <v>Werktag</v>
      </c>
      <c r="J245" s="39">
        <f>INDEX(Zapfprofil!$B$61:$H$61,F245)</f>
        <v>0.19</v>
      </c>
      <c r="K245" s="39">
        <f>INDEX(Zapfprofil!$AL$19:$AN$42,H245+1,IF(F245&lt;=5,1,IF(F245=6,2,3)))</f>
        <v>0.06</v>
      </c>
      <c r="L245" s="62">
        <f t="shared" si="41"/>
        <v>4.9002307199999997</v>
      </c>
      <c r="M245" s="62">
        <f>Eingaben!$B$29</f>
        <v>0.2</v>
      </c>
      <c r="N245" s="62">
        <f t="shared" si="42"/>
        <v>5.1002307199999999</v>
      </c>
      <c r="O245" s="62">
        <f t="shared" si="43"/>
        <v>4</v>
      </c>
      <c r="P245" s="62">
        <f t="shared" si="44"/>
        <v>1.1002307199999999</v>
      </c>
      <c r="Q245" s="63">
        <f t="shared" si="46"/>
        <v>1.1002307199999999</v>
      </c>
      <c r="R245" s="60" t="str">
        <f t="shared" si="45"/>
        <v>Mi 07:00</v>
      </c>
      <c r="S245" s="58">
        <f t="shared" si="47"/>
        <v>36.115769280000002</v>
      </c>
    </row>
    <row r="246" spans="4:19" ht="15" customHeight="1" x14ac:dyDescent="0.35">
      <c r="D246" s="59">
        <v>225</v>
      </c>
      <c r="E246" s="59">
        <f t="shared" si="36"/>
        <v>10</v>
      </c>
      <c r="F246" s="59">
        <f t="shared" si="37"/>
        <v>3</v>
      </c>
      <c r="G246" s="60" t="str">
        <f t="shared" si="38"/>
        <v>Mi</v>
      </c>
      <c r="H246" s="61">
        <f t="shared" si="39"/>
        <v>8</v>
      </c>
      <c r="I246" s="60" t="str">
        <f t="shared" si="40"/>
        <v>Werktag</v>
      </c>
      <c r="J246" s="39">
        <f>INDEX(Zapfprofil!$B$61:$H$61,F246)</f>
        <v>0.19</v>
      </c>
      <c r="K246" s="39">
        <f>INDEX(Zapfprofil!$AL$19:$AN$42,H246+1,IF(F246&lt;=5,1,IF(F246=6,2,3)))</f>
        <v>0.08</v>
      </c>
      <c r="L246" s="62">
        <f t="shared" si="41"/>
        <v>6.5336409600000005</v>
      </c>
      <c r="M246" s="62">
        <f>Eingaben!$B$29</f>
        <v>0.2</v>
      </c>
      <c r="N246" s="62">
        <f t="shared" si="42"/>
        <v>6.7336409600000007</v>
      </c>
      <c r="O246" s="62">
        <f t="shared" si="43"/>
        <v>4</v>
      </c>
      <c r="P246" s="62">
        <f t="shared" si="44"/>
        <v>2.7336409600000007</v>
      </c>
      <c r="Q246" s="63">
        <f t="shared" si="46"/>
        <v>3.8338716800000006</v>
      </c>
      <c r="R246" s="60" t="str">
        <f t="shared" si="45"/>
        <v>Mi 08:00</v>
      </c>
      <c r="S246" s="58">
        <f t="shared" si="47"/>
        <v>33.38212832</v>
      </c>
    </row>
    <row r="247" spans="4:19" ht="15" customHeight="1" x14ac:dyDescent="0.35">
      <c r="D247" s="59">
        <v>226</v>
      </c>
      <c r="E247" s="59">
        <f t="shared" si="36"/>
        <v>10</v>
      </c>
      <c r="F247" s="59">
        <f t="shared" si="37"/>
        <v>3</v>
      </c>
      <c r="G247" s="60" t="str">
        <f t="shared" si="38"/>
        <v>Mi</v>
      </c>
      <c r="H247" s="61">
        <f t="shared" si="39"/>
        <v>9</v>
      </c>
      <c r="I247" s="60" t="str">
        <f t="shared" si="40"/>
        <v>Werktag</v>
      </c>
      <c r="J247" s="39">
        <f>INDEX(Zapfprofil!$B$61:$H$61,F247)</f>
        <v>0.19</v>
      </c>
      <c r="K247" s="39">
        <f>INDEX(Zapfprofil!$AL$19:$AN$42,H247+1,IF(F247&lt;=5,1,IF(F247=6,2,3)))</f>
        <v>8.5000000000000006E-2</v>
      </c>
      <c r="L247" s="62">
        <f t="shared" si="41"/>
        <v>6.9419935200000005</v>
      </c>
      <c r="M247" s="62">
        <f>Eingaben!$B$29</f>
        <v>0.2</v>
      </c>
      <c r="N247" s="62">
        <f t="shared" si="42"/>
        <v>7.1419935200000007</v>
      </c>
      <c r="O247" s="62">
        <f t="shared" si="43"/>
        <v>4</v>
      </c>
      <c r="P247" s="62">
        <f t="shared" si="44"/>
        <v>3.1419935200000007</v>
      </c>
      <c r="Q247" s="63">
        <f t="shared" si="46"/>
        <v>6.9758652000000012</v>
      </c>
      <c r="R247" s="60" t="str">
        <f t="shared" si="45"/>
        <v>Mi 09:00</v>
      </c>
      <c r="S247" s="58">
        <f t="shared" si="47"/>
        <v>30.2401348</v>
      </c>
    </row>
    <row r="248" spans="4:19" ht="15" customHeight="1" x14ac:dyDescent="0.35">
      <c r="D248" s="59">
        <v>227</v>
      </c>
      <c r="E248" s="59">
        <f t="shared" si="36"/>
        <v>10</v>
      </c>
      <c r="F248" s="59">
        <f t="shared" si="37"/>
        <v>3</v>
      </c>
      <c r="G248" s="60" t="str">
        <f t="shared" si="38"/>
        <v>Mi</v>
      </c>
      <c r="H248" s="61">
        <f t="shared" si="39"/>
        <v>10</v>
      </c>
      <c r="I248" s="60" t="str">
        <f t="shared" si="40"/>
        <v>Werktag</v>
      </c>
      <c r="J248" s="39">
        <f>INDEX(Zapfprofil!$B$61:$H$61,F248)</f>
        <v>0.19</v>
      </c>
      <c r="K248" s="39">
        <f>INDEX(Zapfprofil!$AL$19:$AN$42,H248+1,IF(F248&lt;=5,1,IF(F248=6,2,3)))</f>
        <v>8.5000000000000006E-2</v>
      </c>
      <c r="L248" s="62">
        <f t="shared" si="41"/>
        <v>6.9419935200000005</v>
      </c>
      <c r="M248" s="62">
        <f>Eingaben!$B$29</f>
        <v>0.2</v>
      </c>
      <c r="N248" s="62">
        <f t="shared" si="42"/>
        <v>7.1419935200000007</v>
      </c>
      <c r="O248" s="62">
        <f t="shared" si="43"/>
        <v>4</v>
      </c>
      <c r="P248" s="62">
        <f t="shared" si="44"/>
        <v>3.1419935200000007</v>
      </c>
      <c r="Q248" s="63">
        <f t="shared" si="46"/>
        <v>10.117858720000001</v>
      </c>
      <c r="R248" s="60" t="str">
        <f t="shared" si="45"/>
        <v>Mi 10:00</v>
      </c>
      <c r="S248" s="58">
        <f t="shared" si="47"/>
        <v>27.09814128</v>
      </c>
    </row>
    <row r="249" spans="4:19" ht="15" customHeight="1" x14ac:dyDescent="0.35">
      <c r="D249" s="59">
        <v>228</v>
      </c>
      <c r="E249" s="59">
        <f t="shared" si="36"/>
        <v>10</v>
      </c>
      <c r="F249" s="59">
        <f t="shared" si="37"/>
        <v>3</v>
      </c>
      <c r="G249" s="60" t="str">
        <f t="shared" si="38"/>
        <v>Mi</v>
      </c>
      <c r="H249" s="61">
        <f t="shared" si="39"/>
        <v>11</v>
      </c>
      <c r="I249" s="60" t="str">
        <f t="shared" si="40"/>
        <v>Werktag</v>
      </c>
      <c r="J249" s="39">
        <f>INDEX(Zapfprofil!$B$61:$H$61,F249)</f>
        <v>0.19</v>
      </c>
      <c r="K249" s="39">
        <f>INDEX(Zapfprofil!$AL$19:$AN$42,H249+1,IF(F249&lt;=5,1,IF(F249=6,2,3)))</f>
        <v>0.09</v>
      </c>
      <c r="L249" s="62">
        <f t="shared" si="41"/>
        <v>7.3503460799999996</v>
      </c>
      <c r="M249" s="62">
        <f>Eingaben!$B$29</f>
        <v>0.2</v>
      </c>
      <c r="N249" s="62">
        <f t="shared" si="42"/>
        <v>7.5503460799999997</v>
      </c>
      <c r="O249" s="62">
        <f t="shared" si="43"/>
        <v>4</v>
      </c>
      <c r="P249" s="62">
        <f t="shared" si="44"/>
        <v>3.5503460799999997</v>
      </c>
      <c r="Q249" s="63">
        <f t="shared" si="46"/>
        <v>13.668204800000002</v>
      </c>
      <c r="R249" s="60" t="str">
        <f t="shared" si="45"/>
        <v>Mi 11:00</v>
      </c>
      <c r="S249" s="58">
        <f t="shared" si="47"/>
        <v>23.547795199999999</v>
      </c>
    </row>
    <row r="250" spans="4:19" ht="15" customHeight="1" x14ac:dyDescent="0.35">
      <c r="D250" s="59">
        <v>229</v>
      </c>
      <c r="E250" s="59">
        <f t="shared" si="36"/>
        <v>10</v>
      </c>
      <c r="F250" s="59">
        <f t="shared" si="37"/>
        <v>3</v>
      </c>
      <c r="G250" s="60" t="str">
        <f t="shared" si="38"/>
        <v>Mi</v>
      </c>
      <c r="H250" s="61">
        <f t="shared" si="39"/>
        <v>12</v>
      </c>
      <c r="I250" s="60" t="str">
        <f t="shared" si="40"/>
        <v>Werktag</v>
      </c>
      <c r="J250" s="39">
        <f>INDEX(Zapfprofil!$B$61:$H$61,F250)</f>
        <v>0.19</v>
      </c>
      <c r="K250" s="39">
        <f>INDEX(Zapfprofil!$AL$19:$AN$42,H250+1,IF(F250&lt;=5,1,IF(F250=6,2,3)))</f>
        <v>0.1</v>
      </c>
      <c r="L250" s="62">
        <f t="shared" si="41"/>
        <v>8.1670512000000013</v>
      </c>
      <c r="M250" s="62">
        <f>Eingaben!$B$29</f>
        <v>0.2</v>
      </c>
      <c r="N250" s="62">
        <f t="shared" si="42"/>
        <v>8.3670512000000006</v>
      </c>
      <c r="O250" s="62">
        <f t="shared" si="43"/>
        <v>4</v>
      </c>
      <c r="P250" s="62">
        <f t="shared" si="44"/>
        <v>4.3670512000000006</v>
      </c>
      <c r="Q250" s="63">
        <f t="shared" si="46"/>
        <v>18.035256000000004</v>
      </c>
      <c r="R250" s="60" t="str">
        <f t="shared" si="45"/>
        <v>Mi 12:00</v>
      </c>
      <c r="S250" s="58">
        <f t="shared" si="47"/>
        <v>19.180743999999997</v>
      </c>
    </row>
    <row r="251" spans="4:19" ht="15" customHeight="1" x14ac:dyDescent="0.35">
      <c r="D251" s="59">
        <v>230</v>
      </c>
      <c r="E251" s="59">
        <f t="shared" si="36"/>
        <v>10</v>
      </c>
      <c r="F251" s="59">
        <f t="shared" si="37"/>
        <v>3</v>
      </c>
      <c r="G251" s="60" t="str">
        <f t="shared" si="38"/>
        <v>Mi</v>
      </c>
      <c r="H251" s="61">
        <f t="shared" si="39"/>
        <v>13</v>
      </c>
      <c r="I251" s="60" t="str">
        <f t="shared" si="40"/>
        <v>Werktag</v>
      </c>
      <c r="J251" s="39">
        <f>INDEX(Zapfprofil!$B$61:$H$61,F251)</f>
        <v>0.19</v>
      </c>
      <c r="K251" s="39">
        <f>INDEX(Zapfprofil!$AL$19:$AN$42,H251+1,IF(F251&lt;=5,1,IF(F251=6,2,3)))</f>
        <v>9.5000000000000001E-2</v>
      </c>
      <c r="L251" s="62">
        <f t="shared" si="41"/>
        <v>7.7586986400000004</v>
      </c>
      <c r="M251" s="62">
        <f>Eingaben!$B$29</f>
        <v>0.2</v>
      </c>
      <c r="N251" s="62">
        <f t="shared" si="42"/>
        <v>7.9586986400000006</v>
      </c>
      <c r="O251" s="62">
        <f t="shared" si="43"/>
        <v>4</v>
      </c>
      <c r="P251" s="62">
        <f t="shared" si="44"/>
        <v>3.9586986400000006</v>
      </c>
      <c r="Q251" s="63">
        <f t="shared" si="46"/>
        <v>21.993954640000005</v>
      </c>
      <c r="R251" s="60" t="str">
        <f t="shared" si="45"/>
        <v>Mi 13:00</v>
      </c>
      <c r="S251" s="58">
        <f t="shared" si="47"/>
        <v>15.222045359999996</v>
      </c>
    </row>
    <row r="252" spans="4:19" ht="15" customHeight="1" x14ac:dyDescent="0.35">
      <c r="D252" s="59">
        <v>231</v>
      </c>
      <c r="E252" s="59">
        <f t="shared" si="36"/>
        <v>10</v>
      </c>
      <c r="F252" s="59">
        <f t="shared" si="37"/>
        <v>3</v>
      </c>
      <c r="G252" s="60" t="str">
        <f t="shared" si="38"/>
        <v>Mi</v>
      </c>
      <c r="H252" s="61">
        <f t="shared" si="39"/>
        <v>14</v>
      </c>
      <c r="I252" s="60" t="str">
        <f t="shared" si="40"/>
        <v>Werktag</v>
      </c>
      <c r="J252" s="39">
        <f>INDEX(Zapfprofil!$B$61:$H$61,F252)</f>
        <v>0.19</v>
      </c>
      <c r="K252" s="39">
        <f>INDEX(Zapfprofil!$AL$19:$AN$42,H252+1,IF(F252&lt;=5,1,IF(F252=6,2,3)))</f>
        <v>8.5000000000000006E-2</v>
      </c>
      <c r="L252" s="62">
        <f t="shared" si="41"/>
        <v>6.9419935200000005</v>
      </c>
      <c r="M252" s="62">
        <f>Eingaben!$B$29</f>
        <v>0.2</v>
      </c>
      <c r="N252" s="62">
        <f t="shared" si="42"/>
        <v>7.1419935200000007</v>
      </c>
      <c r="O252" s="62">
        <f t="shared" si="43"/>
        <v>4</v>
      </c>
      <c r="P252" s="62">
        <f t="shared" si="44"/>
        <v>3.1419935200000007</v>
      </c>
      <c r="Q252" s="63">
        <f t="shared" si="46"/>
        <v>25.135948160000005</v>
      </c>
      <c r="R252" s="60" t="str">
        <f t="shared" si="45"/>
        <v>Mi 14:00</v>
      </c>
      <c r="S252" s="58">
        <f t="shared" si="47"/>
        <v>12.080051839999996</v>
      </c>
    </row>
    <row r="253" spans="4:19" ht="15" customHeight="1" x14ac:dyDescent="0.35">
      <c r="D253" s="59">
        <v>232</v>
      </c>
      <c r="E253" s="59">
        <f t="shared" si="36"/>
        <v>10</v>
      </c>
      <c r="F253" s="59">
        <f t="shared" si="37"/>
        <v>3</v>
      </c>
      <c r="G253" s="60" t="str">
        <f t="shared" si="38"/>
        <v>Mi</v>
      </c>
      <c r="H253" s="61">
        <f t="shared" si="39"/>
        <v>15</v>
      </c>
      <c r="I253" s="60" t="str">
        <f t="shared" si="40"/>
        <v>Werktag</v>
      </c>
      <c r="J253" s="39">
        <f>INDEX(Zapfprofil!$B$61:$H$61,F253)</f>
        <v>0.19</v>
      </c>
      <c r="K253" s="39">
        <f>INDEX(Zapfprofil!$AL$19:$AN$42,H253+1,IF(F253&lt;=5,1,IF(F253=6,2,3)))</f>
        <v>0.08</v>
      </c>
      <c r="L253" s="62">
        <f t="shared" si="41"/>
        <v>6.5336409600000005</v>
      </c>
      <c r="M253" s="62">
        <f>Eingaben!$B$29</f>
        <v>0.2</v>
      </c>
      <c r="N253" s="62">
        <f t="shared" si="42"/>
        <v>6.7336409600000007</v>
      </c>
      <c r="O253" s="62">
        <f t="shared" si="43"/>
        <v>4</v>
      </c>
      <c r="P253" s="62">
        <f t="shared" si="44"/>
        <v>2.7336409600000007</v>
      </c>
      <c r="Q253" s="63">
        <f t="shared" si="46"/>
        <v>27.869589120000008</v>
      </c>
      <c r="R253" s="60" t="str">
        <f t="shared" si="45"/>
        <v>Mi 15:00</v>
      </c>
      <c r="S253" s="58">
        <f t="shared" si="47"/>
        <v>9.3464108799999934</v>
      </c>
    </row>
    <row r="254" spans="4:19" ht="15" customHeight="1" x14ac:dyDescent="0.35">
      <c r="D254" s="59">
        <v>233</v>
      </c>
      <c r="E254" s="59">
        <f t="shared" si="36"/>
        <v>10</v>
      </c>
      <c r="F254" s="59">
        <f t="shared" si="37"/>
        <v>3</v>
      </c>
      <c r="G254" s="60" t="str">
        <f t="shared" si="38"/>
        <v>Mi</v>
      </c>
      <c r="H254" s="61">
        <f t="shared" si="39"/>
        <v>16</v>
      </c>
      <c r="I254" s="60" t="str">
        <f t="shared" si="40"/>
        <v>Werktag</v>
      </c>
      <c r="J254" s="39">
        <f>INDEX(Zapfprofil!$B$61:$H$61,F254)</f>
        <v>0.19</v>
      </c>
      <c r="K254" s="39">
        <f>INDEX(Zapfprofil!$AL$19:$AN$42,H254+1,IF(F254&lt;=5,1,IF(F254=6,2,3)))</f>
        <v>7.4999999999999997E-2</v>
      </c>
      <c r="L254" s="62">
        <f t="shared" si="41"/>
        <v>6.1252883999999996</v>
      </c>
      <c r="M254" s="62">
        <f>Eingaben!$B$29</f>
        <v>0.2</v>
      </c>
      <c r="N254" s="62">
        <f t="shared" si="42"/>
        <v>6.3252883999999998</v>
      </c>
      <c r="O254" s="62">
        <f t="shared" si="43"/>
        <v>4</v>
      </c>
      <c r="P254" s="62">
        <f t="shared" si="44"/>
        <v>2.3252883999999998</v>
      </c>
      <c r="Q254" s="63">
        <f t="shared" si="46"/>
        <v>30.194877520000006</v>
      </c>
      <c r="R254" s="60" t="str">
        <f t="shared" si="45"/>
        <v>Mi 16:00</v>
      </c>
      <c r="S254" s="58">
        <f t="shared" si="47"/>
        <v>7.0211224799999954</v>
      </c>
    </row>
    <row r="255" spans="4:19" ht="15" customHeight="1" x14ac:dyDescent="0.35">
      <c r="D255" s="59">
        <v>234</v>
      </c>
      <c r="E255" s="59">
        <f t="shared" si="36"/>
        <v>10</v>
      </c>
      <c r="F255" s="59">
        <f t="shared" si="37"/>
        <v>3</v>
      </c>
      <c r="G255" s="60" t="str">
        <f t="shared" si="38"/>
        <v>Mi</v>
      </c>
      <c r="H255" s="61">
        <f t="shared" si="39"/>
        <v>17</v>
      </c>
      <c r="I255" s="60" t="str">
        <f t="shared" si="40"/>
        <v>Werktag</v>
      </c>
      <c r="J255" s="39">
        <f>INDEX(Zapfprofil!$B$61:$H$61,F255)</f>
        <v>0.19</v>
      </c>
      <c r="K255" s="39">
        <f>INDEX(Zapfprofil!$AL$19:$AN$42,H255+1,IF(F255&lt;=5,1,IF(F255=6,2,3)))</f>
        <v>0.06</v>
      </c>
      <c r="L255" s="62">
        <f t="shared" si="41"/>
        <v>4.9002307199999997</v>
      </c>
      <c r="M255" s="62">
        <f>Eingaben!$B$29</f>
        <v>0.2</v>
      </c>
      <c r="N255" s="62">
        <f t="shared" si="42"/>
        <v>5.1002307199999999</v>
      </c>
      <c r="O255" s="62">
        <f t="shared" si="43"/>
        <v>4</v>
      </c>
      <c r="P255" s="62">
        <f t="shared" si="44"/>
        <v>1.1002307199999999</v>
      </c>
      <c r="Q255" s="63">
        <f t="shared" si="46"/>
        <v>31.295108240000005</v>
      </c>
      <c r="R255" s="60" t="str">
        <f t="shared" si="45"/>
        <v>Mi 17:00</v>
      </c>
      <c r="S255" s="58">
        <f t="shared" si="47"/>
        <v>5.9208917599999964</v>
      </c>
    </row>
    <row r="256" spans="4:19" ht="15" customHeight="1" x14ac:dyDescent="0.35">
      <c r="D256" s="59">
        <v>235</v>
      </c>
      <c r="E256" s="59">
        <f t="shared" si="36"/>
        <v>10</v>
      </c>
      <c r="F256" s="59">
        <f t="shared" si="37"/>
        <v>3</v>
      </c>
      <c r="G256" s="60" t="str">
        <f t="shared" si="38"/>
        <v>Mi</v>
      </c>
      <c r="H256" s="61">
        <f t="shared" si="39"/>
        <v>18</v>
      </c>
      <c r="I256" s="60" t="str">
        <f t="shared" si="40"/>
        <v>Werktag</v>
      </c>
      <c r="J256" s="39">
        <f>INDEX(Zapfprofil!$B$61:$H$61,F256)</f>
        <v>0.19</v>
      </c>
      <c r="K256" s="39">
        <f>INDEX(Zapfprofil!$AL$19:$AN$42,H256+1,IF(F256&lt;=5,1,IF(F256=6,2,3)))</f>
        <v>4.4999999999999998E-2</v>
      </c>
      <c r="L256" s="62">
        <f t="shared" si="41"/>
        <v>3.6751730399999998</v>
      </c>
      <c r="M256" s="62">
        <f>Eingaben!$B$29</f>
        <v>0.2</v>
      </c>
      <c r="N256" s="62">
        <f t="shared" si="42"/>
        <v>3.87517304</v>
      </c>
      <c r="O256" s="62">
        <f t="shared" si="43"/>
        <v>4</v>
      </c>
      <c r="P256" s="62">
        <f t="shared" si="44"/>
        <v>-0.12482696000000004</v>
      </c>
      <c r="Q256" s="63">
        <f t="shared" si="46"/>
        <v>31.170281280000005</v>
      </c>
      <c r="R256" s="60" t="str">
        <f t="shared" si="45"/>
        <v>Mi 18:00</v>
      </c>
      <c r="S256" s="58">
        <f t="shared" si="47"/>
        <v>6.0457187199999964</v>
      </c>
    </row>
    <row r="257" spans="4:19" ht="15" customHeight="1" x14ac:dyDescent="0.35">
      <c r="D257" s="59">
        <v>236</v>
      </c>
      <c r="E257" s="59">
        <f t="shared" si="36"/>
        <v>10</v>
      </c>
      <c r="F257" s="59">
        <f t="shared" si="37"/>
        <v>3</v>
      </c>
      <c r="G257" s="60" t="str">
        <f t="shared" si="38"/>
        <v>Mi</v>
      </c>
      <c r="H257" s="61">
        <f t="shared" si="39"/>
        <v>19</v>
      </c>
      <c r="I257" s="60" t="str">
        <f t="shared" si="40"/>
        <v>Werktag</v>
      </c>
      <c r="J257" s="39">
        <f>INDEX(Zapfprofil!$B$61:$H$61,F257)</f>
        <v>0.19</v>
      </c>
      <c r="K257" s="39">
        <f>INDEX(Zapfprofil!$AL$19:$AN$42,H257+1,IF(F257&lt;=5,1,IF(F257=6,2,3)))</f>
        <v>2.5000000000000001E-2</v>
      </c>
      <c r="L257" s="62">
        <f t="shared" si="41"/>
        <v>2.0417628000000003</v>
      </c>
      <c r="M257" s="62">
        <f>Eingaben!$B$29</f>
        <v>0.2</v>
      </c>
      <c r="N257" s="62">
        <f t="shared" si="42"/>
        <v>2.2417628000000005</v>
      </c>
      <c r="O257" s="62">
        <f t="shared" si="43"/>
        <v>4</v>
      </c>
      <c r="P257" s="62">
        <f t="shared" si="44"/>
        <v>-1.7582371999999995</v>
      </c>
      <c r="Q257" s="63">
        <f t="shared" si="46"/>
        <v>29.412044080000005</v>
      </c>
      <c r="R257" s="60" t="str">
        <f t="shared" si="45"/>
        <v>Mi 19:00</v>
      </c>
      <c r="S257" s="58">
        <f t="shared" si="47"/>
        <v>7.8039559199999964</v>
      </c>
    </row>
    <row r="258" spans="4:19" ht="15" customHeight="1" x14ac:dyDescent="0.35">
      <c r="D258" s="59">
        <v>237</v>
      </c>
      <c r="E258" s="59">
        <f t="shared" si="36"/>
        <v>10</v>
      </c>
      <c r="F258" s="59">
        <f t="shared" si="37"/>
        <v>3</v>
      </c>
      <c r="G258" s="60" t="str">
        <f t="shared" si="38"/>
        <v>Mi</v>
      </c>
      <c r="H258" s="61">
        <f t="shared" si="39"/>
        <v>20</v>
      </c>
      <c r="I258" s="60" t="str">
        <f t="shared" si="40"/>
        <v>Werktag</v>
      </c>
      <c r="J258" s="39">
        <f>INDEX(Zapfprofil!$B$61:$H$61,F258)</f>
        <v>0.19</v>
      </c>
      <c r="K258" s="39">
        <f>INDEX(Zapfprofil!$AL$19:$AN$42,H258+1,IF(F258&lt;=5,1,IF(F258=6,2,3)))</f>
        <v>1.4999999999999999E-2</v>
      </c>
      <c r="L258" s="62">
        <f t="shared" si="41"/>
        <v>1.2250576799999999</v>
      </c>
      <c r="M258" s="62">
        <f>Eingaben!$B$29</f>
        <v>0.2</v>
      </c>
      <c r="N258" s="62">
        <f t="shared" si="42"/>
        <v>1.4250576799999999</v>
      </c>
      <c r="O258" s="62">
        <f t="shared" si="43"/>
        <v>4</v>
      </c>
      <c r="P258" s="62">
        <f t="shared" si="44"/>
        <v>-2.5749423199999999</v>
      </c>
      <c r="Q258" s="63">
        <f t="shared" si="46"/>
        <v>26.837101760000003</v>
      </c>
      <c r="R258" s="60" t="str">
        <f t="shared" si="45"/>
        <v>Mi 20:00</v>
      </c>
      <c r="S258" s="58">
        <f t="shared" si="47"/>
        <v>10.378898239999998</v>
      </c>
    </row>
    <row r="259" spans="4:19" ht="15" customHeight="1" x14ac:dyDescent="0.35">
      <c r="D259" s="59">
        <v>238</v>
      </c>
      <c r="E259" s="59">
        <f t="shared" si="36"/>
        <v>10</v>
      </c>
      <c r="F259" s="59">
        <f t="shared" si="37"/>
        <v>3</v>
      </c>
      <c r="G259" s="60" t="str">
        <f t="shared" si="38"/>
        <v>Mi</v>
      </c>
      <c r="H259" s="61">
        <f t="shared" si="39"/>
        <v>21</v>
      </c>
      <c r="I259" s="60" t="str">
        <f t="shared" si="40"/>
        <v>Werktag</v>
      </c>
      <c r="J259" s="39">
        <f>INDEX(Zapfprofil!$B$61:$H$61,F259)</f>
        <v>0.19</v>
      </c>
      <c r="K259" s="39">
        <f>INDEX(Zapfprofil!$AL$19:$AN$42,H259+1,IF(F259&lt;=5,1,IF(F259=6,2,3)))</f>
        <v>0</v>
      </c>
      <c r="L259" s="62">
        <f t="shared" si="41"/>
        <v>0</v>
      </c>
      <c r="M259" s="62">
        <f>Eingaben!$B$29</f>
        <v>0.2</v>
      </c>
      <c r="N259" s="62">
        <f t="shared" si="42"/>
        <v>0.2</v>
      </c>
      <c r="O259" s="62">
        <f t="shared" si="43"/>
        <v>4</v>
      </c>
      <c r="P259" s="62">
        <f t="shared" si="44"/>
        <v>-3.8</v>
      </c>
      <c r="Q259" s="63">
        <f t="shared" si="46"/>
        <v>23.037101760000002</v>
      </c>
      <c r="R259" s="60" t="str">
        <f t="shared" si="45"/>
        <v>Mi 21:00</v>
      </c>
      <c r="S259" s="58">
        <f t="shared" si="47"/>
        <v>14.178898239999999</v>
      </c>
    </row>
    <row r="260" spans="4:19" ht="15" customHeight="1" x14ac:dyDescent="0.35">
      <c r="D260" s="59">
        <v>239</v>
      </c>
      <c r="E260" s="59">
        <f t="shared" si="36"/>
        <v>10</v>
      </c>
      <c r="F260" s="59">
        <f t="shared" si="37"/>
        <v>3</v>
      </c>
      <c r="G260" s="60" t="str">
        <f t="shared" si="38"/>
        <v>Mi</v>
      </c>
      <c r="H260" s="61">
        <f t="shared" si="39"/>
        <v>22</v>
      </c>
      <c r="I260" s="60" t="str">
        <f t="shared" si="40"/>
        <v>Werktag</v>
      </c>
      <c r="J260" s="39">
        <f>INDEX(Zapfprofil!$B$61:$H$61,F260)</f>
        <v>0.19</v>
      </c>
      <c r="K260" s="39">
        <f>INDEX(Zapfprofil!$AL$19:$AN$42,H260+1,IF(F260&lt;=5,1,IF(F260=6,2,3)))</f>
        <v>0</v>
      </c>
      <c r="L260" s="62">
        <f t="shared" si="41"/>
        <v>0</v>
      </c>
      <c r="M260" s="62">
        <f>Eingaben!$B$29</f>
        <v>0.2</v>
      </c>
      <c r="N260" s="62">
        <f t="shared" si="42"/>
        <v>0.2</v>
      </c>
      <c r="O260" s="62">
        <f t="shared" si="43"/>
        <v>4</v>
      </c>
      <c r="P260" s="62">
        <f t="shared" si="44"/>
        <v>-3.8</v>
      </c>
      <c r="Q260" s="63">
        <f t="shared" si="46"/>
        <v>19.237101760000002</v>
      </c>
      <c r="R260" s="60" t="str">
        <f t="shared" si="45"/>
        <v>Mi 22:00</v>
      </c>
      <c r="S260" s="58">
        <f t="shared" si="47"/>
        <v>17.978898239999999</v>
      </c>
    </row>
    <row r="261" spans="4:19" ht="15" customHeight="1" x14ac:dyDescent="0.35">
      <c r="D261" s="59">
        <v>240</v>
      </c>
      <c r="E261" s="59">
        <f t="shared" si="36"/>
        <v>10</v>
      </c>
      <c r="F261" s="59">
        <f t="shared" si="37"/>
        <v>3</v>
      </c>
      <c r="G261" s="60" t="str">
        <f t="shared" si="38"/>
        <v>Mi</v>
      </c>
      <c r="H261" s="61">
        <f t="shared" si="39"/>
        <v>23</v>
      </c>
      <c r="I261" s="60" t="str">
        <f t="shared" si="40"/>
        <v>Werktag</v>
      </c>
      <c r="J261" s="39">
        <f>INDEX(Zapfprofil!$B$61:$H$61,F261)</f>
        <v>0.19</v>
      </c>
      <c r="K261" s="39">
        <f>INDEX(Zapfprofil!$AL$19:$AN$42,H261+1,IF(F261&lt;=5,1,IF(F261=6,2,3)))</f>
        <v>0</v>
      </c>
      <c r="L261" s="62">
        <f t="shared" si="41"/>
        <v>0</v>
      </c>
      <c r="M261" s="62">
        <f>Eingaben!$B$29</f>
        <v>0.2</v>
      </c>
      <c r="N261" s="62">
        <f t="shared" si="42"/>
        <v>0.2</v>
      </c>
      <c r="O261" s="62">
        <f t="shared" si="43"/>
        <v>4</v>
      </c>
      <c r="P261" s="62">
        <f t="shared" si="44"/>
        <v>-3.8</v>
      </c>
      <c r="Q261" s="63">
        <f t="shared" si="46"/>
        <v>15.437101760000001</v>
      </c>
      <c r="R261" s="60" t="str">
        <f t="shared" si="45"/>
        <v>Mi 23:00</v>
      </c>
      <c r="S261" s="58">
        <f t="shared" si="47"/>
        <v>21.77889824</v>
      </c>
    </row>
    <row r="262" spans="4:19" ht="15" customHeight="1" x14ac:dyDescent="0.35">
      <c r="D262" s="59">
        <v>241</v>
      </c>
      <c r="E262" s="59">
        <f t="shared" si="36"/>
        <v>11</v>
      </c>
      <c r="F262" s="59">
        <f t="shared" si="37"/>
        <v>4</v>
      </c>
      <c r="G262" s="60" t="str">
        <f t="shared" si="38"/>
        <v>Do</v>
      </c>
      <c r="H262" s="61">
        <f t="shared" si="39"/>
        <v>0</v>
      </c>
      <c r="I262" s="60" t="str">
        <f t="shared" si="40"/>
        <v>Werktag</v>
      </c>
      <c r="J262" s="39">
        <f>INDEX(Zapfprofil!$B$61:$H$61,F262)</f>
        <v>0.19</v>
      </c>
      <c r="K262" s="39">
        <f>INDEX(Zapfprofil!$AL$19:$AN$42,H262+1,IF(F262&lt;=5,1,IF(F262=6,2,3)))</f>
        <v>0</v>
      </c>
      <c r="L262" s="62">
        <f t="shared" si="41"/>
        <v>0</v>
      </c>
      <c r="M262" s="62">
        <f>Eingaben!$B$29</f>
        <v>0.2</v>
      </c>
      <c r="N262" s="62">
        <f t="shared" si="42"/>
        <v>0.2</v>
      </c>
      <c r="O262" s="62">
        <f t="shared" si="43"/>
        <v>4</v>
      </c>
      <c r="P262" s="62">
        <f t="shared" si="44"/>
        <v>-3.8</v>
      </c>
      <c r="Q262" s="63">
        <f t="shared" si="46"/>
        <v>11.63710176</v>
      </c>
      <c r="R262" s="60" t="str">
        <f t="shared" si="45"/>
        <v>Do 00:00</v>
      </c>
      <c r="S262" s="58">
        <f t="shared" si="47"/>
        <v>25.578898240000001</v>
      </c>
    </row>
    <row r="263" spans="4:19" ht="15" customHeight="1" x14ac:dyDescent="0.35">
      <c r="D263" s="59">
        <v>242</v>
      </c>
      <c r="E263" s="59">
        <f t="shared" si="36"/>
        <v>11</v>
      </c>
      <c r="F263" s="59">
        <f t="shared" si="37"/>
        <v>4</v>
      </c>
      <c r="G263" s="60" t="str">
        <f t="shared" si="38"/>
        <v>Do</v>
      </c>
      <c r="H263" s="61">
        <f t="shared" si="39"/>
        <v>1</v>
      </c>
      <c r="I263" s="60" t="str">
        <f t="shared" si="40"/>
        <v>Werktag</v>
      </c>
      <c r="J263" s="39">
        <f>INDEX(Zapfprofil!$B$61:$H$61,F263)</f>
        <v>0.19</v>
      </c>
      <c r="K263" s="39">
        <f>INDEX(Zapfprofil!$AL$19:$AN$42,H263+1,IF(F263&lt;=5,1,IF(F263=6,2,3)))</f>
        <v>0</v>
      </c>
      <c r="L263" s="62">
        <f t="shared" si="41"/>
        <v>0</v>
      </c>
      <c r="M263" s="62">
        <f>Eingaben!$B$29</f>
        <v>0.2</v>
      </c>
      <c r="N263" s="62">
        <f t="shared" si="42"/>
        <v>0.2</v>
      </c>
      <c r="O263" s="62">
        <f t="shared" si="43"/>
        <v>4</v>
      </c>
      <c r="P263" s="62">
        <f t="shared" si="44"/>
        <v>-3.8</v>
      </c>
      <c r="Q263" s="63">
        <f t="shared" si="46"/>
        <v>7.8371017600000004</v>
      </c>
      <c r="R263" s="60" t="str">
        <f t="shared" si="45"/>
        <v>Do 01:00</v>
      </c>
      <c r="S263" s="58">
        <f t="shared" si="47"/>
        <v>29.378898240000002</v>
      </c>
    </row>
    <row r="264" spans="4:19" ht="15" customHeight="1" x14ac:dyDescent="0.35">
      <c r="D264" s="59">
        <v>243</v>
      </c>
      <c r="E264" s="59">
        <f t="shared" si="36"/>
        <v>11</v>
      </c>
      <c r="F264" s="59">
        <f t="shared" si="37"/>
        <v>4</v>
      </c>
      <c r="G264" s="60" t="str">
        <f t="shared" si="38"/>
        <v>Do</v>
      </c>
      <c r="H264" s="61">
        <f t="shared" si="39"/>
        <v>2</v>
      </c>
      <c r="I264" s="60" t="str">
        <f t="shared" si="40"/>
        <v>Werktag</v>
      </c>
      <c r="J264" s="39">
        <f>INDEX(Zapfprofil!$B$61:$H$61,F264)</f>
        <v>0.19</v>
      </c>
      <c r="K264" s="39">
        <f>INDEX(Zapfprofil!$AL$19:$AN$42,H264+1,IF(F264&lt;=5,1,IF(F264=6,2,3)))</f>
        <v>0</v>
      </c>
      <c r="L264" s="62">
        <f t="shared" si="41"/>
        <v>0</v>
      </c>
      <c r="M264" s="62">
        <f>Eingaben!$B$29</f>
        <v>0.2</v>
      </c>
      <c r="N264" s="62">
        <f t="shared" si="42"/>
        <v>0.2</v>
      </c>
      <c r="O264" s="62">
        <f t="shared" si="43"/>
        <v>4</v>
      </c>
      <c r="P264" s="62">
        <f t="shared" si="44"/>
        <v>-3.8</v>
      </c>
      <c r="Q264" s="63">
        <f t="shared" si="46"/>
        <v>4.0371017600000005</v>
      </c>
      <c r="R264" s="60" t="str">
        <f t="shared" si="45"/>
        <v>Do 02:00</v>
      </c>
      <c r="S264" s="58">
        <f t="shared" si="47"/>
        <v>33.178898240000002</v>
      </c>
    </row>
    <row r="265" spans="4:19" ht="15" customHeight="1" x14ac:dyDescent="0.35">
      <c r="D265" s="59">
        <v>244</v>
      </c>
      <c r="E265" s="59">
        <f t="shared" si="36"/>
        <v>11</v>
      </c>
      <c r="F265" s="59">
        <f t="shared" si="37"/>
        <v>4</v>
      </c>
      <c r="G265" s="60" t="str">
        <f t="shared" si="38"/>
        <v>Do</v>
      </c>
      <c r="H265" s="61">
        <f t="shared" si="39"/>
        <v>3</v>
      </c>
      <c r="I265" s="60" t="str">
        <f t="shared" si="40"/>
        <v>Werktag</v>
      </c>
      <c r="J265" s="39">
        <f>INDEX(Zapfprofil!$B$61:$H$61,F265)</f>
        <v>0.19</v>
      </c>
      <c r="K265" s="39">
        <f>INDEX(Zapfprofil!$AL$19:$AN$42,H265+1,IF(F265&lt;=5,1,IF(F265=6,2,3)))</f>
        <v>0</v>
      </c>
      <c r="L265" s="62">
        <f t="shared" si="41"/>
        <v>0</v>
      </c>
      <c r="M265" s="62">
        <f>Eingaben!$B$29</f>
        <v>0.2</v>
      </c>
      <c r="N265" s="62">
        <f t="shared" si="42"/>
        <v>0.2</v>
      </c>
      <c r="O265" s="62">
        <f t="shared" si="43"/>
        <v>4</v>
      </c>
      <c r="P265" s="62">
        <f t="shared" si="44"/>
        <v>-3.8</v>
      </c>
      <c r="Q265" s="63">
        <f t="shared" si="46"/>
        <v>0.23710176000000072</v>
      </c>
      <c r="R265" s="60" t="str">
        <f t="shared" si="45"/>
        <v>Do 03:00</v>
      </c>
      <c r="S265" s="58">
        <f t="shared" si="47"/>
        <v>36.978898239999999</v>
      </c>
    </row>
    <row r="266" spans="4:19" ht="15" customHeight="1" x14ac:dyDescent="0.35">
      <c r="D266" s="59">
        <v>245</v>
      </c>
      <c r="E266" s="59">
        <f t="shared" si="36"/>
        <v>11</v>
      </c>
      <c r="F266" s="59">
        <f t="shared" si="37"/>
        <v>4</v>
      </c>
      <c r="G266" s="60" t="str">
        <f t="shared" si="38"/>
        <v>Do</v>
      </c>
      <c r="H266" s="61">
        <f t="shared" si="39"/>
        <v>4</v>
      </c>
      <c r="I266" s="60" t="str">
        <f t="shared" si="40"/>
        <v>Werktag</v>
      </c>
      <c r="J266" s="39">
        <f>INDEX(Zapfprofil!$B$61:$H$61,F266)</f>
        <v>0.19</v>
      </c>
      <c r="K266" s="39">
        <f>INDEX(Zapfprofil!$AL$19:$AN$42,H266+1,IF(F266&lt;=5,1,IF(F266=6,2,3)))</f>
        <v>0</v>
      </c>
      <c r="L266" s="62">
        <f t="shared" si="41"/>
        <v>0</v>
      </c>
      <c r="M266" s="62">
        <f>Eingaben!$B$29</f>
        <v>0.2</v>
      </c>
      <c r="N266" s="62">
        <f t="shared" si="42"/>
        <v>0.2</v>
      </c>
      <c r="O266" s="62">
        <f t="shared" si="43"/>
        <v>4</v>
      </c>
      <c r="P266" s="62">
        <f t="shared" si="44"/>
        <v>-3.8</v>
      </c>
      <c r="Q266" s="63">
        <f t="shared" si="46"/>
        <v>0</v>
      </c>
      <c r="R266" s="60" t="str">
        <f t="shared" si="45"/>
        <v>Do 04:00</v>
      </c>
      <c r="S266" s="58">
        <f t="shared" si="47"/>
        <v>37.216000000000001</v>
      </c>
    </row>
    <row r="267" spans="4:19" ht="15" customHeight="1" x14ac:dyDescent="0.35">
      <c r="D267" s="59">
        <v>246</v>
      </c>
      <c r="E267" s="59">
        <f t="shared" si="36"/>
        <v>11</v>
      </c>
      <c r="F267" s="59">
        <f t="shared" si="37"/>
        <v>4</v>
      </c>
      <c r="G267" s="60" t="str">
        <f t="shared" si="38"/>
        <v>Do</v>
      </c>
      <c r="H267" s="61">
        <f t="shared" si="39"/>
        <v>5</v>
      </c>
      <c r="I267" s="60" t="str">
        <f t="shared" si="40"/>
        <v>Werktag</v>
      </c>
      <c r="J267" s="39">
        <f>INDEX(Zapfprofil!$B$61:$H$61,F267)</f>
        <v>0.19</v>
      </c>
      <c r="K267" s="39">
        <f>INDEX(Zapfprofil!$AL$19:$AN$42,H267+1,IF(F267&lt;=5,1,IF(F267=6,2,3)))</f>
        <v>0</v>
      </c>
      <c r="L267" s="62">
        <f t="shared" si="41"/>
        <v>0</v>
      </c>
      <c r="M267" s="62">
        <f>Eingaben!$B$29</f>
        <v>0.2</v>
      </c>
      <c r="N267" s="62">
        <f t="shared" si="42"/>
        <v>0.2</v>
      </c>
      <c r="O267" s="62">
        <f t="shared" si="43"/>
        <v>4</v>
      </c>
      <c r="P267" s="62">
        <f t="shared" si="44"/>
        <v>-3.8</v>
      </c>
      <c r="Q267" s="63">
        <f t="shared" si="46"/>
        <v>0</v>
      </c>
      <c r="R267" s="60" t="str">
        <f t="shared" si="45"/>
        <v>Do 05:00</v>
      </c>
      <c r="S267" s="58">
        <f t="shared" si="47"/>
        <v>37.216000000000001</v>
      </c>
    </row>
    <row r="268" spans="4:19" ht="15" customHeight="1" x14ac:dyDescent="0.35">
      <c r="D268" s="59">
        <v>247</v>
      </c>
      <c r="E268" s="59">
        <f t="shared" si="36"/>
        <v>11</v>
      </c>
      <c r="F268" s="59">
        <f t="shared" si="37"/>
        <v>4</v>
      </c>
      <c r="G268" s="60" t="str">
        <f t="shared" si="38"/>
        <v>Do</v>
      </c>
      <c r="H268" s="61">
        <f t="shared" si="39"/>
        <v>6</v>
      </c>
      <c r="I268" s="60" t="str">
        <f t="shared" si="40"/>
        <v>Werktag</v>
      </c>
      <c r="J268" s="39">
        <f>INDEX(Zapfprofil!$B$61:$H$61,F268)</f>
        <v>0.19</v>
      </c>
      <c r="K268" s="39">
        <f>INDEX(Zapfprofil!$AL$19:$AN$42,H268+1,IF(F268&lt;=5,1,IF(F268=6,2,3)))</f>
        <v>0.02</v>
      </c>
      <c r="L268" s="62">
        <f t="shared" si="41"/>
        <v>1.6334102400000001</v>
      </c>
      <c r="M268" s="62">
        <f>Eingaben!$B$29</f>
        <v>0.2</v>
      </c>
      <c r="N268" s="62">
        <f t="shared" si="42"/>
        <v>1.8334102400000001</v>
      </c>
      <c r="O268" s="62">
        <f t="shared" si="43"/>
        <v>4</v>
      </c>
      <c r="P268" s="62">
        <f t="shared" si="44"/>
        <v>-2.1665897599999999</v>
      </c>
      <c r="Q268" s="63">
        <f t="shared" si="46"/>
        <v>0</v>
      </c>
      <c r="R268" s="60" t="str">
        <f t="shared" si="45"/>
        <v>Do 06:00</v>
      </c>
      <c r="S268" s="58">
        <f t="shared" si="47"/>
        <v>37.216000000000001</v>
      </c>
    </row>
    <row r="269" spans="4:19" ht="15" customHeight="1" x14ac:dyDescent="0.35">
      <c r="D269" s="59">
        <v>248</v>
      </c>
      <c r="E269" s="59">
        <f t="shared" si="36"/>
        <v>11</v>
      </c>
      <c r="F269" s="59">
        <f t="shared" si="37"/>
        <v>4</v>
      </c>
      <c r="G269" s="60" t="str">
        <f t="shared" si="38"/>
        <v>Do</v>
      </c>
      <c r="H269" s="61">
        <f t="shared" si="39"/>
        <v>7</v>
      </c>
      <c r="I269" s="60" t="str">
        <f t="shared" si="40"/>
        <v>Werktag</v>
      </c>
      <c r="J269" s="39">
        <f>INDEX(Zapfprofil!$B$61:$H$61,F269)</f>
        <v>0.19</v>
      </c>
      <c r="K269" s="39">
        <f>INDEX(Zapfprofil!$AL$19:$AN$42,H269+1,IF(F269&lt;=5,1,IF(F269=6,2,3)))</f>
        <v>0.06</v>
      </c>
      <c r="L269" s="62">
        <f t="shared" si="41"/>
        <v>4.9002307199999997</v>
      </c>
      <c r="M269" s="62">
        <f>Eingaben!$B$29</f>
        <v>0.2</v>
      </c>
      <c r="N269" s="62">
        <f t="shared" si="42"/>
        <v>5.1002307199999999</v>
      </c>
      <c r="O269" s="62">
        <f t="shared" si="43"/>
        <v>4</v>
      </c>
      <c r="P269" s="62">
        <f t="shared" si="44"/>
        <v>1.1002307199999999</v>
      </c>
      <c r="Q269" s="63">
        <f t="shared" si="46"/>
        <v>1.1002307199999999</v>
      </c>
      <c r="R269" s="60" t="str">
        <f t="shared" si="45"/>
        <v>Do 07:00</v>
      </c>
      <c r="S269" s="58">
        <f t="shared" si="47"/>
        <v>36.115769280000002</v>
      </c>
    </row>
    <row r="270" spans="4:19" ht="15" customHeight="1" x14ac:dyDescent="0.35">
      <c r="D270" s="59">
        <v>249</v>
      </c>
      <c r="E270" s="59">
        <f t="shared" si="36"/>
        <v>11</v>
      </c>
      <c r="F270" s="59">
        <f t="shared" si="37"/>
        <v>4</v>
      </c>
      <c r="G270" s="60" t="str">
        <f t="shared" si="38"/>
        <v>Do</v>
      </c>
      <c r="H270" s="61">
        <f t="shared" si="39"/>
        <v>8</v>
      </c>
      <c r="I270" s="60" t="str">
        <f t="shared" si="40"/>
        <v>Werktag</v>
      </c>
      <c r="J270" s="39">
        <f>INDEX(Zapfprofil!$B$61:$H$61,F270)</f>
        <v>0.19</v>
      </c>
      <c r="K270" s="39">
        <f>INDEX(Zapfprofil!$AL$19:$AN$42,H270+1,IF(F270&lt;=5,1,IF(F270=6,2,3)))</f>
        <v>0.08</v>
      </c>
      <c r="L270" s="62">
        <f t="shared" si="41"/>
        <v>6.5336409600000005</v>
      </c>
      <c r="M270" s="62">
        <f>Eingaben!$B$29</f>
        <v>0.2</v>
      </c>
      <c r="N270" s="62">
        <f t="shared" si="42"/>
        <v>6.7336409600000007</v>
      </c>
      <c r="O270" s="62">
        <f t="shared" si="43"/>
        <v>4</v>
      </c>
      <c r="P270" s="62">
        <f t="shared" si="44"/>
        <v>2.7336409600000007</v>
      </c>
      <c r="Q270" s="63">
        <f t="shared" si="46"/>
        <v>3.8338716800000006</v>
      </c>
      <c r="R270" s="60" t="str">
        <f t="shared" si="45"/>
        <v>Do 08:00</v>
      </c>
      <c r="S270" s="58">
        <f t="shared" si="47"/>
        <v>33.38212832</v>
      </c>
    </row>
    <row r="271" spans="4:19" ht="15" customHeight="1" x14ac:dyDescent="0.35">
      <c r="D271" s="59">
        <v>250</v>
      </c>
      <c r="E271" s="59">
        <f t="shared" si="36"/>
        <v>11</v>
      </c>
      <c r="F271" s="59">
        <f t="shared" si="37"/>
        <v>4</v>
      </c>
      <c r="G271" s="60" t="str">
        <f t="shared" si="38"/>
        <v>Do</v>
      </c>
      <c r="H271" s="61">
        <f t="shared" si="39"/>
        <v>9</v>
      </c>
      <c r="I271" s="60" t="str">
        <f t="shared" si="40"/>
        <v>Werktag</v>
      </c>
      <c r="J271" s="39">
        <f>INDEX(Zapfprofil!$B$61:$H$61,F271)</f>
        <v>0.19</v>
      </c>
      <c r="K271" s="39">
        <f>INDEX(Zapfprofil!$AL$19:$AN$42,H271+1,IF(F271&lt;=5,1,IF(F271=6,2,3)))</f>
        <v>8.5000000000000006E-2</v>
      </c>
      <c r="L271" s="62">
        <f t="shared" si="41"/>
        <v>6.9419935200000005</v>
      </c>
      <c r="M271" s="62">
        <f>Eingaben!$B$29</f>
        <v>0.2</v>
      </c>
      <c r="N271" s="62">
        <f t="shared" si="42"/>
        <v>7.1419935200000007</v>
      </c>
      <c r="O271" s="62">
        <f t="shared" si="43"/>
        <v>4</v>
      </c>
      <c r="P271" s="62">
        <f t="shared" si="44"/>
        <v>3.1419935200000007</v>
      </c>
      <c r="Q271" s="63">
        <f t="shared" si="46"/>
        <v>6.9758652000000012</v>
      </c>
      <c r="R271" s="60" t="str">
        <f t="shared" si="45"/>
        <v>Do 09:00</v>
      </c>
      <c r="S271" s="58">
        <f t="shared" si="47"/>
        <v>30.2401348</v>
      </c>
    </row>
    <row r="272" spans="4:19" ht="15" customHeight="1" x14ac:dyDescent="0.35">
      <c r="D272" s="59">
        <v>251</v>
      </c>
      <c r="E272" s="59">
        <f t="shared" si="36"/>
        <v>11</v>
      </c>
      <c r="F272" s="59">
        <f t="shared" si="37"/>
        <v>4</v>
      </c>
      <c r="G272" s="60" t="str">
        <f t="shared" si="38"/>
        <v>Do</v>
      </c>
      <c r="H272" s="61">
        <f t="shared" si="39"/>
        <v>10</v>
      </c>
      <c r="I272" s="60" t="str">
        <f t="shared" si="40"/>
        <v>Werktag</v>
      </c>
      <c r="J272" s="39">
        <f>INDEX(Zapfprofil!$B$61:$H$61,F272)</f>
        <v>0.19</v>
      </c>
      <c r="K272" s="39">
        <f>INDEX(Zapfprofil!$AL$19:$AN$42,H272+1,IF(F272&lt;=5,1,IF(F272=6,2,3)))</f>
        <v>8.5000000000000006E-2</v>
      </c>
      <c r="L272" s="62">
        <f t="shared" si="41"/>
        <v>6.9419935200000005</v>
      </c>
      <c r="M272" s="62">
        <f>Eingaben!$B$29</f>
        <v>0.2</v>
      </c>
      <c r="N272" s="62">
        <f t="shared" si="42"/>
        <v>7.1419935200000007</v>
      </c>
      <c r="O272" s="62">
        <f t="shared" si="43"/>
        <v>4</v>
      </c>
      <c r="P272" s="62">
        <f t="shared" si="44"/>
        <v>3.1419935200000007</v>
      </c>
      <c r="Q272" s="63">
        <f t="shared" si="46"/>
        <v>10.117858720000001</v>
      </c>
      <c r="R272" s="60" t="str">
        <f t="shared" si="45"/>
        <v>Do 10:00</v>
      </c>
      <c r="S272" s="58">
        <f t="shared" si="47"/>
        <v>27.09814128</v>
      </c>
    </row>
    <row r="273" spans="4:19" ht="15" customHeight="1" x14ac:dyDescent="0.35">
      <c r="D273" s="59">
        <v>252</v>
      </c>
      <c r="E273" s="59">
        <f t="shared" si="36"/>
        <v>11</v>
      </c>
      <c r="F273" s="59">
        <f t="shared" si="37"/>
        <v>4</v>
      </c>
      <c r="G273" s="60" t="str">
        <f t="shared" si="38"/>
        <v>Do</v>
      </c>
      <c r="H273" s="61">
        <f t="shared" si="39"/>
        <v>11</v>
      </c>
      <c r="I273" s="60" t="str">
        <f t="shared" si="40"/>
        <v>Werktag</v>
      </c>
      <c r="J273" s="39">
        <f>INDEX(Zapfprofil!$B$61:$H$61,F273)</f>
        <v>0.19</v>
      </c>
      <c r="K273" s="39">
        <f>INDEX(Zapfprofil!$AL$19:$AN$42,H273+1,IF(F273&lt;=5,1,IF(F273=6,2,3)))</f>
        <v>0.09</v>
      </c>
      <c r="L273" s="62">
        <f t="shared" si="41"/>
        <v>7.3503460799999996</v>
      </c>
      <c r="M273" s="62">
        <f>Eingaben!$B$29</f>
        <v>0.2</v>
      </c>
      <c r="N273" s="62">
        <f t="shared" si="42"/>
        <v>7.5503460799999997</v>
      </c>
      <c r="O273" s="62">
        <f t="shared" si="43"/>
        <v>4</v>
      </c>
      <c r="P273" s="62">
        <f t="shared" si="44"/>
        <v>3.5503460799999997</v>
      </c>
      <c r="Q273" s="63">
        <f t="shared" si="46"/>
        <v>13.668204800000002</v>
      </c>
      <c r="R273" s="60" t="str">
        <f t="shared" si="45"/>
        <v>Do 11:00</v>
      </c>
      <c r="S273" s="58">
        <f t="shared" si="47"/>
        <v>23.547795199999999</v>
      </c>
    </row>
    <row r="274" spans="4:19" ht="15" customHeight="1" x14ac:dyDescent="0.35">
      <c r="D274" s="59">
        <v>253</v>
      </c>
      <c r="E274" s="59">
        <f t="shared" si="36"/>
        <v>11</v>
      </c>
      <c r="F274" s="59">
        <f t="shared" si="37"/>
        <v>4</v>
      </c>
      <c r="G274" s="60" t="str">
        <f t="shared" si="38"/>
        <v>Do</v>
      </c>
      <c r="H274" s="61">
        <f t="shared" si="39"/>
        <v>12</v>
      </c>
      <c r="I274" s="60" t="str">
        <f t="shared" si="40"/>
        <v>Werktag</v>
      </c>
      <c r="J274" s="39">
        <f>INDEX(Zapfprofil!$B$61:$H$61,F274)</f>
        <v>0.19</v>
      </c>
      <c r="K274" s="39">
        <f>INDEX(Zapfprofil!$AL$19:$AN$42,H274+1,IF(F274&lt;=5,1,IF(F274=6,2,3)))</f>
        <v>0.1</v>
      </c>
      <c r="L274" s="62">
        <f t="shared" si="41"/>
        <v>8.1670512000000013</v>
      </c>
      <c r="M274" s="62">
        <f>Eingaben!$B$29</f>
        <v>0.2</v>
      </c>
      <c r="N274" s="62">
        <f t="shared" si="42"/>
        <v>8.3670512000000006</v>
      </c>
      <c r="O274" s="62">
        <f t="shared" si="43"/>
        <v>4</v>
      </c>
      <c r="P274" s="62">
        <f t="shared" si="44"/>
        <v>4.3670512000000006</v>
      </c>
      <c r="Q274" s="63">
        <f t="shared" si="46"/>
        <v>18.035256000000004</v>
      </c>
      <c r="R274" s="60" t="str">
        <f t="shared" si="45"/>
        <v>Do 12:00</v>
      </c>
      <c r="S274" s="58">
        <f t="shared" si="47"/>
        <v>19.180743999999997</v>
      </c>
    </row>
    <row r="275" spans="4:19" ht="15" customHeight="1" x14ac:dyDescent="0.35">
      <c r="D275" s="59">
        <v>254</v>
      </c>
      <c r="E275" s="59">
        <f t="shared" si="36"/>
        <v>11</v>
      </c>
      <c r="F275" s="59">
        <f t="shared" si="37"/>
        <v>4</v>
      </c>
      <c r="G275" s="60" t="str">
        <f t="shared" si="38"/>
        <v>Do</v>
      </c>
      <c r="H275" s="61">
        <f t="shared" si="39"/>
        <v>13</v>
      </c>
      <c r="I275" s="60" t="str">
        <f t="shared" si="40"/>
        <v>Werktag</v>
      </c>
      <c r="J275" s="39">
        <f>INDEX(Zapfprofil!$B$61:$H$61,F275)</f>
        <v>0.19</v>
      </c>
      <c r="K275" s="39">
        <f>INDEX(Zapfprofil!$AL$19:$AN$42,H275+1,IF(F275&lt;=5,1,IF(F275=6,2,3)))</f>
        <v>9.5000000000000001E-2</v>
      </c>
      <c r="L275" s="62">
        <f t="shared" si="41"/>
        <v>7.7586986400000004</v>
      </c>
      <c r="M275" s="62">
        <f>Eingaben!$B$29</f>
        <v>0.2</v>
      </c>
      <c r="N275" s="62">
        <f t="shared" si="42"/>
        <v>7.9586986400000006</v>
      </c>
      <c r="O275" s="62">
        <f t="shared" si="43"/>
        <v>4</v>
      </c>
      <c r="P275" s="62">
        <f t="shared" si="44"/>
        <v>3.9586986400000006</v>
      </c>
      <c r="Q275" s="63">
        <f t="shared" si="46"/>
        <v>21.993954640000005</v>
      </c>
      <c r="R275" s="60" t="str">
        <f t="shared" si="45"/>
        <v>Do 13:00</v>
      </c>
      <c r="S275" s="58">
        <f t="shared" si="47"/>
        <v>15.222045359999996</v>
      </c>
    </row>
    <row r="276" spans="4:19" ht="15" customHeight="1" x14ac:dyDescent="0.35">
      <c r="D276" s="59">
        <v>255</v>
      </c>
      <c r="E276" s="59">
        <f t="shared" si="36"/>
        <v>11</v>
      </c>
      <c r="F276" s="59">
        <f t="shared" si="37"/>
        <v>4</v>
      </c>
      <c r="G276" s="60" t="str">
        <f t="shared" si="38"/>
        <v>Do</v>
      </c>
      <c r="H276" s="61">
        <f t="shared" si="39"/>
        <v>14</v>
      </c>
      <c r="I276" s="60" t="str">
        <f t="shared" si="40"/>
        <v>Werktag</v>
      </c>
      <c r="J276" s="39">
        <f>INDEX(Zapfprofil!$B$61:$H$61,F276)</f>
        <v>0.19</v>
      </c>
      <c r="K276" s="39">
        <f>INDEX(Zapfprofil!$AL$19:$AN$42,H276+1,IF(F276&lt;=5,1,IF(F276=6,2,3)))</f>
        <v>8.5000000000000006E-2</v>
      </c>
      <c r="L276" s="62">
        <f t="shared" si="41"/>
        <v>6.9419935200000005</v>
      </c>
      <c r="M276" s="62">
        <f>Eingaben!$B$29</f>
        <v>0.2</v>
      </c>
      <c r="N276" s="62">
        <f t="shared" si="42"/>
        <v>7.1419935200000007</v>
      </c>
      <c r="O276" s="62">
        <f t="shared" si="43"/>
        <v>4</v>
      </c>
      <c r="P276" s="62">
        <f t="shared" si="44"/>
        <v>3.1419935200000007</v>
      </c>
      <c r="Q276" s="63">
        <f t="shared" si="46"/>
        <v>25.135948160000005</v>
      </c>
      <c r="R276" s="60" t="str">
        <f t="shared" si="45"/>
        <v>Do 14:00</v>
      </c>
      <c r="S276" s="58">
        <f t="shared" si="47"/>
        <v>12.080051839999996</v>
      </c>
    </row>
    <row r="277" spans="4:19" ht="15" customHeight="1" x14ac:dyDescent="0.35">
      <c r="D277" s="59">
        <v>256</v>
      </c>
      <c r="E277" s="59">
        <f t="shared" si="36"/>
        <v>11</v>
      </c>
      <c r="F277" s="59">
        <f t="shared" si="37"/>
        <v>4</v>
      </c>
      <c r="G277" s="60" t="str">
        <f t="shared" si="38"/>
        <v>Do</v>
      </c>
      <c r="H277" s="61">
        <f t="shared" si="39"/>
        <v>15</v>
      </c>
      <c r="I277" s="60" t="str">
        <f t="shared" si="40"/>
        <v>Werktag</v>
      </c>
      <c r="J277" s="39">
        <f>INDEX(Zapfprofil!$B$61:$H$61,F277)</f>
        <v>0.19</v>
      </c>
      <c r="K277" s="39">
        <f>INDEX(Zapfprofil!$AL$19:$AN$42,H277+1,IF(F277&lt;=5,1,IF(F277=6,2,3)))</f>
        <v>0.08</v>
      </c>
      <c r="L277" s="62">
        <f t="shared" si="41"/>
        <v>6.5336409600000005</v>
      </c>
      <c r="M277" s="62">
        <f>Eingaben!$B$29</f>
        <v>0.2</v>
      </c>
      <c r="N277" s="62">
        <f t="shared" si="42"/>
        <v>6.7336409600000007</v>
      </c>
      <c r="O277" s="62">
        <f t="shared" si="43"/>
        <v>4</v>
      </c>
      <c r="P277" s="62">
        <f t="shared" si="44"/>
        <v>2.7336409600000007</v>
      </c>
      <c r="Q277" s="63">
        <f t="shared" si="46"/>
        <v>27.869589120000008</v>
      </c>
      <c r="R277" s="60" t="str">
        <f t="shared" si="45"/>
        <v>Do 15:00</v>
      </c>
      <c r="S277" s="58">
        <f t="shared" si="47"/>
        <v>9.3464108799999934</v>
      </c>
    </row>
    <row r="278" spans="4:19" ht="15" customHeight="1" x14ac:dyDescent="0.35">
      <c r="D278" s="59">
        <v>257</v>
      </c>
      <c r="E278" s="59">
        <f t="shared" ref="E278:E341" si="48">INT((D278-1)/24)+1</f>
        <v>11</v>
      </c>
      <c r="F278" s="59">
        <f t="shared" ref="F278:F341" si="49">MOD(E278-1,7)+1</f>
        <v>4</v>
      </c>
      <c r="G278" s="60" t="str">
        <f t="shared" ref="G278:G341" si="50">CHOOSE(F278,"Mo","Di","Mi","Do","Fr","Sa","So")</f>
        <v>Do</v>
      </c>
      <c r="H278" s="61">
        <f t="shared" ref="H278:H341" si="51">MOD(D278-1,24)</f>
        <v>16</v>
      </c>
      <c r="I278" s="60" t="str">
        <f t="shared" ref="I278:I341" si="52">IF(F278&lt;=5,"Werktag",IF(F278=6,"Samstag","Sonntag"))</f>
        <v>Werktag</v>
      </c>
      <c r="J278" s="39">
        <f>INDEX(Zapfprofil!$B$61:$H$61,F278)</f>
        <v>0.19</v>
      </c>
      <c r="K278" s="39">
        <f>INDEX(Zapfprofil!$AL$19:$AN$42,H278+1,IF(F278&lt;=5,1,IF(F278=6,2,3)))</f>
        <v>7.4999999999999997E-2</v>
      </c>
      <c r="L278" s="62">
        <f t="shared" ref="L278:L341" si="53">$B$17*J278*K278*$B$16</f>
        <v>6.1252883999999996</v>
      </c>
      <c r="M278" s="62">
        <f>Eingaben!$B$29</f>
        <v>0.2</v>
      </c>
      <c r="N278" s="62">
        <f t="shared" ref="N278:N341" si="54">L278+M278</f>
        <v>6.3252883999999998</v>
      </c>
      <c r="O278" s="62">
        <f t="shared" ref="O278:O341" si="55">$B$12</f>
        <v>4</v>
      </c>
      <c r="P278" s="62">
        <f t="shared" ref="P278:P341" si="56">N278-O278</f>
        <v>2.3252883999999998</v>
      </c>
      <c r="Q278" s="63">
        <f t="shared" si="46"/>
        <v>30.194877520000006</v>
      </c>
      <c r="R278" s="60" t="str">
        <f t="shared" ref="R278:R341" si="57">G278&amp;" "&amp;RIGHT("0"&amp;H278,2)&amp;":00"</f>
        <v>Do 16:00</v>
      </c>
      <c r="S278" s="58">
        <f t="shared" si="47"/>
        <v>7.0211224799999954</v>
      </c>
    </row>
    <row r="279" spans="4:19" ht="15" customHeight="1" x14ac:dyDescent="0.35">
      <c r="D279" s="59">
        <v>258</v>
      </c>
      <c r="E279" s="59">
        <f t="shared" si="48"/>
        <v>11</v>
      </c>
      <c r="F279" s="59">
        <f t="shared" si="49"/>
        <v>4</v>
      </c>
      <c r="G279" s="60" t="str">
        <f t="shared" si="50"/>
        <v>Do</v>
      </c>
      <c r="H279" s="61">
        <f t="shared" si="51"/>
        <v>17</v>
      </c>
      <c r="I279" s="60" t="str">
        <f t="shared" si="52"/>
        <v>Werktag</v>
      </c>
      <c r="J279" s="39">
        <f>INDEX(Zapfprofil!$B$61:$H$61,F279)</f>
        <v>0.19</v>
      </c>
      <c r="K279" s="39">
        <f>INDEX(Zapfprofil!$AL$19:$AN$42,H279+1,IF(F279&lt;=5,1,IF(F279=6,2,3)))</f>
        <v>0.06</v>
      </c>
      <c r="L279" s="62">
        <f t="shared" si="53"/>
        <v>4.9002307199999997</v>
      </c>
      <c r="M279" s="62">
        <f>Eingaben!$B$29</f>
        <v>0.2</v>
      </c>
      <c r="N279" s="62">
        <f t="shared" si="54"/>
        <v>5.1002307199999999</v>
      </c>
      <c r="O279" s="62">
        <f t="shared" si="55"/>
        <v>4</v>
      </c>
      <c r="P279" s="62">
        <f t="shared" si="56"/>
        <v>1.1002307199999999</v>
      </c>
      <c r="Q279" s="63">
        <f t="shared" ref="Q279:Q342" si="58">MAX(0,Q278+P279)</f>
        <v>31.295108240000005</v>
      </c>
      <c r="R279" s="60" t="str">
        <f t="shared" si="57"/>
        <v>Do 17:00</v>
      </c>
      <c r="S279" s="58">
        <f t="shared" ref="S279:S342" si="59">MAX(0,$B$419-Q279)</f>
        <v>5.9208917599999964</v>
      </c>
    </row>
    <row r="280" spans="4:19" ht="15" customHeight="1" x14ac:dyDescent="0.35">
      <c r="D280" s="59">
        <v>259</v>
      </c>
      <c r="E280" s="59">
        <f t="shared" si="48"/>
        <v>11</v>
      </c>
      <c r="F280" s="59">
        <f t="shared" si="49"/>
        <v>4</v>
      </c>
      <c r="G280" s="60" t="str">
        <f t="shared" si="50"/>
        <v>Do</v>
      </c>
      <c r="H280" s="61">
        <f t="shared" si="51"/>
        <v>18</v>
      </c>
      <c r="I280" s="60" t="str">
        <f t="shared" si="52"/>
        <v>Werktag</v>
      </c>
      <c r="J280" s="39">
        <f>INDEX(Zapfprofil!$B$61:$H$61,F280)</f>
        <v>0.19</v>
      </c>
      <c r="K280" s="39">
        <f>INDEX(Zapfprofil!$AL$19:$AN$42,H280+1,IF(F280&lt;=5,1,IF(F280=6,2,3)))</f>
        <v>4.4999999999999998E-2</v>
      </c>
      <c r="L280" s="62">
        <f t="shared" si="53"/>
        <v>3.6751730399999998</v>
      </c>
      <c r="M280" s="62">
        <f>Eingaben!$B$29</f>
        <v>0.2</v>
      </c>
      <c r="N280" s="62">
        <f t="shared" si="54"/>
        <v>3.87517304</v>
      </c>
      <c r="O280" s="62">
        <f t="shared" si="55"/>
        <v>4</v>
      </c>
      <c r="P280" s="62">
        <f t="shared" si="56"/>
        <v>-0.12482696000000004</v>
      </c>
      <c r="Q280" s="63">
        <f t="shared" si="58"/>
        <v>31.170281280000005</v>
      </c>
      <c r="R280" s="60" t="str">
        <f t="shared" si="57"/>
        <v>Do 18:00</v>
      </c>
      <c r="S280" s="58">
        <f t="shared" si="59"/>
        <v>6.0457187199999964</v>
      </c>
    </row>
    <row r="281" spans="4:19" ht="15" customHeight="1" x14ac:dyDescent="0.35">
      <c r="D281" s="59">
        <v>260</v>
      </c>
      <c r="E281" s="59">
        <f t="shared" si="48"/>
        <v>11</v>
      </c>
      <c r="F281" s="59">
        <f t="shared" si="49"/>
        <v>4</v>
      </c>
      <c r="G281" s="60" t="str">
        <f t="shared" si="50"/>
        <v>Do</v>
      </c>
      <c r="H281" s="61">
        <f t="shared" si="51"/>
        <v>19</v>
      </c>
      <c r="I281" s="60" t="str">
        <f t="shared" si="52"/>
        <v>Werktag</v>
      </c>
      <c r="J281" s="39">
        <f>INDEX(Zapfprofil!$B$61:$H$61,F281)</f>
        <v>0.19</v>
      </c>
      <c r="K281" s="39">
        <f>INDEX(Zapfprofil!$AL$19:$AN$42,H281+1,IF(F281&lt;=5,1,IF(F281=6,2,3)))</f>
        <v>2.5000000000000001E-2</v>
      </c>
      <c r="L281" s="62">
        <f t="shared" si="53"/>
        <v>2.0417628000000003</v>
      </c>
      <c r="M281" s="62">
        <f>Eingaben!$B$29</f>
        <v>0.2</v>
      </c>
      <c r="N281" s="62">
        <f t="shared" si="54"/>
        <v>2.2417628000000005</v>
      </c>
      <c r="O281" s="62">
        <f t="shared" si="55"/>
        <v>4</v>
      </c>
      <c r="P281" s="62">
        <f t="shared" si="56"/>
        <v>-1.7582371999999995</v>
      </c>
      <c r="Q281" s="63">
        <f t="shared" si="58"/>
        <v>29.412044080000005</v>
      </c>
      <c r="R281" s="60" t="str">
        <f t="shared" si="57"/>
        <v>Do 19:00</v>
      </c>
      <c r="S281" s="58">
        <f t="shared" si="59"/>
        <v>7.8039559199999964</v>
      </c>
    </row>
    <row r="282" spans="4:19" ht="15" customHeight="1" x14ac:dyDescent="0.35">
      <c r="D282" s="59">
        <v>261</v>
      </c>
      <c r="E282" s="59">
        <f t="shared" si="48"/>
        <v>11</v>
      </c>
      <c r="F282" s="59">
        <f t="shared" si="49"/>
        <v>4</v>
      </c>
      <c r="G282" s="60" t="str">
        <f t="shared" si="50"/>
        <v>Do</v>
      </c>
      <c r="H282" s="61">
        <f t="shared" si="51"/>
        <v>20</v>
      </c>
      <c r="I282" s="60" t="str">
        <f t="shared" si="52"/>
        <v>Werktag</v>
      </c>
      <c r="J282" s="39">
        <f>INDEX(Zapfprofil!$B$61:$H$61,F282)</f>
        <v>0.19</v>
      </c>
      <c r="K282" s="39">
        <f>INDEX(Zapfprofil!$AL$19:$AN$42,H282+1,IF(F282&lt;=5,1,IF(F282=6,2,3)))</f>
        <v>1.4999999999999999E-2</v>
      </c>
      <c r="L282" s="62">
        <f t="shared" si="53"/>
        <v>1.2250576799999999</v>
      </c>
      <c r="M282" s="62">
        <f>Eingaben!$B$29</f>
        <v>0.2</v>
      </c>
      <c r="N282" s="62">
        <f t="shared" si="54"/>
        <v>1.4250576799999999</v>
      </c>
      <c r="O282" s="62">
        <f t="shared" si="55"/>
        <v>4</v>
      </c>
      <c r="P282" s="62">
        <f t="shared" si="56"/>
        <v>-2.5749423199999999</v>
      </c>
      <c r="Q282" s="63">
        <f t="shared" si="58"/>
        <v>26.837101760000003</v>
      </c>
      <c r="R282" s="60" t="str">
        <f t="shared" si="57"/>
        <v>Do 20:00</v>
      </c>
      <c r="S282" s="58">
        <f t="shared" si="59"/>
        <v>10.378898239999998</v>
      </c>
    </row>
    <row r="283" spans="4:19" ht="15" customHeight="1" x14ac:dyDescent="0.35">
      <c r="D283" s="59">
        <v>262</v>
      </c>
      <c r="E283" s="59">
        <f t="shared" si="48"/>
        <v>11</v>
      </c>
      <c r="F283" s="59">
        <f t="shared" si="49"/>
        <v>4</v>
      </c>
      <c r="G283" s="60" t="str">
        <f t="shared" si="50"/>
        <v>Do</v>
      </c>
      <c r="H283" s="61">
        <f t="shared" si="51"/>
        <v>21</v>
      </c>
      <c r="I283" s="60" t="str">
        <f t="shared" si="52"/>
        <v>Werktag</v>
      </c>
      <c r="J283" s="39">
        <f>INDEX(Zapfprofil!$B$61:$H$61,F283)</f>
        <v>0.19</v>
      </c>
      <c r="K283" s="39">
        <f>INDEX(Zapfprofil!$AL$19:$AN$42,H283+1,IF(F283&lt;=5,1,IF(F283=6,2,3)))</f>
        <v>0</v>
      </c>
      <c r="L283" s="62">
        <f t="shared" si="53"/>
        <v>0</v>
      </c>
      <c r="M283" s="62">
        <f>Eingaben!$B$29</f>
        <v>0.2</v>
      </c>
      <c r="N283" s="62">
        <f t="shared" si="54"/>
        <v>0.2</v>
      </c>
      <c r="O283" s="62">
        <f t="shared" si="55"/>
        <v>4</v>
      </c>
      <c r="P283" s="62">
        <f t="shared" si="56"/>
        <v>-3.8</v>
      </c>
      <c r="Q283" s="63">
        <f t="shared" si="58"/>
        <v>23.037101760000002</v>
      </c>
      <c r="R283" s="60" t="str">
        <f t="shared" si="57"/>
        <v>Do 21:00</v>
      </c>
      <c r="S283" s="58">
        <f t="shared" si="59"/>
        <v>14.178898239999999</v>
      </c>
    </row>
    <row r="284" spans="4:19" ht="15" customHeight="1" x14ac:dyDescent="0.35">
      <c r="D284" s="59">
        <v>263</v>
      </c>
      <c r="E284" s="59">
        <f t="shared" si="48"/>
        <v>11</v>
      </c>
      <c r="F284" s="59">
        <f t="shared" si="49"/>
        <v>4</v>
      </c>
      <c r="G284" s="60" t="str">
        <f t="shared" si="50"/>
        <v>Do</v>
      </c>
      <c r="H284" s="61">
        <f t="shared" si="51"/>
        <v>22</v>
      </c>
      <c r="I284" s="60" t="str">
        <f t="shared" si="52"/>
        <v>Werktag</v>
      </c>
      <c r="J284" s="39">
        <f>INDEX(Zapfprofil!$B$61:$H$61,F284)</f>
        <v>0.19</v>
      </c>
      <c r="K284" s="39">
        <f>INDEX(Zapfprofil!$AL$19:$AN$42,H284+1,IF(F284&lt;=5,1,IF(F284=6,2,3)))</f>
        <v>0</v>
      </c>
      <c r="L284" s="62">
        <f t="shared" si="53"/>
        <v>0</v>
      </c>
      <c r="M284" s="62">
        <f>Eingaben!$B$29</f>
        <v>0.2</v>
      </c>
      <c r="N284" s="62">
        <f t="shared" si="54"/>
        <v>0.2</v>
      </c>
      <c r="O284" s="62">
        <f t="shared" si="55"/>
        <v>4</v>
      </c>
      <c r="P284" s="62">
        <f t="shared" si="56"/>
        <v>-3.8</v>
      </c>
      <c r="Q284" s="63">
        <f t="shared" si="58"/>
        <v>19.237101760000002</v>
      </c>
      <c r="R284" s="60" t="str">
        <f t="shared" si="57"/>
        <v>Do 22:00</v>
      </c>
      <c r="S284" s="58">
        <f t="shared" si="59"/>
        <v>17.978898239999999</v>
      </c>
    </row>
    <row r="285" spans="4:19" ht="15" customHeight="1" x14ac:dyDescent="0.35">
      <c r="D285" s="59">
        <v>264</v>
      </c>
      <c r="E285" s="59">
        <f t="shared" si="48"/>
        <v>11</v>
      </c>
      <c r="F285" s="59">
        <f t="shared" si="49"/>
        <v>4</v>
      </c>
      <c r="G285" s="60" t="str">
        <f t="shared" si="50"/>
        <v>Do</v>
      </c>
      <c r="H285" s="61">
        <f t="shared" si="51"/>
        <v>23</v>
      </c>
      <c r="I285" s="60" t="str">
        <f t="shared" si="52"/>
        <v>Werktag</v>
      </c>
      <c r="J285" s="39">
        <f>INDEX(Zapfprofil!$B$61:$H$61,F285)</f>
        <v>0.19</v>
      </c>
      <c r="K285" s="39">
        <f>INDEX(Zapfprofil!$AL$19:$AN$42,H285+1,IF(F285&lt;=5,1,IF(F285=6,2,3)))</f>
        <v>0</v>
      </c>
      <c r="L285" s="62">
        <f t="shared" si="53"/>
        <v>0</v>
      </c>
      <c r="M285" s="62">
        <f>Eingaben!$B$29</f>
        <v>0.2</v>
      </c>
      <c r="N285" s="62">
        <f t="shared" si="54"/>
        <v>0.2</v>
      </c>
      <c r="O285" s="62">
        <f t="shared" si="55"/>
        <v>4</v>
      </c>
      <c r="P285" s="62">
        <f t="shared" si="56"/>
        <v>-3.8</v>
      </c>
      <c r="Q285" s="63">
        <f t="shared" si="58"/>
        <v>15.437101760000001</v>
      </c>
      <c r="R285" s="60" t="str">
        <f t="shared" si="57"/>
        <v>Do 23:00</v>
      </c>
      <c r="S285" s="58">
        <f t="shared" si="59"/>
        <v>21.77889824</v>
      </c>
    </row>
    <row r="286" spans="4:19" ht="15" customHeight="1" x14ac:dyDescent="0.35">
      <c r="D286" s="59">
        <v>265</v>
      </c>
      <c r="E286" s="59">
        <f t="shared" si="48"/>
        <v>12</v>
      </c>
      <c r="F286" s="59">
        <f t="shared" si="49"/>
        <v>5</v>
      </c>
      <c r="G286" s="60" t="str">
        <f t="shared" si="50"/>
        <v>Fr</v>
      </c>
      <c r="H286" s="61">
        <f t="shared" si="51"/>
        <v>0</v>
      </c>
      <c r="I286" s="60" t="str">
        <f t="shared" si="52"/>
        <v>Werktag</v>
      </c>
      <c r="J286" s="39">
        <f>INDEX(Zapfprofil!$B$61:$H$61,F286)</f>
        <v>0.19</v>
      </c>
      <c r="K286" s="39">
        <f>INDEX(Zapfprofil!$AL$19:$AN$42,H286+1,IF(F286&lt;=5,1,IF(F286=6,2,3)))</f>
        <v>0</v>
      </c>
      <c r="L286" s="62">
        <f t="shared" si="53"/>
        <v>0</v>
      </c>
      <c r="M286" s="62">
        <f>Eingaben!$B$29</f>
        <v>0.2</v>
      </c>
      <c r="N286" s="62">
        <f t="shared" si="54"/>
        <v>0.2</v>
      </c>
      <c r="O286" s="62">
        <f t="shared" si="55"/>
        <v>4</v>
      </c>
      <c r="P286" s="62">
        <f t="shared" si="56"/>
        <v>-3.8</v>
      </c>
      <c r="Q286" s="63">
        <f t="shared" si="58"/>
        <v>11.63710176</v>
      </c>
      <c r="R286" s="60" t="str">
        <f t="shared" si="57"/>
        <v>Fr 00:00</v>
      </c>
      <c r="S286" s="58">
        <f t="shared" si="59"/>
        <v>25.578898240000001</v>
      </c>
    </row>
    <row r="287" spans="4:19" ht="15" customHeight="1" x14ac:dyDescent="0.35">
      <c r="D287" s="59">
        <v>266</v>
      </c>
      <c r="E287" s="59">
        <f t="shared" si="48"/>
        <v>12</v>
      </c>
      <c r="F287" s="59">
        <f t="shared" si="49"/>
        <v>5</v>
      </c>
      <c r="G287" s="60" t="str">
        <f t="shared" si="50"/>
        <v>Fr</v>
      </c>
      <c r="H287" s="61">
        <f t="shared" si="51"/>
        <v>1</v>
      </c>
      <c r="I287" s="60" t="str">
        <f t="shared" si="52"/>
        <v>Werktag</v>
      </c>
      <c r="J287" s="39">
        <f>INDEX(Zapfprofil!$B$61:$H$61,F287)</f>
        <v>0.19</v>
      </c>
      <c r="K287" s="39">
        <f>INDEX(Zapfprofil!$AL$19:$AN$42,H287+1,IF(F287&lt;=5,1,IF(F287=6,2,3)))</f>
        <v>0</v>
      </c>
      <c r="L287" s="62">
        <f t="shared" si="53"/>
        <v>0</v>
      </c>
      <c r="M287" s="62">
        <f>Eingaben!$B$29</f>
        <v>0.2</v>
      </c>
      <c r="N287" s="62">
        <f t="shared" si="54"/>
        <v>0.2</v>
      </c>
      <c r="O287" s="62">
        <f t="shared" si="55"/>
        <v>4</v>
      </c>
      <c r="P287" s="62">
        <f t="shared" si="56"/>
        <v>-3.8</v>
      </c>
      <c r="Q287" s="63">
        <f t="shared" si="58"/>
        <v>7.8371017600000004</v>
      </c>
      <c r="R287" s="60" t="str">
        <f t="shared" si="57"/>
        <v>Fr 01:00</v>
      </c>
      <c r="S287" s="58">
        <f t="shared" si="59"/>
        <v>29.378898240000002</v>
      </c>
    </row>
    <row r="288" spans="4:19" ht="15" customHeight="1" x14ac:dyDescent="0.35">
      <c r="D288" s="59">
        <v>267</v>
      </c>
      <c r="E288" s="59">
        <f t="shared" si="48"/>
        <v>12</v>
      </c>
      <c r="F288" s="59">
        <f t="shared" si="49"/>
        <v>5</v>
      </c>
      <c r="G288" s="60" t="str">
        <f t="shared" si="50"/>
        <v>Fr</v>
      </c>
      <c r="H288" s="61">
        <f t="shared" si="51"/>
        <v>2</v>
      </c>
      <c r="I288" s="60" t="str">
        <f t="shared" si="52"/>
        <v>Werktag</v>
      </c>
      <c r="J288" s="39">
        <f>INDEX(Zapfprofil!$B$61:$H$61,F288)</f>
        <v>0.19</v>
      </c>
      <c r="K288" s="39">
        <f>INDEX(Zapfprofil!$AL$19:$AN$42,H288+1,IF(F288&lt;=5,1,IF(F288=6,2,3)))</f>
        <v>0</v>
      </c>
      <c r="L288" s="62">
        <f t="shared" si="53"/>
        <v>0</v>
      </c>
      <c r="M288" s="62">
        <f>Eingaben!$B$29</f>
        <v>0.2</v>
      </c>
      <c r="N288" s="62">
        <f t="shared" si="54"/>
        <v>0.2</v>
      </c>
      <c r="O288" s="62">
        <f t="shared" si="55"/>
        <v>4</v>
      </c>
      <c r="P288" s="62">
        <f t="shared" si="56"/>
        <v>-3.8</v>
      </c>
      <c r="Q288" s="63">
        <f t="shared" si="58"/>
        <v>4.0371017600000005</v>
      </c>
      <c r="R288" s="60" t="str">
        <f t="shared" si="57"/>
        <v>Fr 02:00</v>
      </c>
      <c r="S288" s="58">
        <f t="shared" si="59"/>
        <v>33.178898240000002</v>
      </c>
    </row>
    <row r="289" spans="4:19" ht="15" customHeight="1" x14ac:dyDescent="0.35">
      <c r="D289" s="59">
        <v>268</v>
      </c>
      <c r="E289" s="59">
        <f t="shared" si="48"/>
        <v>12</v>
      </c>
      <c r="F289" s="59">
        <f t="shared" si="49"/>
        <v>5</v>
      </c>
      <c r="G289" s="60" t="str">
        <f t="shared" si="50"/>
        <v>Fr</v>
      </c>
      <c r="H289" s="61">
        <f t="shared" si="51"/>
        <v>3</v>
      </c>
      <c r="I289" s="60" t="str">
        <f t="shared" si="52"/>
        <v>Werktag</v>
      </c>
      <c r="J289" s="39">
        <f>INDEX(Zapfprofil!$B$61:$H$61,F289)</f>
        <v>0.19</v>
      </c>
      <c r="K289" s="39">
        <f>INDEX(Zapfprofil!$AL$19:$AN$42,H289+1,IF(F289&lt;=5,1,IF(F289=6,2,3)))</f>
        <v>0</v>
      </c>
      <c r="L289" s="62">
        <f t="shared" si="53"/>
        <v>0</v>
      </c>
      <c r="M289" s="62">
        <f>Eingaben!$B$29</f>
        <v>0.2</v>
      </c>
      <c r="N289" s="62">
        <f t="shared" si="54"/>
        <v>0.2</v>
      </c>
      <c r="O289" s="62">
        <f t="shared" si="55"/>
        <v>4</v>
      </c>
      <c r="P289" s="62">
        <f t="shared" si="56"/>
        <v>-3.8</v>
      </c>
      <c r="Q289" s="63">
        <f t="shared" si="58"/>
        <v>0.23710176000000072</v>
      </c>
      <c r="R289" s="60" t="str">
        <f t="shared" si="57"/>
        <v>Fr 03:00</v>
      </c>
      <c r="S289" s="58">
        <f t="shared" si="59"/>
        <v>36.978898239999999</v>
      </c>
    </row>
    <row r="290" spans="4:19" ht="15" customHeight="1" x14ac:dyDescent="0.35">
      <c r="D290" s="59">
        <v>269</v>
      </c>
      <c r="E290" s="59">
        <f t="shared" si="48"/>
        <v>12</v>
      </c>
      <c r="F290" s="59">
        <f t="shared" si="49"/>
        <v>5</v>
      </c>
      <c r="G290" s="60" t="str">
        <f t="shared" si="50"/>
        <v>Fr</v>
      </c>
      <c r="H290" s="61">
        <f t="shared" si="51"/>
        <v>4</v>
      </c>
      <c r="I290" s="60" t="str">
        <f t="shared" si="52"/>
        <v>Werktag</v>
      </c>
      <c r="J290" s="39">
        <f>INDEX(Zapfprofil!$B$61:$H$61,F290)</f>
        <v>0.19</v>
      </c>
      <c r="K290" s="39">
        <f>INDEX(Zapfprofil!$AL$19:$AN$42,H290+1,IF(F290&lt;=5,1,IF(F290=6,2,3)))</f>
        <v>0</v>
      </c>
      <c r="L290" s="62">
        <f t="shared" si="53"/>
        <v>0</v>
      </c>
      <c r="M290" s="62">
        <f>Eingaben!$B$29</f>
        <v>0.2</v>
      </c>
      <c r="N290" s="62">
        <f t="shared" si="54"/>
        <v>0.2</v>
      </c>
      <c r="O290" s="62">
        <f t="shared" si="55"/>
        <v>4</v>
      </c>
      <c r="P290" s="62">
        <f t="shared" si="56"/>
        <v>-3.8</v>
      </c>
      <c r="Q290" s="63">
        <f t="shared" si="58"/>
        <v>0</v>
      </c>
      <c r="R290" s="60" t="str">
        <f t="shared" si="57"/>
        <v>Fr 04:00</v>
      </c>
      <c r="S290" s="58">
        <f t="shared" si="59"/>
        <v>37.216000000000001</v>
      </c>
    </row>
    <row r="291" spans="4:19" ht="15" customHeight="1" x14ac:dyDescent="0.35">
      <c r="D291" s="59">
        <v>270</v>
      </c>
      <c r="E291" s="59">
        <f t="shared" si="48"/>
        <v>12</v>
      </c>
      <c r="F291" s="59">
        <f t="shared" si="49"/>
        <v>5</v>
      </c>
      <c r="G291" s="60" t="str">
        <f t="shared" si="50"/>
        <v>Fr</v>
      </c>
      <c r="H291" s="61">
        <f t="shared" si="51"/>
        <v>5</v>
      </c>
      <c r="I291" s="60" t="str">
        <f t="shared" si="52"/>
        <v>Werktag</v>
      </c>
      <c r="J291" s="39">
        <f>INDEX(Zapfprofil!$B$61:$H$61,F291)</f>
        <v>0.19</v>
      </c>
      <c r="K291" s="39">
        <f>INDEX(Zapfprofil!$AL$19:$AN$42,H291+1,IF(F291&lt;=5,1,IF(F291=6,2,3)))</f>
        <v>0</v>
      </c>
      <c r="L291" s="62">
        <f t="shared" si="53"/>
        <v>0</v>
      </c>
      <c r="M291" s="62">
        <f>Eingaben!$B$29</f>
        <v>0.2</v>
      </c>
      <c r="N291" s="62">
        <f t="shared" si="54"/>
        <v>0.2</v>
      </c>
      <c r="O291" s="62">
        <f t="shared" si="55"/>
        <v>4</v>
      </c>
      <c r="P291" s="62">
        <f t="shared" si="56"/>
        <v>-3.8</v>
      </c>
      <c r="Q291" s="63">
        <f t="shared" si="58"/>
        <v>0</v>
      </c>
      <c r="R291" s="60" t="str">
        <f t="shared" si="57"/>
        <v>Fr 05:00</v>
      </c>
      <c r="S291" s="58">
        <f t="shared" si="59"/>
        <v>37.216000000000001</v>
      </c>
    </row>
    <row r="292" spans="4:19" ht="15" customHeight="1" x14ac:dyDescent="0.35">
      <c r="D292" s="59">
        <v>271</v>
      </c>
      <c r="E292" s="59">
        <f t="shared" si="48"/>
        <v>12</v>
      </c>
      <c r="F292" s="59">
        <f t="shared" si="49"/>
        <v>5</v>
      </c>
      <c r="G292" s="60" t="str">
        <f t="shared" si="50"/>
        <v>Fr</v>
      </c>
      <c r="H292" s="61">
        <f t="shared" si="51"/>
        <v>6</v>
      </c>
      <c r="I292" s="60" t="str">
        <f t="shared" si="52"/>
        <v>Werktag</v>
      </c>
      <c r="J292" s="39">
        <f>INDEX(Zapfprofil!$B$61:$H$61,F292)</f>
        <v>0.19</v>
      </c>
      <c r="K292" s="39">
        <f>INDEX(Zapfprofil!$AL$19:$AN$42,H292+1,IF(F292&lt;=5,1,IF(F292=6,2,3)))</f>
        <v>0.02</v>
      </c>
      <c r="L292" s="62">
        <f t="shared" si="53"/>
        <v>1.6334102400000001</v>
      </c>
      <c r="M292" s="62">
        <f>Eingaben!$B$29</f>
        <v>0.2</v>
      </c>
      <c r="N292" s="62">
        <f t="shared" si="54"/>
        <v>1.8334102400000001</v>
      </c>
      <c r="O292" s="62">
        <f t="shared" si="55"/>
        <v>4</v>
      </c>
      <c r="P292" s="62">
        <f t="shared" si="56"/>
        <v>-2.1665897599999999</v>
      </c>
      <c r="Q292" s="63">
        <f t="shared" si="58"/>
        <v>0</v>
      </c>
      <c r="R292" s="60" t="str">
        <f t="shared" si="57"/>
        <v>Fr 06:00</v>
      </c>
      <c r="S292" s="58">
        <f t="shared" si="59"/>
        <v>37.216000000000001</v>
      </c>
    </row>
    <row r="293" spans="4:19" ht="15" customHeight="1" x14ac:dyDescent="0.35">
      <c r="D293" s="59">
        <v>272</v>
      </c>
      <c r="E293" s="59">
        <f t="shared" si="48"/>
        <v>12</v>
      </c>
      <c r="F293" s="59">
        <f t="shared" si="49"/>
        <v>5</v>
      </c>
      <c r="G293" s="60" t="str">
        <f t="shared" si="50"/>
        <v>Fr</v>
      </c>
      <c r="H293" s="61">
        <f t="shared" si="51"/>
        <v>7</v>
      </c>
      <c r="I293" s="60" t="str">
        <f t="shared" si="52"/>
        <v>Werktag</v>
      </c>
      <c r="J293" s="39">
        <f>INDEX(Zapfprofil!$B$61:$H$61,F293)</f>
        <v>0.19</v>
      </c>
      <c r="K293" s="39">
        <f>INDEX(Zapfprofil!$AL$19:$AN$42,H293+1,IF(F293&lt;=5,1,IF(F293=6,2,3)))</f>
        <v>0.06</v>
      </c>
      <c r="L293" s="62">
        <f t="shared" si="53"/>
        <v>4.9002307199999997</v>
      </c>
      <c r="M293" s="62">
        <f>Eingaben!$B$29</f>
        <v>0.2</v>
      </c>
      <c r="N293" s="62">
        <f t="shared" si="54"/>
        <v>5.1002307199999999</v>
      </c>
      <c r="O293" s="62">
        <f t="shared" si="55"/>
        <v>4</v>
      </c>
      <c r="P293" s="62">
        <f t="shared" si="56"/>
        <v>1.1002307199999999</v>
      </c>
      <c r="Q293" s="63">
        <f t="shared" si="58"/>
        <v>1.1002307199999999</v>
      </c>
      <c r="R293" s="60" t="str">
        <f t="shared" si="57"/>
        <v>Fr 07:00</v>
      </c>
      <c r="S293" s="58">
        <f t="shared" si="59"/>
        <v>36.115769280000002</v>
      </c>
    </row>
    <row r="294" spans="4:19" ht="15" customHeight="1" x14ac:dyDescent="0.35">
      <c r="D294" s="59">
        <v>273</v>
      </c>
      <c r="E294" s="59">
        <f t="shared" si="48"/>
        <v>12</v>
      </c>
      <c r="F294" s="59">
        <f t="shared" si="49"/>
        <v>5</v>
      </c>
      <c r="G294" s="60" t="str">
        <f t="shared" si="50"/>
        <v>Fr</v>
      </c>
      <c r="H294" s="61">
        <f t="shared" si="51"/>
        <v>8</v>
      </c>
      <c r="I294" s="60" t="str">
        <f t="shared" si="52"/>
        <v>Werktag</v>
      </c>
      <c r="J294" s="39">
        <f>INDEX(Zapfprofil!$B$61:$H$61,F294)</f>
        <v>0.19</v>
      </c>
      <c r="K294" s="39">
        <f>INDEX(Zapfprofil!$AL$19:$AN$42,H294+1,IF(F294&lt;=5,1,IF(F294=6,2,3)))</f>
        <v>0.08</v>
      </c>
      <c r="L294" s="62">
        <f t="shared" si="53"/>
        <v>6.5336409600000005</v>
      </c>
      <c r="M294" s="62">
        <f>Eingaben!$B$29</f>
        <v>0.2</v>
      </c>
      <c r="N294" s="62">
        <f t="shared" si="54"/>
        <v>6.7336409600000007</v>
      </c>
      <c r="O294" s="62">
        <f t="shared" si="55"/>
        <v>4</v>
      </c>
      <c r="P294" s="62">
        <f t="shared" si="56"/>
        <v>2.7336409600000007</v>
      </c>
      <c r="Q294" s="63">
        <f t="shared" si="58"/>
        <v>3.8338716800000006</v>
      </c>
      <c r="R294" s="60" t="str">
        <f t="shared" si="57"/>
        <v>Fr 08:00</v>
      </c>
      <c r="S294" s="58">
        <f t="shared" si="59"/>
        <v>33.38212832</v>
      </c>
    </row>
    <row r="295" spans="4:19" ht="15" customHeight="1" x14ac:dyDescent="0.35">
      <c r="D295" s="59">
        <v>274</v>
      </c>
      <c r="E295" s="59">
        <f t="shared" si="48"/>
        <v>12</v>
      </c>
      <c r="F295" s="59">
        <f t="shared" si="49"/>
        <v>5</v>
      </c>
      <c r="G295" s="60" t="str">
        <f t="shared" si="50"/>
        <v>Fr</v>
      </c>
      <c r="H295" s="61">
        <f t="shared" si="51"/>
        <v>9</v>
      </c>
      <c r="I295" s="60" t="str">
        <f t="shared" si="52"/>
        <v>Werktag</v>
      </c>
      <c r="J295" s="39">
        <f>INDEX(Zapfprofil!$B$61:$H$61,F295)</f>
        <v>0.19</v>
      </c>
      <c r="K295" s="39">
        <f>INDEX(Zapfprofil!$AL$19:$AN$42,H295+1,IF(F295&lt;=5,1,IF(F295=6,2,3)))</f>
        <v>8.5000000000000006E-2</v>
      </c>
      <c r="L295" s="62">
        <f t="shared" si="53"/>
        <v>6.9419935200000005</v>
      </c>
      <c r="M295" s="62">
        <f>Eingaben!$B$29</f>
        <v>0.2</v>
      </c>
      <c r="N295" s="62">
        <f t="shared" si="54"/>
        <v>7.1419935200000007</v>
      </c>
      <c r="O295" s="62">
        <f t="shared" si="55"/>
        <v>4</v>
      </c>
      <c r="P295" s="62">
        <f t="shared" si="56"/>
        <v>3.1419935200000007</v>
      </c>
      <c r="Q295" s="63">
        <f t="shared" si="58"/>
        <v>6.9758652000000012</v>
      </c>
      <c r="R295" s="60" t="str">
        <f t="shared" si="57"/>
        <v>Fr 09:00</v>
      </c>
      <c r="S295" s="58">
        <f t="shared" si="59"/>
        <v>30.2401348</v>
      </c>
    </row>
    <row r="296" spans="4:19" ht="15" customHeight="1" x14ac:dyDescent="0.35">
      <c r="D296" s="59">
        <v>275</v>
      </c>
      <c r="E296" s="59">
        <f t="shared" si="48"/>
        <v>12</v>
      </c>
      <c r="F296" s="59">
        <f t="shared" si="49"/>
        <v>5</v>
      </c>
      <c r="G296" s="60" t="str">
        <f t="shared" si="50"/>
        <v>Fr</v>
      </c>
      <c r="H296" s="61">
        <f t="shared" si="51"/>
        <v>10</v>
      </c>
      <c r="I296" s="60" t="str">
        <f t="shared" si="52"/>
        <v>Werktag</v>
      </c>
      <c r="J296" s="39">
        <f>INDEX(Zapfprofil!$B$61:$H$61,F296)</f>
        <v>0.19</v>
      </c>
      <c r="K296" s="39">
        <f>INDEX(Zapfprofil!$AL$19:$AN$42,H296+1,IF(F296&lt;=5,1,IF(F296=6,2,3)))</f>
        <v>8.5000000000000006E-2</v>
      </c>
      <c r="L296" s="62">
        <f t="shared" si="53"/>
        <v>6.9419935200000005</v>
      </c>
      <c r="M296" s="62">
        <f>Eingaben!$B$29</f>
        <v>0.2</v>
      </c>
      <c r="N296" s="62">
        <f t="shared" si="54"/>
        <v>7.1419935200000007</v>
      </c>
      <c r="O296" s="62">
        <f t="shared" si="55"/>
        <v>4</v>
      </c>
      <c r="P296" s="62">
        <f t="shared" si="56"/>
        <v>3.1419935200000007</v>
      </c>
      <c r="Q296" s="63">
        <f t="shared" si="58"/>
        <v>10.117858720000001</v>
      </c>
      <c r="R296" s="60" t="str">
        <f t="shared" si="57"/>
        <v>Fr 10:00</v>
      </c>
      <c r="S296" s="58">
        <f t="shared" si="59"/>
        <v>27.09814128</v>
      </c>
    </row>
    <row r="297" spans="4:19" ht="15" customHeight="1" x14ac:dyDescent="0.35">
      <c r="D297" s="59">
        <v>276</v>
      </c>
      <c r="E297" s="59">
        <f t="shared" si="48"/>
        <v>12</v>
      </c>
      <c r="F297" s="59">
        <f t="shared" si="49"/>
        <v>5</v>
      </c>
      <c r="G297" s="60" t="str">
        <f t="shared" si="50"/>
        <v>Fr</v>
      </c>
      <c r="H297" s="61">
        <f t="shared" si="51"/>
        <v>11</v>
      </c>
      <c r="I297" s="60" t="str">
        <f t="shared" si="52"/>
        <v>Werktag</v>
      </c>
      <c r="J297" s="39">
        <f>INDEX(Zapfprofil!$B$61:$H$61,F297)</f>
        <v>0.19</v>
      </c>
      <c r="K297" s="39">
        <f>INDEX(Zapfprofil!$AL$19:$AN$42,H297+1,IF(F297&lt;=5,1,IF(F297=6,2,3)))</f>
        <v>0.09</v>
      </c>
      <c r="L297" s="62">
        <f t="shared" si="53"/>
        <v>7.3503460799999996</v>
      </c>
      <c r="M297" s="62">
        <f>Eingaben!$B$29</f>
        <v>0.2</v>
      </c>
      <c r="N297" s="62">
        <f t="shared" si="54"/>
        <v>7.5503460799999997</v>
      </c>
      <c r="O297" s="62">
        <f t="shared" si="55"/>
        <v>4</v>
      </c>
      <c r="P297" s="62">
        <f t="shared" si="56"/>
        <v>3.5503460799999997</v>
      </c>
      <c r="Q297" s="63">
        <f t="shared" si="58"/>
        <v>13.668204800000002</v>
      </c>
      <c r="R297" s="60" t="str">
        <f t="shared" si="57"/>
        <v>Fr 11:00</v>
      </c>
      <c r="S297" s="58">
        <f t="shared" si="59"/>
        <v>23.547795199999999</v>
      </c>
    </row>
    <row r="298" spans="4:19" ht="15" customHeight="1" x14ac:dyDescent="0.35">
      <c r="D298" s="59">
        <v>277</v>
      </c>
      <c r="E298" s="59">
        <f t="shared" si="48"/>
        <v>12</v>
      </c>
      <c r="F298" s="59">
        <f t="shared" si="49"/>
        <v>5</v>
      </c>
      <c r="G298" s="60" t="str">
        <f t="shared" si="50"/>
        <v>Fr</v>
      </c>
      <c r="H298" s="61">
        <f t="shared" si="51"/>
        <v>12</v>
      </c>
      <c r="I298" s="60" t="str">
        <f t="shared" si="52"/>
        <v>Werktag</v>
      </c>
      <c r="J298" s="39">
        <f>INDEX(Zapfprofil!$B$61:$H$61,F298)</f>
        <v>0.19</v>
      </c>
      <c r="K298" s="39">
        <f>INDEX(Zapfprofil!$AL$19:$AN$42,H298+1,IF(F298&lt;=5,1,IF(F298=6,2,3)))</f>
        <v>0.1</v>
      </c>
      <c r="L298" s="62">
        <f t="shared" si="53"/>
        <v>8.1670512000000013</v>
      </c>
      <c r="M298" s="62">
        <f>Eingaben!$B$29</f>
        <v>0.2</v>
      </c>
      <c r="N298" s="62">
        <f t="shared" si="54"/>
        <v>8.3670512000000006</v>
      </c>
      <c r="O298" s="62">
        <f t="shared" si="55"/>
        <v>4</v>
      </c>
      <c r="P298" s="62">
        <f t="shared" si="56"/>
        <v>4.3670512000000006</v>
      </c>
      <c r="Q298" s="63">
        <f t="shared" si="58"/>
        <v>18.035256000000004</v>
      </c>
      <c r="R298" s="60" t="str">
        <f t="shared" si="57"/>
        <v>Fr 12:00</v>
      </c>
      <c r="S298" s="58">
        <f t="shared" si="59"/>
        <v>19.180743999999997</v>
      </c>
    </row>
    <row r="299" spans="4:19" ht="15" customHeight="1" x14ac:dyDescent="0.35">
      <c r="D299" s="59">
        <v>278</v>
      </c>
      <c r="E299" s="59">
        <f t="shared" si="48"/>
        <v>12</v>
      </c>
      <c r="F299" s="59">
        <f t="shared" si="49"/>
        <v>5</v>
      </c>
      <c r="G299" s="60" t="str">
        <f t="shared" si="50"/>
        <v>Fr</v>
      </c>
      <c r="H299" s="61">
        <f t="shared" si="51"/>
        <v>13</v>
      </c>
      <c r="I299" s="60" t="str">
        <f t="shared" si="52"/>
        <v>Werktag</v>
      </c>
      <c r="J299" s="39">
        <f>INDEX(Zapfprofil!$B$61:$H$61,F299)</f>
        <v>0.19</v>
      </c>
      <c r="K299" s="39">
        <f>INDEX(Zapfprofil!$AL$19:$AN$42,H299+1,IF(F299&lt;=5,1,IF(F299=6,2,3)))</f>
        <v>9.5000000000000001E-2</v>
      </c>
      <c r="L299" s="62">
        <f t="shared" si="53"/>
        <v>7.7586986400000004</v>
      </c>
      <c r="M299" s="62">
        <f>Eingaben!$B$29</f>
        <v>0.2</v>
      </c>
      <c r="N299" s="62">
        <f t="shared" si="54"/>
        <v>7.9586986400000006</v>
      </c>
      <c r="O299" s="62">
        <f t="shared" si="55"/>
        <v>4</v>
      </c>
      <c r="P299" s="62">
        <f t="shared" si="56"/>
        <v>3.9586986400000006</v>
      </c>
      <c r="Q299" s="63">
        <f t="shared" si="58"/>
        <v>21.993954640000005</v>
      </c>
      <c r="R299" s="60" t="str">
        <f t="shared" si="57"/>
        <v>Fr 13:00</v>
      </c>
      <c r="S299" s="58">
        <f t="shared" si="59"/>
        <v>15.222045359999996</v>
      </c>
    </row>
    <row r="300" spans="4:19" ht="15" customHeight="1" x14ac:dyDescent="0.35">
      <c r="D300" s="59">
        <v>279</v>
      </c>
      <c r="E300" s="59">
        <f t="shared" si="48"/>
        <v>12</v>
      </c>
      <c r="F300" s="59">
        <f t="shared" si="49"/>
        <v>5</v>
      </c>
      <c r="G300" s="60" t="str">
        <f t="shared" si="50"/>
        <v>Fr</v>
      </c>
      <c r="H300" s="61">
        <f t="shared" si="51"/>
        <v>14</v>
      </c>
      <c r="I300" s="60" t="str">
        <f t="shared" si="52"/>
        <v>Werktag</v>
      </c>
      <c r="J300" s="39">
        <f>INDEX(Zapfprofil!$B$61:$H$61,F300)</f>
        <v>0.19</v>
      </c>
      <c r="K300" s="39">
        <f>INDEX(Zapfprofil!$AL$19:$AN$42,H300+1,IF(F300&lt;=5,1,IF(F300=6,2,3)))</f>
        <v>8.5000000000000006E-2</v>
      </c>
      <c r="L300" s="62">
        <f t="shared" si="53"/>
        <v>6.9419935200000005</v>
      </c>
      <c r="M300" s="62">
        <f>Eingaben!$B$29</f>
        <v>0.2</v>
      </c>
      <c r="N300" s="62">
        <f t="shared" si="54"/>
        <v>7.1419935200000007</v>
      </c>
      <c r="O300" s="62">
        <f t="shared" si="55"/>
        <v>4</v>
      </c>
      <c r="P300" s="62">
        <f t="shared" si="56"/>
        <v>3.1419935200000007</v>
      </c>
      <c r="Q300" s="63">
        <f t="shared" si="58"/>
        <v>25.135948160000005</v>
      </c>
      <c r="R300" s="60" t="str">
        <f t="shared" si="57"/>
        <v>Fr 14:00</v>
      </c>
      <c r="S300" s="58">
        <f t="shared" si="59"/>
        <v>12.080051839999996</v>
      </c>
    </row>
    <row r="301" spans="4:19" ht="15" customHeight="1" x14ac:dyDescent="0.35">
      <c r="D301" s="59">
        <v>280</v>
      </c>
      <c r="E301" s="59">
        <f t="shared" si="48"/>
        <v>12</v>
      </c>
      <c r="F301" s="59">
        <f t="shared" si="49"/>
        <v>5</v>
      </c>
      <c r="G301" s="60" t="str">
        <f t="shared" si="50"/>
        <v>Fr</v>
      </c>
      <c r="H301" s="61">
        <f t="shared" si="51"/>
        <v>15</v>
      </c>
      <c r="I301" s="60" t="str">
        <f t="shared" si="52"/>
        <v>Werktag</v>
      </c>
      <c r="J301" s="39">
        <f>INDEX(Zapfprofil!$B$61:$H$61,F301)</f>
        <v>0.19</v>
      </c>
      <c r="K301" s="39">
        <f>INDEX(Zapfprofil!$AL$19:$AN$42,H301+1,IF(F301&lt;=5,1,IF(F301=6,2,3)))</f>
        <v>0.08</v>
      </c>
      <c r="L301" s="62">
        <f t="shared" si="53"/>
        <v>6.5336409600000005</v>
      </c>
      <c r="M301" s="62">
        <f>Eingaben!$B$29</f>
        <v>0.2</v>
      </c>
      <c r="N301" s="62">
        <f t="shared" si="54"/>
        <v>6.7336409600000007</v>
      </c>
      <c r="O301" s="62">
        <f t="shared" si="55"/>
        <v>4</v>
      </c>
      <c r="P301" s="62">
        <f t="shared" si="56"/>
        <v>2.7336409600000007</v>
      </c>
      <c r="Q301" s="63">
        <f t="shared" si="58"/>
        <v>27.869589120000008</v>
      </c>
      <c r="R301" s="60" t="str">
        <f t="shared" si="57"/>
        <v>Fr 15:00</v>
      </c>
      <c r="S301" s="58">
        <f t="shared" si="59"/>
        <v>9.3464108799999934</v>
      </c>
    </row>
    <row r="302" spans="4:19" ht="15" customHeight="1" x14ac:dyDescent="0.35">
      <c r="D302" s="59">
        <v>281</v>
      </c>
      <c r="E302" s="59">
        <f t="shared" si="48"/>
        <v>12</v>
      </c>
      <c r="F302" s="59">
        <f t="shared" si="49"/>
        <v>5</v>
      </c>
      <c r="G302" s="60" t="str">
        <f t="shared" si="50"/>
        <v>Fr</v>
      </c>
      <c r="H302" s="61">
        <f t="shared" si="51"/>
        <v>16</v>
      </c>
      <c r="I302" s="60" t="str">
        <f t="shared" si="52"/>
        <v>Werktag</v>
      </c>
      <c r="J302" s="39">
        <f>INDEX(Zapfprofil!$B$61:$H$61,F302)</f>
        <v>0.19</v>
      </c>
      <c r="K302" s="39">
        <f>INDEX(Zapfprofil!$AL$19:$AN$42,H302+1,IF(F302&lt;=5,1,IF(F302=6,2,3)))</f>
        <v>7.4999999999999997E-2</v>
      </c>
      <c r="L302" s="62">
        <f t="shared" si="53"/>
        <v>6.1252883999999996</v>
      </c>
      <c r="M302" s="62">
        <f>Eingaben!$B$29</f>
        <v>0.2</v>
      </c>
      <c r="N302" s="62">
        <f t="shared" si="54"/>
        <v>6.3252883999999998</v>
      </c>
      <c r="O302" s="62">
        <f t="shared" si="55"/>
        <v>4</v>
      </c>
      <c r="P302" s="62">
        <f t="shared" si="56"/>
        <v>2.3252883999999998</v>
      </c>
      <c r="Q302" s="63">
        <f t="shared" si="58"/>
        <v>30.194877520000006</v>
      </c>
      <c r="R302" s="60" t="str">
        <f t="shared" si="57"/>
        <v>Fr 16:00</v>
      </c>
      <c r="S302" s="58">
        <f t="shared" si="59"/>
        <v>7.0211224799999954</v>
      </c>
    </row>
    <row r="303" spans="4:19" ht="15" customHeight="1" x14ac:dyDescent="0.35">
      <c r="D303" s="59">
        <v>282</v>
      </c>
      <c r="E303" s="59">
        <f t="shared" si="48"/>
        <v>12</v>
      </c>
      <c r="F303" s="59">
        <f t="shared" si="49"/>
        <v>5</v>
      </c>
      <c r="G303" s="60" t="str">
        <f t="shared" si="50"/>
        <v>Fr</v>
      </c>
      <c r="H303" s="61">
        <f t="shared" si="51"/>
        <v>17</v>
      </c>
      <c r="I303" s="60" t="str">
        <f t="shared" si="52"/>
        <v>Werktag</v>
      </c>
      <c r="J303" s="39">
        <f>INDEX(Zapfprofil!$B$61:$H$61,F303)</f>
        <v>0.19</v>
      </c>
      <c r="K303" s="39">
        <f>INDEX(Zapfprofil!$AL$19:$AN$42,H303+1,IF(F303&lt;=5,1,IF(F303=6,2,3)))</f>
        <v>0.06</v>
      </c>
      <c r="L303" s="62">
        <f t="shared" si="53"/>
        <v>4.9002307199999997</v>
      </c>
      <c r="M303" s="62">
        <f>Eingaben!$B$29</f>
        <v>0.2</v>
      </c>
      <c r="N303" s="62">
        <f t="shared" si="54"/>
        <v>5.1002307199999999</v>
      </c>
      <c r="O303" s="62">
        <f t="shared" si="55"/>
        <v>4</v>
      </c>
      <c r="P303" s="62">
        <f t="shared" si="56"/>
        <v>1.1002307199999999</v>
      </c>
      <c r="Q303" s="63">
        <f t="shared" si="58"/>
        <v>31.295108240000005</v>
      </c>
      <c r="R303" s="60" t="str">
        <f t="shared" si="57"/>
        <v>Fr 17:00</v>
      </c>
      <c r="S303" s="58">
        <f t="shared" si="59"/>
        <v>5.9208917599999964</v>
      </c>
    </row>
    <row r="304" spans="4:19" ht="15" customHeight="1" x14ac:dyDescent="0.35">
      <c r="D304" s="59">
        <v>283</v>
      </c>
      <c r="E304" s="59">
        <f t="shared" si="48"/>
        <v>12</v>
      </c>
      <c r="F304" s="59">
        <f t="shared" si="49"/>
        <v>5</v>
      </c>
      <c r="G304" s="60" t="str">
        <f t="shared" si="50"/>
        <v>Fr</v>
      </c>
      <c r="H304" s="61">
        <f t="shared" si="51"/>
        <v>18</v>
      </c>
      <c r="I304" s="60" t="str">
        <f t="shared" si="52"/>
        <v>Werktag</v>
      </c>
      <c r="J304" s="39">
        <f>INDEX(Zapfprofil!$B$61:$H$61,F304)</f>
        <v>0.19</v>
      </c>
      <c r="K304" s="39">
        <f>INDEX(Zapfprofil!$AL$19:$AN$42,H304+1,IF(F304&lt;=5,1,IF(F304=6,2,3)))</f>
        <v>4.4999999999999998E-2</v>
      </c>
      <c r="L304" s="62">
        <f t="shared" si="53"/>
        <v>3.6751730399999998</v>
      </c>
      <c r="M304" s="62">
        <f>Eingaben!$B$29</f>
        <v>0.2</v>
      </c>
      <c r="N304" s="62">
        <f t="shared" si="54"/>
        <v>3.87517304</v>
      </c>
      <c r="O304" s="62">
        <f t="shared" si="55"/>
        <v>4</v>
      </c>
      <c r="P304" s="62">
        <f t="shared" si="56"/>
        <v>-0.12482696000000004</v>
      </c>
      <c r="Q304" s="63">
        <f t="shared" si="58"/>
        <v>31.170281280000005</v>
      </c>
      <c r="R304" s="60" t="str">
        <f t="shared" si="57"/>
        <v>Fr 18:00</v>
      </c>
      <c r="S304" s="58">
        <f t="shared" si="59"/>
        <v>6.0457187199999964</v>
      </c>
    </row>
    <row r="305" spans="4:19" ht="15" customHeight="1" x14ac:dyDescent="0.35">
      <c r="D305" s="59">
        <v>284</v>
      </c>
      <c r="E305" s="59">
        <f t="shared" si="48"/>
        <v>12</v>
      </c>
      <c r="F305" s="59">
        <f t="shared" si="49"/>
        <v>5</v>
      </c>
      <c r="G305" s="60" t="str">
        <f t="shared" si="50"/>
        <v>Fr</v>
      </c>
      <c r="H305" s="61">
        <f t="shared" si="51"/>
        <v>19</v>
      </c>
      <c r="I305" s="60" t="str">
        <f t="shared" si="52"/>
        <v>Werktag</v>
      </c>
      <c r="J305" s="39">
        <f>INDEX(Zapfprofil!$B$61:$H$61,F305)</f>
        <v>0.19</v>
      </c>
      <c r="K305" s="39">
        <f>INDEX(Zapfprofil!$AL$19:$AN$42,H305+1,IF(F305&lt;=5,1,IF(F305=6,2,3)))</f>
        <v>2.5000000000000001E-2</v>
      </c>
      <c r="L305" s="62">
        <f t="shared" si="53"/>
        <v>2.0417628000000003</v>
      </c>
      <c r="M305" s="62">
        <f>Eingaben!$B$29</f>
        <v>0.2</v>
      </c>
      <c r="N305" s="62">
        <f t="shared" si="54"/>
        <v>2.2417628000000005</v>
      </c>
      <c r="O305" s="62">
        <f t="shared" si="55"/>
        <v>4</v>
      </c>
      <c r="P305" s="62">
        <f t="shared" si="56"/>
        <v>-1.7582371999999995</v>
      </c>
      <c r="Q305" s="63">
        <f t="shared" si="58"/>
        <v>29.412044080000005</v>
      </c>
      <c r="R305" s="60" t="str">
        <f t="shared" si="57"/>
        <v>Fr 19:00</v>
      </c>
      <c r="S305" s="58">
        <f t="shared" si="59"/>
        <v>7.8039559199999964</v>
      </c>
    </row>
    <row r="306" spans="4:19" ht="15" customHeight="1" x14ac:dyDescent="0.35">
      <c r="D306" s="59">
        <v>285</v>
      </c>
      <c r="E306" s="59">
        <f t="shared" si="48"/>
        <v>12</v>
      </c>
      <c r="F306" s="59">
        <f t="shared" si="49"/>
        <v>5</v>
      </c>
      <c r="G306" s="60" t="str">
        <f t="shared" si="50"/>
        <v>Fr</v>
      </c>
      <c r="H306" s="61">
        <f t="shared" si="51"/>
        <v>20</v>
      </c>
      <c r="I306" s="60" t="str">
        <f t="shared" si="52"/>
        <v>Werktag</v>
      </c>
      <c r="J306" s="39">
        <f>INDEX(Zapfprofil!$B$61:$H$61,F306)</f>
        <v>0.19</v>
      </c>
      <c r="K306" s="39">
        <f>INDEX(Zapfprofil!$AL$19:$AN$42,H306+1,IF(F306&lt;=5,1,IF(F306=6,2,3)))</f>
        <v>1.4999999999999999E-2</v>
      </c>
      <c r="L306" s="62">
        <f t="shared" si="53"/>
        <v>1.2250576799999999</v>
      </c>
      <c r="M306" s="62">
        <f>Eingaben!$B$29</f>
        <v>0.2</v>
      </c>
      <c r="N306" s="62">
        <f t="shared" si="54"/>
        <v>1.4250576799999999</v>
      </c>
      <c r="O306" s="62">
        <f t="shared" si="55"/>
        <v>4</v>
      </c>
      <c r="P306" s="62">
        <f t="shared" si="56"/>
        <v>-2.5749423199999999</v>
      </c>
      <c r="Q306" s="63">
        <f t="shared" si="58"/>
        <v>26.837101760000003</v>
      </c>
      <c r="R306" s="60" t="str">
        <f t="shared" si="57"/>
        <v>Fr 20:00</v>
      </c>
      <c r="S306" s="58">
        <f t="shared" si="59"/>
        <v>10.378898239999998</v>
      </c>
    </row>
    <row r="307" spans="4:19" ht="15" customHeight="1" x14ac:dyDescent="0.35">
      <c r="D307" s="59">
        <v>286</v>
      </c>
      <c r="E307" s="59">
        <f t="shared" si="48"/>
        <v>12</v>
      </c>
      <c r="F307" s="59">
        <f t="shared" si="49"/>
        <v>5</v>
      </c>
      <c r="G307" s="60" t="str">
        <f t="shared" si="50"/>
        <v>Fr</v>
      </c>
      <c r="H307" s="61">
        <f t="shared" si="51"/>
        <v>21</v>
      </c>
      <c r="I307" s="60" t="str">
        <f t="shared" si="52"/>
        <v>Werktag</v>
      </c>
      <c r="J307" s="39">
        <f>INDEX(Zapfprofil!$B$61:$H$61,F307)</f>
        <v>0.19</v>
      </c>
      <c r="K307" s="39">
        <f>INDEX(Zapfprofil!$AL$19:$AN$42,H307+1,IF(F307&lt;=5,1,IF(F307=6,2,3)))</f>
        <v>0</v>
      </c>
      <c r="L307" s="62">
        <f t="shared" si="53"/>
        <v>0</v>
      </c>
      <c r="M307" s="62">
        <f>Eingaben!$B$29</f>
        <v>0.2</v>
      </c>
      <c r="N307" s="62">
        <f t="shared" si="54"/>
        <v>0.2</v>
      </c>
      <c r="O307" s="62">
        <f t="shared" si="55"/>
        <v>4</v>
      </c>
      <c r="P307" s="62">
        <f t="shared" si="56"/>
        <v>-3.8</v>
      </c>
      <c r="Q307" s="63">
        <f t="shared" si="58"/>
        <v>23.037101760000002</v>
      </c>
      <c r="R307" s="60" t="str">
        <f t="shared" si="57"/>
        <v>Fr 21:00</v>
      </c>
      <c r="S307" s="58">
        <f t="shared" si="59"/>
        <v>14.178898239999999</v>
      </c>
    </row>
    <row r="308" spans="4:19" ht="15" customHeight="1" x14ac:dyDescent="0.35">
      <c r="D308" s="59">
        <v>287</v>
      </c>
      <c r="E308" s="59">
        <f t="shared" si="48"/>
        <v>12</v>
      </c>
      <c r="F308" s="59">
        <f t="shared" si="49"/>
        <v>5</v>
      </c>
      <c r="G308" s="60" t="str">
        <f t="shared" si="50"/>
        <v>Fr</v>
      </c>
      <c r="H308" s="61">
        <f t="shared" si="51"/>
        <v>22</v>
      </c>
      <c r="I308" s="60" t="str">
        <f t="shared" si="52"/>
        <v>Werktag</v>
      </c>
      <c r="J308" s="39">
        <f>INDEX(Zapfprofil!$B$61:$H$61,F308)</f>
        <v>0.19</v>
      </c>
      <c r="K308" s="39">
        <f>INDEX(Zapfprofil!$AL$19:$AN$42,H308+1,IF(F308&lt;=5,1,IF(F308=6,2,3)))</f>
        <v>0</v>
      </c>
      <c r="L308" s="62">
        <f t="shared" si="53"/>
        <v>0</v>
      </c>
      <c r="M308" s="62">
        <f>Eingaben!$B$29</f>
        <v>0.2</v>
      </c>
      <c r="N308" s="62">
        <f t="shared" si="54"/>
        <v>0.2</v>
      </c>
      <c r="O308" s="62">
        <f t="shared" si="55"/>
        <v>4</v>
      </c>
      <c r="P308" s="62">
        <f t="shared" si="56"/>
        <v>-3.8</v>
      </c>
      <c r="Q308" s="63">
        <f t="shared" si="58"/>
        <v>19.237101760000002</v>
      </c>
      <c r="R308" s="60" t="str">
        <f t="shared" si="57"/>
        <v>Fr 22:00</v>
      </c>
      <c r="S308" s="58">
        <f t="shared" si="59"/>
        <v>17.978898239999999</v>
      </c>
    </row>
    <row r="309" spans="4:19" ht="15" customHeight="1" x14ac:dyDescent="0.35">
      <c r="D309" s="59">
        <v>288</v>
      </c>
      <c r="E309" s="59">
        <f t="shared" si="48"/>
        <v>12</v>
      </c>
      <c r="F309" s="59">
        <f t="shared" si="49"/>
        <v>5</v>
      </c>
      <c r="G309" s="60" t="str">
        <f t="shared" si="50"/>
        <v>Fr</v>
      </c>
      <c r="H309" s="61">
        <f t="shared" si="51"/>
        <v>23</v>
      </c>
      <c r="I309" s="60" t="str">
        <f t="shared" si="52"/>
        <v>Werktag</v>
      </c>
      <c r="J309" s="39">
        <f>INDEX(Zapfprofil!$B$61:$H$61,F309)</f>
        <v>0.19</v>
      </c>
      <c r="K309" s="39">
        <f>INDEX(Zapfprofil!$AL$19:$AN$42,H309+1,IF(F309&lt;=5,1,IF(F309=6,2,3)))</f>
        <v>0</v>
      </c>
      <c r="L309" s="62">
        <f t="shared" si="53"/>
        <v>0</v>
      </c>
      <c r="M309" s="62">
        <f>Eingaben!$B$29</f>
        <v>0.2</v>
      </c>
      <c r="N309" s="62">
        <f t="shared" si="54"/>
        <v>0.2</v>
      </c>
      <c r="O309" s="62">
        <f t="shared" si="55"/>
        <v>4</v>
      </c>
      <c r="P309" s="62">
        <f t="shared" si="56"/>
        <v>-3.8</v>
      </c>
      <c r="Q309" s="63">
        <f t="shared" si="58"/>
        <v>15.437101760000001</v>
      </c>
      <c r="R309" s="60" t="str">
        <f t="shared" si="57"/>
        <v>Fr 23:00</v>
      </c>
      <c r="S309" s="58">
        <f t="shared" si="59"/>
        <v>21.77889824</v>
      </c>
    </row>
    <row r="310" spans="4:19" ht="15" customHeight="1" x14ac:dyDescent="0.35">
      <c r="D310" s="59">
        <v>289</v>
      </c>
      <c r="E310" s="59">
        <f t="shared" si="48"/>
        <v>13</v>
      </c>
      <c r="F310" s="59">
        <f t="shared" si="49"/>
        <v>6</v>
      </c>
      <c r="G310" s="60" t="str">
        <f t="shared" si="50"/>
        <v>Sa</v>
      </c>
      <c r="H310" s="61">
        <f t="shared" si="51"/>
        <v>0</v>
      </c>
      <c r="I310" s="60" t="str">
        <f t="shared" si="52"/>
        <v>Samstag</v>
      </c>
      <c r="J310" s="39">
        <f>INDEX(Zapfprofil!$B$61:$H$61,F310)</f>
        <v>2.5000000000000001E-2</v>
      </c>
      <c r="K310" s="39">
        <f>INDEX(Zapfprofil!$AL$19:$AN$42,H310+1,IF(F310&lt;=5,1,IF(F310=6,2,3)))</f>
        <v>0.02</v>
      </c>
      <c r="L310" s="62">
        <f t="shared" si="53"/>
        <v>0.21492240000000004</v>
      </c>
      <c r="M310" s="62">
        <f>Eingaben!$B$29</f>
        <v>0.2</v>
      </c>
      <c r="N310" s="62">
        <f t="shared" si="54"/>
        <v>0.41492240000000002</v>
      </c>
      <c r="O310" s="62">
        <f t="shared" si="55"/>
        <v>4</v>
      </c>
      <c r="P310" s="62">
        <f t="shared" si="56"/>
        <v>-3.5850776</v>
      </c>
      <c r="Q310" s="63">
        <f t="shared" si="58"/>
        <v>11.852024160000001</v>
      </c>
      <c r="R310" s="60" t="str">
        <f t="shared" si="57"/>
        <v>Sa 00:00</v>
      </c>
      <c r="S310" s="58">
        <f t="shared" si="59"/>
        <v>25.363975840000002</v>
      </c>
    </row>
    <row r="311" spans="4:19" ht="15" customHeight="1" x14ac:dyDescent="0.35">
      <c r="D311" s="59">
        <v>290</v>
      </c>
      <c r="E311" s="59">
        <f t="shared" si="48"/>
        <v>13</v>
      </c>
      <c r="F311" s="59">
        <f t="shared" si="49"/>
        <v>6</v>
      </c>
      <c r="G311" s="60" t="str">
        <f t="shared" si="50"/>
        <v>Sa</v>
      </c>
      <c r="H311" s="61">
        <f t="shared" si="51"/>
        <v>1</v>
      </c>
      <c r="I311" s="60" t="str">
        <f t="shared" si="52"/>
        <v>Samstag</v>
      </c>
      <c r="J311" s="39">
        <f>INDEX(Zapfprofil!$B$61:$H$61,F311)</f>
        <v>2.5000000000000001E-2</v>
      </c>
      <c r="K311" s="39">
        <f>INDEX(Zapfprofil!$AL$19:$AN$42,H311+1,IF(F311&lt;=5,1,IF(F311=6,2,3)))</f>
        <v>0.02</v>
      </c>
      <c r="L311" s="62">
        <f t="shared" si="53"/>
        <v>0.21492240000000004</v>
      </c>
      <c r="M311" s="62">
        <f>Eingaben!$B$29</f>
        <v>0.2</v>
      </c>
      <c r="N311" s="62">
        <f t="shared" si="54"/>
        <v>0.41492240000000002</v>
      </c>
      <c r="O311" s="62">
        <f t="shared" si="55"/>
        <v>4</v>
      </c>
      <c r="P311" s="62">
        <f t="shared" si="56"/>
        <v>-3.5850776</v>
      </c>
      <c r="Q311" s="63">
        <f t="shared" si="58"/>
        <v>8.2669465600000009</v>
      </c>
      <c r="R311" s="60" t="str">
        <f t="shared" si="57"/>
        <v>Sa 01:00</v>
      </c>
      <c r="S311" s="58">
        <f t="shared" si="59"/>
        <v>28.94905344</v>
      </c>
    </row>
    <row r="312" spans="4:19" ht="15" customHeight="1" x14ac:dyDescent="0.35">
      <c r="D312" s="59">
        <v>291</v>
      </c>
      <c r="E312" s="59">
        <f t="shared" si="48"/>
        <v>13</v>
      </c>
      <c r="F312" s="59">
        <f t="shared" si="49"/>
        <v>6</v>
      </c>
      <c r="G312" s="60" t="str">
        <f t="shared" si="50"/>
        <v>Sa</v>
      </c>
      <c r="H312" s="61">
        <f t="shared" si="51"/>
        <v>2</v>
      </c>
      <c r="I312" s="60" t="str">
        <f t="shared" si="52"/>
        <v>Samstag</v>
      </c>
      <c r="J312" s="39">
        <f>INDEX(Zapfprofil!$B$61:$H$61,F312)</f>
        <v>2.5000000000000001E-2</v>
      </c>
      <c r="K312" s="39">
        <f>INDEX(Zapfprofil!$AL$19:$AN$42,H312+1,IF(F312&lt;=5,1,IF(F312=6,2,3)))</f>
        <v>0.02</v>
      </c>
      <c r="L312" s="62">
        <f t="shared" si="53"/>
        <v>0.21492240000000004</v>
      </c>
      <c r="M312" s="62">
        <f>Eingaben!$B$29</f>
        <v>0.2</v>
      </c>
      <c r="N312" s="62">
        <f t="shared" si="54"/>
        <v>0.41492240000000002</v>
      </c>
      <c r="O312" s="62">
        <f t="shared" si="55"/>
        <v>4</v>
      </c>
      <c r="P312" s="62">
        <f t="shared" si="56"/>
        <v>-3.5850776</v>
      </c>
      <c r="Q312" s="63">
        <f t="shared" si="58"/>
        <v>4.681868960000001</v>
      </c>
      <c r="R312" s="60" t="str">
        <f t="shared" si="57"/>
        <v>Sa 02:00</v>
      </c>
      <c r="S312" s="58">
        <f t="shared" si="59"/>
        <v>32.534131039999998</v>
      </c>
    </row>
    <row r="313" spans="4:19" ht="15" customHeight="1" x14ac:dyDescent="0.35">
      <c r="D313" s="59">
        <v>292</v>
      </c>
      <c r="E313" s="59">
        <f t="shared" si="48"/>
        <v>13</v>
      </c>
      <c r="F313" s="59">
        <f t="shared" si="49"/>
        <v>6</v>
      </c>
      <c r="G313" s="60" t="str">
        <f t="shared" si="50"/>
        <v>Sa</v>
      </c>
      <c r="H313" s="61">
        <f t="shared" si="51"/>
        <v>3</v>
      </c>
      <c r="I313" s="60" t="str">
        <f t="shared" si="52"/>
        <v>Samstag</v>
      </c>
      <c r="J313" s="39">
        <f>INDEX(Zapfprofil!$B$61:$H$61,F313)</f>
        <v>2.5000000000000001E-2</v>
      </c>
      <c r="K313" s="39">
        <f>INDEX(Zapfprofil!$AL$19:$AN$42,H313+1,IF(F313&lt;=5,1,IF(F313=6,2,3)))</f>
        <v>0.02</v>
      </c>
      <c r="L313" s="62">
        <f t="shared" si="53"/>
        <v>0.21492240000000004</v>
      </c>
      <c r="M313" s="62">
        <f>Eingaben!$B$29</f>
        <v>0.2</v>
      </c>
      <c r="N313" s="62">
        <f t="shared" si="54"/>
        <v>0.41492240000000002</v>
      </c>
      <c r="O313" s="62">
        <f t="shared" si="55"/>
        <v>4</v>
      </c>
      <c r="P313" s="62">
        <f t="shared" si="56"/>
        <v>-3.5850776</v>
      </c>
      <c r="Q313" s="63">
        <f t="shared" si="58"/>
        <v>1.096791360000001</v>
      </c>
      <c r="R313" s="60" t="str">
        <f t="shared" si="57"/>
        <v>Sa 03:00</v>
      </c>
      <c r="S313" s="58">
        <f t="shared" si="59"/>
        <v>36.119208639999997</v>
      </c>
    </row>
    <row r="314" spans="4:19" ht="15" customHeight="1" x14ac:dyDescent="0.35">
      <c r="D314" s="59">
        <v>293</v>
      </c>
      <c r="E314" s="59">
        <f t="shared" si="48"/>
        <v>13</v>
      </c>
      <c r="F314" s="59">
        <f t="shared" si="49"/>
        <v>6</v>
      </c>
      <c r="G314" s="60" t="str">
        <f t="shared" si="50"/>
        <v>Sa</v>
      </c>
      <c r="H314" s="61">
        <f t="shared" si="51"/>
        <v>4</v>
      </c>
      <c r="I314" s="60" t="str">
        <f t="shared" si="52"/>
        <v>Samstag</v>
      </c>
      <c r="J314" s="39">
        <f>INDEX(Zapfprofil!$B$61:$H$61,F314)</f>
        <v>2.5000000000000001E-2</v>
      </c>
      <c r="K314" s="39">
        <f>INDEX(Zapfprofil!$AL$19:$AN$42,H314+1,IF(F314&lt;=5,1,IF(F314=6,2,3)))</f>
        <v>0.02</v>
      </c>
      <c r="L314" s="62">
        <f t="shared" si="53"/>
        <v>0.21492240000000004</v>
      </c>
      <c r="M314" s="62">
        <f>Eingaben!$B$29</f>
        <v>0.2</v>
      </c>
      <c r="N314" s="62">
        <f t="shared" si="54"/>
        <v>0.41492240000000002</v>
      </c>
      <c r="O314" s="62">
        <f t="shared" si="55"/>
        <v>4</v>
      </c>
      <c r="P314" s="62">
        <f t="shared" si="56"/>
        <v>-3.5850776</v>
      </c>
      <c r="Q314" s="63">
        <f t="shared" si="58"/>
        <v>0</v>
      </c>
      <c r="R314" s="60" t="str">
        <f t="shared" si="57"/>
        <v>Sa 04:00</v>
      </c>
      <c r="S314" s="58">
        <f t="shared" si="59"/>
        <v>37.216000000000001</v>
      </c>
    </row>
    <row r="315" spans="4:19" ht="15" customHeight="1" x14ac:dyDescent="0.35">
      <c r="D315" s="59">
        <v>294</v>
      </c>
      <c r="E315" s="59">
        <f t="shared" si="48"/>
        <v>13</v>
      </c>
      <c r="F315" s="59">
        <f t="shared" si="49"/>
        <v>6</v>
      </c>
      <c r="G315" s="60" t="str">
        <f t="shared" si="50"/>
        <v>Sa</v>
      </c>
      <c r="H315" s="61">
        <f t="shared" si="51"/>
        <v>5</v>
      </c>
      <c r="I315" s="60" t="str">
        <f t="shared" si="52"/>
        <v>Samstag</v>
      </c>
      <c r="J315" s="39">
        <f>INDEX(Zapfprofil!$B$61:$H$61,F315)</f>
        <v>2.5000000000000001E-2</v>
      </c>
      <c r="K315" s="39">
        <f>INDEX(Zapfprofil!$AL$19:$AN$42,H315+1,IF(F315&lt;=5,1,IF(F315=6,2,3)))</f>
        <v>0.02</v>
      </c>
      <c r="L315" s="62">
        <f t="shared" si="53"/>
        <v>0.21492240000000004</v>
      </c>
      <c r="M315" s="62">
        <f>Eingaben!$B$29</f>
        <v>0.2</v>
      </c>
      <c r="N315" s="62">
        <f t="shared" si="54"/>
        <v>0.41492240000000002</v>
      </c>
      <c r="O315" s="62">
        <f t="shared" si="55"/>
        <v>4</v>
      </c>
      <c r="P315" s="62">
        <f t="shared" si="56"/>
        <v>-3.5850776</v>
      </c>
      <c r="Q315" s="63">
        <f t="shared" si="58"/>
        <v>0</v>
      </c>
      <c r="R315" s="60" t="str">
        <f t="shared" si="57"/>
        <v>Sa 05:00</v>
      </c>
      <c r="S315" s="58">
        <f t="shared" si="59"/>
        <v>37.216000000000001</v>
      </c>
    </row>
    <row r="316" spans="4:19" ht="15" customHeight="1" x14ac:dyDescent="0.35">
      <c r="D316" s="59">
        <v>295</v>
      </c>
      <c r="E316" s="59">
        <f t="shared" si="48"/>
        <v>13</v>
      </c>
      <c r="F316" s="59">
        <f t="shared" si="49"/>
        <v>6</v>
      </c>
      <c r="G316" s="60" t="str">
        <f t="shared" si="50"/>
        <v>Sa</v>
      </c>
      <c r="H316" s="61">
        <f t="shared" si="51"/>
        <v>6</v>
      </c>
      <c r="I316" s="60" t="str">
        <f t="shared" si="52"/>
        <v>Samstag</v>
      </c>
      <c r="J316" s="39">
        <f>INDEX(Zapfprofil!$B$61:$H$61,F316)</f>
        <v>2.5000000000000001E-2</v>
      </c>
      <c r="K316" s="39">
        <f>INDEX(Zapfprofil!$AL$19:$AN$42,H316+1,IF(F316&lt;=5,1,IF(F316=6,2,3)))</f>
        <v>0.03</v>
      </c>
      <c r="L316" s="62">
        <f t="shared" si="53"/>
        <v>0.32238360000000005</v>
      </c>
      <c r="M316" s="62">
        <f>Eingaben!$B$29</f>
        <v>0.2</v>
      </c>
      <c r="N316" s="62">
        <f t="shared" si="54"/>
        <v>0.52238360000000006</v>
      </c>
      <c r="O316" s="62">
        <f t="shared" si="55"/>
        <v>4</v>
      </c>
      <c r="P316" s="62">
        <f t="shared" si="56"/>
        <v>-3.4776164000000001</v>
      </c>
      <c r="Q316" s="63">
        <f t="shared" si="58"/>
        <v>0</v>
      </c>
      <c r="R316" s="60" t="str">
        <f t="shared" si="57"/>
        <v>Sa 06:00</v>
      </c>
      <c r="S316" s="58">
        <f t="shared" si="59"/>
        <v>37.216000000000001</v>
      </c>
    </row>
    <row r="317" spans="4:19" ht="15" customHeight="1" x14ac:dyDescent="0.35">
      <c r="D317" s="59">
        <v>296</v>
      </c>
      <c r="E317" s="59">
        <f t="shared" si="48"/>
        <v>13</v>
      </c>
      <c r="F317" s="59">
        <f t="shared" si="49"/>
        <v>6</v>
      </c>
      <c r="G317" s="60" t="str">
        <f t="shared" si="50"/>
        <v>Sa</v>
      </c>
      <c r="H317" s="61">
        <f t="shared" si="51"/>
        <v>7</v>
      </c>
      <c r="I317" s="60" t="str">
        <f t="shared" si="52"/>
        <v>Samstag</v>
      </c>
      <c r="J317" s="39">
        <f>INDEX(Zapfprofil!$B$61:$H$61,F317)</f>
        <v>2.5000000000000001E-2</v>
      </c>
      <c r="K317" s="39">
        <f>INDEX(Zapfprofil!$AL$19:$AN$42,H317+1,IF(F317&lt;=5,1,IF(F317=6,2,3)))</f>
        <v>0.04</v>
      </c>
      <c r="L317" s="62">
        <f t="shared" si="53"/>
        <v>0.42984480000000008</v>
      </c>
      <c r="M317" s="62">
        <f>Eingaben!$B$29</f>
        <v>0.2</v>
      </c>
      <c r="N317" s="62">
        <f t="shared" si="54"/>
        <v>0.62984480000000009</v>
      </c>
      <c r="O317" s="62">
        <f t="shared" si="55"/>
        <v>4</v>
      </c>
      <c r="P317" s="62">
        <f t="shared" si="56"/>
        <v>-3.3701552000000001</v>
      </c>
      <c r="Q317" s="63">
        <f t="shared" si="58"/>
        <v>0</v>
      </c>
      <c r="R317" s="60" t="str">
        <f t="shared" si="57"/>
        <v>Sa 07:00</v>
      </c>
      <c r="S317" s="58">
        <f t="shared" si="59"/>
        <v>37.216000000000001</v>
      </c>
    </row>
    <row r="318" spans="4:19" ht="15" customHeight="1" x14ac:dyDescent="0.35">
      <c r="D318" s="59">
        <v>297</v>
      </c>
      <c r="E318" s="59">
        <f t="shared" si="48"/>
        <v>13</v>
      </c>
      <c r="F318" s="59">
        <f t="shared" si="49"/>
        <v>6</v>
      </c>
      <c r="G318" s="60" t="str">
        <f t="shared" si="50"/>
        <v>Sa</v>
      </c>
      <c r="H318" s="61">
        <f t="shared" si="51"/>
        <v>8</v>
      </c>
      <c r="I318" s="60" t="str">
        <f t="shared" si="52"/>
        <v>Samstag</v>
      </c>
      <c r="J318" s="39">
        <f>INDEX(Zapfprofil!$B$61:$H$61,F318)</f>
        <v>2.5000000000000001E-2</v>
      </c>
      <c r="K318" s="39">
        <f>INDEX(Zapfprofil!$AL$19:$AN$42,H318+1,IF(F318&lt;=5,1,IF(F318=6,2,3)))</f>
        <v>0.05</v>
      </c>
      <c r="L318" s="62">
        <f t="shared" si="53"/>
        <v>0.53730600000000006</v>
      </c>
      <c r="M318" s="62">
        <f>Eingaben!$B$29</f>
        <v>0.2</v>
      </c>
      <c r="N318" s="62">
        <f t="shared" si="54"/>
        <v>0.73730600000000002</v>
      </c>
      <c r="O318" s="62">
        <f t="shared" si="55"/>
        <v>4</v>
      </c>
      <c r="P318" s="62">
        <f t="shared" si="56"/>
        <v>-3.2626939999999998</v>
      </c>
      <c r="Q318" s="63">
        <f t="shared" si="58"/>
        <v>0</v>
      </c>
      <c r="R318" s="60" t="str">
        <f t="shared" si="57"/>
        <v>Sa 08:00</v>
      </c>
      <c r="S318" s="58">
        <f t="shared" si="59"/>
        <v>37.216000000000001</v>
      </c>
    </row>
    <row r="319" spans="4:19" ht="15" customHeight="1" x14ac:dyDescent="0.35">
      <c r="D319" s="59">
        <v>298</v>
      </c>
      <c r="E319" s="59">
        <f t="shared" si="48"/>
        <v>13</v>
      </c>
      <c r="F319" s="59">
        <f t="shared" si="49"/>
        <v>6</v>
      </c>
      <c r="G319" s="60" t="str">
        <f t="shared" si="50"/>
        <v>Sa</v>
      </c>
      <c r="H319" s="61">
        <f t="shared" si="51"/>
        <v>9</v>
      </c>
      <c r="I319" s="60" t="str">
        <f t="shared" si="52"/>
        <v>Samstag</v>
      </c>
      <c r="J319" s="39">
        <f>INDEX(Zapfprofil!$B$61:$H$61,F319)</f>
        <v>2.5000000000000001E-2</v>
      </c>
      <c r="K319" s="39">
        <f>INDEX(Zapfprofil!$AL$19:$AN$42,H319+1,IF(F319&lt;=5,1,IF(F319=6,2,3)))</f>
        <v>6.5000000000000002E-2</v>
      </c>
      <c r="L319" s="62">
        <f t="shared" si="53"/>
        <v>0.69849780000000006</v>
      </c>
      <c r="M319" s="62">
        <f>Eingaben!$B$29</f>
        <v>0.2</v>
      </c>
      <c r="N319" s="62">
        <f t="shared" si="54"/>
        <v>0.89849780000000012</v>
      </c>
      <c r="O319" s="62">
        <f t="shared" si="55"/>
        <v>4</v>
      </c>
      <c r="P319" s="62">
        <f t="shared" si="56"/>
        <v>-3.1015021999999997</v>
      </c>
      <c r="Q319" s="63">
        <f t="shared" si="58"/>
        <v>0</v>
      </c>
      <c r="R319" s="60" t="str">
        <f t="shared" si="57"/>
        <v>Sa 09:00</v>
      </c>
      <c r="S319" s="58">
        <f t="shared" si="59"/>
        <v>37.216000000000001</v>
      </c>
    </row>
    <row r="320" spans="4:19" ht="15" customHeight="1" x14ac:dyDescent="0.35">
      <c r="D320" s="59">
        <v>299</v>
      </c>
      <c r="E320" s="59">
        <f t="shared" si="48"/>
        <v>13</v>
      </c>
      <c r="F320" s="59">
        <f t="shared" si="49"/>
        <v>6</v>
      </c>
      <c r="G320" s="60" t="str">
        <f t="shared" si="50"/>
        <v>Sa</v>
      </c>
      <c r="H320" s="61">
        <f t="shared" si="51"/>
        <v>10</v>
      </c>
      <c r="I320" s="60" t="str">
        <f t="shared" si="52"/>
        <v>Samstag</v>
      </c>
      <c r="J320" s="39">
        <f>INDEX(Zapfprofil!$B$61:$H$61,F320)</f>
        <v>2.5000000000000001E-2</v>
      </c>
      <c r="K320" s="39">
        <f>INDEX(Zapfprofil!$AL$19:$AN$42,H320+1,IF(F320&lt;=5,1,IF(F320=6,2,3)))</f>
        <v>7.0000000000000007E-2</v>
      </c>
      <c r="L320" s="62">
        <f t="shared" si="53"/>
        <v>0.75222840000000013</v>
      </c>
      <c r="M320" s="62">
        <f>Eingaben!$B$29</f>
        <v>0.2</v>
      </c>
      <c r="N320" s="62">
        <f t="shared" si="54"/>
        <v>0.95222840000000009</v>
      </c>
      <c r="O320" s="62">
        <f t="shared" si="55"/>
        <v>4</v>
      </c>
      <c r="P320" s="62">
        <f t="shared" si="56"/>
        <v>-3.0477715999999999</v>
      </c>
      <c r="Q320" s="63">
        <f t="shared" si="58"/>
        <v>0</v>
      </c>
      <c r="R320" s="60" t="str">
        <f t="shared" si="57"/>
        <v>Sa 10:00</v>
      </c>
      <c r="S320" s="58">
        <f t="shared" si="59"/>
        <v>37.216000000000001</v>
      </c>
    </row>
    <row r="321" spans="4:19" ht="15" customHeight="1" x14ac:dyDescent="0.35">
      <c r="D321" s="59">
        <v>300</v>
      </c>
      <c r="E321" s="59">
        <f t="shared" si="48"/>
        <v>13</v>
      </c>
      <c r="F321" s="59">
        <f t="shared" si="49"/>
        <v>6</v>
      </c>
      <c r="G321" s="60" t="str">
        <f t="shared" si="50"/>
        <v>Sa</v>
      </c>
      <c r="H321" s="61">
        <f t="shared" si="51"/>
        <v>11</v>
      </c>
      <c r="I321" s="60" t="str">
        <f t="shared" si="52"/>
        <v>Samstag</v>
      </c>
      <c r="J321" s="39">
        <f>INDEX(Zapfprofil!$B$61:$H$61,F321)</f>
        <v>2.5000000000000001E-2</v>
      </c>
      <c r="K321" s="39">
        <f>INDEX(Zapfprofil!$AL$19:$AN$42,H321+1,IF(F321&lt;=5,1,IF(F321=6,2,3)))</f>
        <v>7.4999999999999997E-2</v>
      </c>
      <c r="L321" s="62">
        <f t="shared" si="53"/>
        <v>0.80595900000000009</v>
      </c>
      <c r="M321" s="62">
        <f>Eingaben!$B$29</f>
        <v>0.2</v>
      </c>
      <c r="N321" s="62">
        <f t="shared" si="54"/>
        <v>1.005959</v>
      </c>
      <c r="O321" s="62">
        <f t="shared" si="55"/>
        <v>4</v>
      </c>
      <c r="P321" s="62">
        <f t="shared" si="56"/>
        <v>-2.9940410000000002</v>
      </c>
      <c r="Q321" s="63">
        <f t="shared" si="58"/>
        <v>0</v>
      </c>
      <c r="R321" s="60" t="str">
        <f t="shared" si="57"/>
        <v>Sa 11:00</v>
      </c>
      <c r="S321" s="58">
        <f t="shared" si="59"/>
        <v>37.216000000000001</v>
      </c>
    </row>
    <row r="322" spans="4:19" ht="15" customHeight="1" x14ac:dyDescent="0.35">
      <c r="D322" s="59">
        <v>301</v>
      </c>
      <c r="E322" s="59">
        <f t="shared" si="48"/>
        <v>13</v>
      </c>
      <c r="F322" s="59">
        <f t="shared" si="49"/>
        <v>6</v>
      </c>
      <c r="G322" s="60" t="str">
        <f t="shared" si="50"/>
        <v>Sa</v>
      </c>
      <c r="H322" s="61">
        <f t="shared" si="51"/>
        <v>12</v>
      </c>
      <c r="I322" s="60" t="str">
        <f t="shared" si="52"/>
        <v>Samstag</v>
      </c>
      <c r="J322" s="39">
        <f>INDEX(Zapfprofil!$B$61:$H$61,F322)</f>
        <v>2.5000000000000001E-2</v>
      </c>
      <c r="K322" s="39">
        <f>INDEX(Zapfprofil!$AL$19:$AN$42,H322+1,IF(F322&lt;=5,1,IF(F322=6,2,3)))</f>
        <v>7.4999999999999997E-2</v>
      </c>
      <c r="L322" s="62">
        <f t="shared" si="53"/>
        <v>0.80595900000000009</v>
      </c>
      <c r="M322" s="62">
        <f>Eingaben!$B$29</f>
        <v>0.2</v>
      </c>
      <c r="N322" s="62">
        <f t="shared" si="54"/>
        <v>1.005959</v>
      </c>
      <c r="O322" s="62">
        <f t="shared" si="55"/>
        <v>4</v>
      </c>
      <c r="P322" s="62">
        <f t="shared" si="56"/>
        <v>-2.9940410000000002</v>
      </c>
      <c r="Q322" s="63">
        <f t="shared" si="58"/>
        <v>0</v>
      </c>
      <c r="R322" s="60" t="str">
        <f t="shared" si="57"/>
        <v>Sa 12:00</v>
      </c>
      <c r="S322" s="58">
        <f t="shared" si="59"/>
        <v>37.216000000000001</v>
      </c>
    </row>
    <row r="323" spans="4:19" ht="15" customHeight="1" x14ac:dyDescent="0.35">
      <c r="D323" s="59">
        <v>302</v>
      </c>
      <c r="E323" s="59">
        <f t="shared" si="48"/>
        <v>13</v>
      </c>
      <c r="F323" s="59">
        <f t="shared" si="49"/>
        <v>6</v>
      </c>
      <c r="G323" s="60" t="str">
        <f t="shared" si="50"/>
        <v>Sa</v>
      </c>
      <c r="H323" s="61">
        <f t="shared" si="51"/>
        <v>13</v>
      </c>
      <c r="I323" s="60" t="str">
        <f t="shared" si="52"/>
        <v>Samstag</v>
      </c>
      <c r="J323" s="39">
        <f>INDEX(Zapfprofil!$B$61:$H$61,F323)</f>
        <v>2.5000000000000001E-2</v>
      </c>
      <c r="K323" s="39">
        <f>INDEX(Zapfprofil!$AL$19:$AN$42,H323+1,IF(F323&lt;=5,1,IF(F323=6,2,3)))</f>
        <v>7.0000000000000007E-2</v>
      </c>
      <c r="L323" s="62">
        <f t="shared" si="53"/>
        <v>0.75222840000000013</v>
      </c>
      <c r="M323" s="62">
        <f>Eingaben!$B$29</f>
        <v>0.2</v>
      </c>
      <c r="N323" s="62">
        <f t="shared" si="54"/>
        <v>0.95222840000000009</v>
      </c>
      <c r="O323" s="62">
        <f t="shared" si="55"/>
        <v>4</v>
      </c>
      <c r="P323" s="62">
        <f t="shared" si="56"/>
        <v>-3.0477715999999999</v>
      </c>
      <c r="Q323" s="63">
        <f t="shared" si="58"/>
        <v>0</v>
      </c>
      <c r="R323" s="60" t="str">
        <f t="shared" si="57"/>
        <v>Sa 13:00</v>
      </c>
      <c r="S323" s="58">
        <f t="shared" si="59"/>
        <v>37.216000000000001</v>
      </c>
    </row>
    <row r="324" spans="4:19" ht="15" customHeight="1" x14ac:dyDescent="0.35">
      <c r="D324" s="59">
        <v>303</v>
      </c>
      <c r="E324" s="59">
        <f t="shared" si="48"/>
        <v>13</v>
      </c>
      <c r="F324" s="59">
        <f t="shared" si="49"/>
        <v>6</v>
      </c>
      <c r="G324" s="60" t="str">
        <f t="shared" si="50"/>
        <v>Sa</v>
      </c>
      <c r="H324" s="61">
        <f t="shared" si="51"/>
        <v>14</v>
      </c>
      <c r="I324" s="60" t="str">
        <f t="shared" si="52"/>
        <v>Samstag</v>
      </c>
      <c r="J324" s="39">
        <f>INDEX(Zapfprofil!$B$61:$H$61,F324)</f>
        <v>2.5000000000000001E-2</v>
      </c>
      <c r="K324" s="39">
        <f>INDEX(Zapfprofil!$AL$19:$AN$42,H324+1,IF(F324&lt;=5,1,IF(F324=6,2,3)))</f>
        <v>6.5000000000000002E-2</v>
      </c>
      <c r="L324" s="62">
        <f t="shared" si="53"/>
        <v>0.69849780000000006</v>
      </c>
      <c r="M324" s="62">
        <f>Eingaben!$B$29</f>
        <v>0.2</v>
      </c>
      <c r="N324" s="62">
        <f t="shared" si="54"/>
        <v>0.89849780000000012</v>
      </c>
      <c r="O324" s="62">
        <f t="shared" si="55"/>
        <v>4</v>
      </c>
      <c r="P324" s="62">
        <f t="shared" si="56"/>
        <v>-3.1015021999999997</v>
      </c>
      <c r="Q324" s="63">
        <f t="shared" si="58"/>
        <v>0</v>
      </c>
      <c r="R324" s="60" t="str">
        <f t="shared" si="57"/>
        <v>Sa 14:00</v>
      </c>
      <c r="S324" s="58">
        <f t="shared" si="59"/>
        <v>37.216000000000001</v>
      </c>
    </row>
    <row r="325" spans="4:19" ht="15" customHeight="1" x14ac:dyDescent="0.35">
      <c r="D325" s="59">
        <v>304</v>
      </c>
      <c r="E325" s="59">
        <f t="shared" si="48"/>
        <v>13</v>
      </c>
      <c r="F325" s="59">
        <f t="shared" si="49"/>
        <v>6</v>
      </c>
      <c r="G325" s="60" t="str">
        <f t="shared" si="50"/>
        <v>Sa</v>
      </c>
      <c r="H325" s="61">
        <f t="shared" si="51"/>
        <v>15</v>
      </c>
      <c r="I325" s="60" t="str">
        <f t="shared" si="52"/>
        <v>Samstag</v>
      </c>
      <c r="J325" s="39">
        <f>INDEX(Zapfprofil!$B$61:$H$61,F325)</f>
        <v>2.5000000000000001E-2</v>
      </c>
      <c r="K325" s="39">
        <f>INDEX(Zapfprofil!$AL$19:$AN$42,H325+1,IF(F325&lt;=5,1,IF(F325=6,2,3)))</f>
        <v>0.06</v>
      </c>
      <c r="L325" s="62">
        <f t="shared" si="53"/>
        <v>0.6447672000000001</v>
      </c>
      <c r="M325" s="62">
        <f>Eingaben!$B$29</f>
        <v>0.2</v>
      </c>
      <c r="N325" s="62">
        <f t="shared" si="54"/>
        <v>0.84476720000000016</v>
      </c>
      <c r="O325" s="62">
        <f t="shared" si="55"/>
        <v>4</v>
      </c>
      <c r="P325" s="62">
        <f t="shared" si="56"/>
        <v>-3.1552327999999998</v>
      </c>
      <c r="Q325" s="63">
        <f t="shared" si="58"/>
        <v>0</v>
      </c>
      <c r="R325" s="60" t="str">
        <f t="shared" si="57"/>
        <v>Sa 15:00</v>
      </c>
      <c r="S325" s="58">
        <f t="shared" si="59"/>
        <v>37.216000000000001</v>
      </c>
    </row>
    <row r="326" spans="4:19" ht="15" customHeight="1" x14ac:dyDescent="0.35">
      <c r="D326" s="59">
        <v>305</v>
      </c>
      <c r="E326" s="59">
        <f t="shared" si="48"/>
        <v>13</v>
      </c>
      <c r="F326" s="59">
        <f t="shared" si="49"/>
        <v>6</v>
      </c>
      <c r="G326" s="60" t="str">
        <f t="shared" si="50"/>
        <v>Sa</v>
      </c>
      <c r="H326" s="61">
        <f t="shared" si="51"/>
        <v>16</v>
      </c>
      <c r="I326" s="60" t="str">
        <f t="shared" si="52"/>
        <v>Samstag</v>
      </c>
      <c r="J326" s="39">
        <f>INDEX(Zapfprofil!$B$61:$H$61,F326)</f>
        <v>2.5000000000000001E-2</v>
      </c>
      <c r="K326" s="39">
        <f>INDEX(Zapfprofil!$AL$19:$AN$42,H326+1,IF(F326&lt;=5,1,IF(F326=6,2,3)))</f>
        <v>5.5E-2</v>
      </c>
      <c r="L326" s="62">
        <f t="shared" si="53"/>
        <v>0.59103660000000002</v>
      </c>
      <c r="M326" s="62">
        <f>Eingaben!$B$29</f>
        <v>0.2</v>
      </c>
      <c r="N326" s="62">
        <f t="shared" si="54"/>
        <v>0.79103659999999998</v>
      </c>
      <c r="O326" s="62">
        <f t="shared" si="55"/>
        <v>4</v>
      </c>
      <c r="P326" s="62">
        <f t="shared" si="56"/>
        <v>-3.2089634</v>
      </c>
      <c r="Q326" s="63">
        <f t="shared" si="58"/>
        <v>0</v>
      </c>
      <c r="R326" s="60" t="str">
        <f t="shared" si="57"/>
        <v>Sa 16:00</v>
      </c>
      <c r="S326" s="58">
        <f t="shared" si="59"/>
        <v>37.216000000000001</v>
      </c>
    </row>
    <row r="327" spans="4:19" ht="15" customHeight="1" x14ac:dyDescent="0.35">
      <c r="D327" s="59">
        <v>306</v>
      </c>
      <c r="E327" s="59">
        <f t="shared" si="48"/>
        <v>13</v>
      </c>
      <c r="F327" s="59">
        <f t="shared" si="49"/>
        <v>6</v>
      </c>
      <c r="G327" s="60" t="str">
        <f t="shared" si="50"/>
        <v>Sa</v>
      </c>
      <c r="H327" s="61">
        <f t="shared" si="51"/>
        <v>17</v>
      </c>
      <c r="I327" s="60" t="str">
        <f t="shared" si="52"/>
        <v>Samstag</v>
      </c>
      <c r="J327" s="39">
        <f>INDEX(Zapfprofil!$B$61:$H$61,F327)</f>
        <v>2.5000000000000001E-2</v>
      </c>
      <c r="K327" s="39">
        <f>INDEX(Zapfprofil!$AL$19:$AN$42,H327+1,IF(F327&lt;=5,1,IF(F327=6,2,3)))</f>
        <v>4.4999999999999998E-2</v>
      </c>
      <c r="L327" s="62">
        <f t="shared" si="53"/>
        <v>0.48357540000000004</v>
      </c>
      <c r="M327" s="62">
        <f>Eingaben!$B$29</f>
        <v>0.2</v>
      </c>
      <c r="N327" s="62">
        <f t="shared" si="54"/>
        <v>0.68357540000000006</v>
      </c>
      <c r="O327" s="62">
        <f t="shared" si="55"/>
        <v>4</v>
      </c>
      <c r="P327" s="62">
        <f t="shared" si="56"/>
        <v>-3.3164245999999999</v>
      </c>
      <c r="Q327" s="63">
        <f t="shared" si="58"/>
        <v>0</v>
      </c>
      <c r="R327" s="60" t="str">
        <f t="shared" si="57"/>
        <v>Sa 17:00</v>
      </c>
      <c r="S327" s="58">
        <f t="shared" si="59"/>
        <v>37.216000000000001</v>
      </c>
    </row>
    <row r="328" spans="4:19" ht="15" customHeight="1" x14ac:dyDescent="0.35">
      <c r="D328" s="59">
        <v>307</v>
      </c>
      <c r="E328" s="59">
        <f t="shared" si="48"/>
        <v>13</v>
      </c>
      <c r="F328" s="59">
        <f t="shared" si="49"/>
        <v>6</v>
      </c>
      <c r="G328" s="60" t="str">
        <f t="shared" si="50"/>
        <v>Sa</v>
      </c>
      <c r="H328" s="61">
        <f t="shared" si="51"/>
        <v>18</v>
      </c>
      <c r="I328" s="60" t="str">
        <f t="shared" si="52"/>
        <v>Samstag</v>
      </c>
      <c r="J328" s="39">
        <f>INDEX(Zapfprofil!$B$61:$H$61,F328)</f>
        <v>2.5000000000000001E-2</v>
      </c>
      <c r="K328" s="39">
        <f>INDEX(Zapfprofil!$AL$19:$AN$42,H328+1,IF(F328&lt;=5,1,IF(F328=6,2,3)))</f>
        <v>0.04</v>
      </c>
      <c r="L328" s="62">
        <f t="shared" si="53"/>
        <v>0.42984480000000008</v>
      </c>
      <c r="M328" s="62">
        <f>Eingaben!$B$29</f>
        <v>0.2</v>
      </c>
      <c r="N328" s="62">
        <f t="shared" si="54"/>
        <v>0.62984480000000009</v>
      </c>
      <c r="O328" s="62">
        <f t="shared" si="55"/>
        <v>4</v>
      </c>
      <c r="P328" s="62">
        <f t="shared" si="56"/>
        <v>-3.3701552000000001</v>
      </c>
      <c r="Q328" s="63">
        <f t="shared" si="58"/>
        <v>0</v>
      </c>
      <c r="R328" s="60" t="str">
        <f t="shared" si="57"/>
        <v>Sa 18:00</v>
      </c>
      <c r="S328" s="58">
        <f t="shared" si="59"/>
        <v>37.216000000000001</v>
      </c>
    </row>
    <row r="329" spans="4:19" ht="15" customHeight="1" x14ac:dyDescent="0.35">
      <c r="D329" s="59">
        <v>308</v>
      </c>
      <c r="E329" s="59">
        <f t="shared" si="48"/>
        <v>13</v>
      </c>
      <c r="F329" s="59">
        <f t="shared" si="49"/>
        <v>6</v>
      </c>
      <c r="G329" s="60" t="str">
        <f t="shared" si="50"/>
        <v>Sa</v>
      </c>
      <c r="H329" s="61">
        <f t="shared" si="51"/>
        <v>19</v>
      </c>
      <c r="I329" s="60" t="str">
        <f t="shared" si="52"/>
        <v>Samstag</v>
      </c>
      <c r="J329" s="39">
        <f>INDEX(Zapfprofil!$B$61:$H$61,F329)</f>
        <v>2.5000000000000001E-2</v>
      </c>
      <c r="K329" s="39">
        <f>INDEX(Zapfprofil!$AL$19:$AN$42,H329+1,IF(F329&lt;=5,1,IF(F329=6,2,3)))</f>
        <v>3.5000000000000003E-2</v>
      </c>
      <c r="L329" s="62">
        <f t="shared" si="53"/>
        <v>0.37611420000000007</v>
      </c>
      <c r="M329" s="62">
        <f>Eingaben!$B$29</f>
        <v>0.2</v>
      </c>
      <c r="N329" s="62">
        <f t="shared" si="54"/>
        <v>0.57611420000000013</v>
      </c>
      <c r="O329" s="62">
        <f t="shared" si="55"/>
        <v>4</v>
      </c>
      <c r="P329" s="62">
        <f t="shared" si="56"/>
        <v>-3.4238857999999999</v>
      </c>
      <c r="Q329" s="63">
        <f t="shared" si="58"/>
        <v>0</v>
      </c>
      <c r="R329" s="60" t="str">
        <f t="shared" si="57"/>
        <v>Sa 19:00</v>
      </c>
      <c r="S329" s="58">
        <f t="shared" si="59"/>
        <v>37.216000000000001</v>
      </c>
    </row>
    <row r="330" spans="4:19" ht="15" customHeight="1" x14ac:dyDescent="0.35">
      <c r="D330" s="59">
        <v>309</v>
      </c>
      <c r="E330" s="59">
        <f t="shared" si="48"/>
        <v>13</v>
      </c>
      <c r="F330" s="59">
        <f t="shared" si="49"/>
        <v>6</v>
      </c>
      <c r="G330" s="60" t="str">
        <f t="shared" si="50"/>
        <v>Sa</v>
      </c>
      <c r="H330" s="61">
        <f t="shared" si="51"/>
        <v>20</v>
      </c>
      <c r="I330" s="60" t="str">
        <f t="shared" si="52"/>
        <v>Samstag</v>
      </c>
      <c r="J330" s="39">
        <f>INDEX(Zapfprofil!$B$61:$H$61,F330)</f>
        <v>2.5000000000000001E-2</v>
      </c>
      <c r="K330" s="39">
        <f>INDEX(Zapfprofil!$AL$19:$AN$42,H330+1,IF(F330&lt;=5,1,IF(F330=6,2,3)))</f>
        <v>0.03</v>
      </c>
      <c r="L330" s="62">
        <f t="shared" si="53"/>
        <v>0.32238360000000005</v>
      </c>
      <c r="M330" s="62">
        <f>Eingaben!$B$29</f>
        <v>0.2</v>
      </c>
      <c r="N330" s="62">
        <f t="shared" si="54"/>
        <v>0.52238360000000006</v>
      </c>
      <c r="O330" s="62">
        <f t="shared" si="55"/>
        <v>4</v>
      </c>
      <c r="P330" s="62">
        <f t="shared" si="56"/>
        <v>-3.4776164000000001</v>
      </c>
      <c r="Q330" s="63">
        <f t="shared" si="58"/>
        <v>0</v>
      </c>
      <c r="R330" s="60" t="str">
        <f t="shared" si="57"/>
        <v>Sa 20:00</v>
      </c>
      <c r="S330" s="58">
        <f t="shared" si="59"/>
        <v>37.216000000000001</v>
      </c>
    </row>
    <row r="331" spans="4:19" ht="15" customHeight="1" x14ac:dyDescent="0.35">
      <c r="D331" s="59">
        <v>310</v>
      </c>
      <c r="E331" s="59">
        <f t="shared" si="48"/>
        <v>13</v>
      </c>
      <c r="F331" s="59">
        <f t="shared" si="49"/>
        <v>6</v>
      </c>
      <c r="G331" s="60" t="str">
        <f t="shared" si="50"/>
        <v>Sa</v>
      </c>
      <c r="H331" s="61">
        <f t="shared" si="51"/>
        <v>21</v>
      </c>
      <c r="I331" s="60" t="str">
        <f t="shared" si="52"/>
        <v>Samstag</v>
      </c>
      <c r="J331" s="39">
        <f>INDEX(Zapfprofil!$B$61:$H$61,F331)</f>
        <v>2.5000000000000001E-2</v>
      </c>
      <c r="K331" s="39">
        <f>INDEX(Zapfprofil!$AL$19:$AN$42,H331+1,IF(F331&lt;=5,1,IF(F331=6,2,3)))</f>
        <v>2.5000000000000001E-2</v>
      </c>
      <c r="L331" s="62">
        <f t="shared" si="53"/>
        <v>0.26865300000000003</v>
      </c>
      <c r="M331" s="62">
        <f>Eingaben!$B$29</f>
        <v>0.2</v>
      </c>
      <c r="N331" s="62">
        <f t="shared" si="54"/>
        <v>0.46865300000000004</v>
      </c>
      <c r="O331" s="62">
        <f t="shared" si="55"/>
        <v>4</v>
      </c>
      <c r="P331" s="62">
        <f t="shared" si="56"/>
        <v>-3.5313469999999998</v>
      </c>
      <c r="Q331" s="63">
        <f t="shared" si="58"/>
        <v>0</v>
      </c>
      <c r="R331" s="60" t="str">
        <f t="shared" si="57"/>
        <v>Sa 21:00</v>
      </c>
      <c r="S331" s="58">
        <f t="shared" si="59"/>
        <v>37.216000000000001</v>
      </c>
    </row>
    <row r="332" spans="4:19" ht="15" customHeight="1" x14ac:dyDescent="0.35">
      <c r="D332" s="59">
        <v>311</v>
      </c>
      <c r="E332" s="59">
        <f t="shared" si="48"/>
        <v>13</v>
      </c>
      <c r="F332" s="59">
        <f t="shared" si="49"/>
        <v>6</v>
      </c>
      <c r="G332" s="60" t="str">
        <f t="shared" si="50"/>
        <v>Sa</v>
      </c>
      <c r="H332" s="61">
        <f t="shared" si="51"/>
        <v>22</v>
      </c>
      <c r="I332" s="60" t="str">
        <f t="shared" si="52"/>
        <v>Samstag</v>
      </c>
      <c r="J332" s="39">
        <f>INDEX(Zapfprofil!$B$61:$H$61,F332)</f>
        <v>2.5000000000000001E-2</v>
      </c>
      <c r="K332" s="39">
        <f>INDEX(Zapfprofil!$AL$19:$AN$42,H332+1,IF(F332&lt;=5,1,IF(F332=6,2,3)))</f>
        <v>2.5000000000000001E-2</v>
      </c>
      <c r="L332" s="62">
        <f t="shared" si="53"/>
        <v>0.26865300000000003</v>
      </c>
      <c r="M332" s="62">
        <f>Eingaben!$B$29</f>
        <v>0.2</v>
      </c>
      <c r="N332" s="62">
        <f t="shared" si="54"/>
        <v>0.46865300000000004</v>
      </c>
      <c r="O332" s="62">
        <f t="shared" si="55"/>
        <v>4</v>
      </c>
      <c r="P332" s="62">
        <f t="shared" si="56"/>
        <v>-3.5313469999999998</v>
      </c>
      <c r="Q332" s="63">
        <f t="shared" si="58"/>
        <v>0</v>
      </c>
      <c r="R332" s="60" t="str">
        <f t="shared" si="57"/>
        <v>Sa 22:00</v>
      </c>
      <c r="S332" s="58">
        <f t="shared" si="59"/>
        <v>37.216000000000001</v>
      </c>
    </row>
    <row r="333" spans="4:19" ht="15" customHeight="1" x14ac:dyDescent="0.35">
      <c r="D333" s="59">
        <v>312</v>
      </c>
      <c r="E333" s="59">
        <f t="shared" si="48"/>
        <v>13</v>
      </c>
      <c r="F333" s="59">
        <f t="shared" si="49"/>
        <v>6</v>
      </c>
      <c r="G333" s="60" t="str">
        <f t="shared" si="50"/>
        <v>Sa</v>
      </c>
      <c r="H333" s="61">
        <f t="shared" si="51"/>
        <v>23</v>
      </c>
      <c r="I333" s="60" t="str">
        <f t="shared" si="52"/>
        <v>Samstag</v>
      </c>
      <c r="J333" s="39">
        <f>INDEX(Zapfprofil!$B$61:$H$61,F333)</f>
        <v>2.5000000000000001E-2</v>
      </c>
      <c r="K333" s="39">
        <f>INDEX(Zapfprofil!$AL$19:$AN$42,H333+1,IF(F333&lt;=5,1,IF(F333=6,2,3)))</f>
        <v>2.5000000000000001E-2</v>
      </c>
      <c r="L333" s="62">
        <f t="shared" si="53"/>
        <v>0.26865300000000003</v>
      </c>
      <c r="M333" s="62">
        <f>Eingaben!$B$29</f>
        <v>0.2</v>
      </c>
      <c r="N333" s="62">
        <f t="shared" si="54"/>
        <v>0.46865300000000004</v>
      </c>
      <c r="O333" s="62">
        <f t="shared" si="55"/>
        <v>4</v>
      </c>
      <c r="P333" s="62">
        <f t="shared" si="56"/>
        <v>-3.5313469999999998</v>
      </c>
      <c r="Q333" s="63">
        <f t="shared" si="58"/>
        <v>0</v>
      </c>
      <c r="R333" s="60" t="str">
        <f t="shared" si="57"/>
        <v>Sa 23:00</v>
      </c>
      <c r="S333" s="58">
        <f t="shared" si="59"/>
        <v>37.216000000000001</v>
      </c>
    </row>
    <row r="334" spans="4:19" ht="15" customHeight="1" x14ac:dyDescent="0.35">
      <c r="D334" s="59">
        <v>313</v>
      </c>
      <c r="E334" s="59">
        <f t="shared" si="48"/>
        <v>14</v>
      </c>
      <c r="F334" s="59">
        <f t="shared" si="49"/>
        <v>7</v>
      </c>
      <c r="G334" s="60" t="str">
        <f t="shared" si="50"/>
        <v>So</v>
      </c>
      <c r="H334" s="61">
        <f t="shared" si="51"/>
        <v>0</v>
      </c>
      <c r="I334" s="60" t="str">
        <f t="shared" si="52"/>
        <v>Sonntag</v>
      </c>
      <c r="J334" s="39">
        <f>INDEX(Zapfprofil!$B$61:$H$61,F334)</f>
        <v>2.5000000000000001E-2</v>
      </c>
      <c r="K334" s="39">
        <f>INDEX(Zapfprofil!$AL$19:$AN$42,H334+1,IF(F334&lt;=5,1,IF(F334=6,2,3)))</f>
        <v>0.02</v>
      </c>
      <c r="L334" s="62">
        <f t="shared" si="53"/>
        <v>0.21492240000000004</v>
      </c>
      <c r="M334" s="62">
        <f>Eingaben!$B$29</f>
        <v>0.2</v>
      </c>
      <c r="N334" s="62">
        <f t="shared" si="54"/>
        <v>0.41492240000000002</v>
      </c>
      <c r="O334" s="62">
        <f t="shared" si="55"/>
        <v>4</v>
      </c>
      <c r="P334" s="62">
        <f t="shared" si="56"/>
        <v>-3.5850776</v>
      </c>
      <c r="Q334" s="63">
        <f t="shared" si="58"/>
        <v>0</v>
      </c>
      <c r="R334" s="60" t="str">
        <f t="shared" si="57"/>
        <v>So 00:00</v>
      </c>
      <c r="S334" s="58">
        <f t="shared" si="59"/>
        <v>37.216000000000001</v>
      </c>
    </row>
    <row r="335" spans="4:19" ht="15" customHeight="1" x14ac:dyDescent="0.35">
      <c r="D335" s="59">
        <v>314</v>
      </c>
      <c r="E335" s="59">
        <f t="shared" si="48"/>
        <v>14</v>
      </c>
      <c r="F335" s="59">
        <f t="shared" si="49"/>
        <v>7</v>
      </c>
      <c r="G335" s="60" t="str">
        <f t="shared" si="50"/>
        <v>So</v>
      </c>
      <c r="H335" s="61">
        <f t="shared" si="51"/>
        <v>1</v>
      </c>
      <c r="I335" s="60" t="str">
        <f t="shared" si="52"/>
        <v>Sonntag</v>
      </c>
      <c r="J335" s="39">
        <f>INDEX(Zapfprofil!$B$61:$H$61,F335)</f>
        <v>2.5000000000000001E-2</v>
      </c>
      <c r="K335" s="39">
        <f>INDEX(Zapfprofil!$AL$19:$AN$42,H335+1,IF(F335&lt;=5,1,IF(F335=6,2,3)))</f>
        <v>0.02</v>
      </c>
      <c r="L335" s="62">
        <f t="shared" si="53"/>
        <v>0.21492240000000004</v>
      </c>
      <c r="M335" s="62">
        <f>Eingaben!$B$29</f>
        <v>0.2</v>
      </c>
      <c r="N335" s="62">
        <f t="shared" si="54"/>
        <v>0.41492240000000002</v>
      </c>
      <c r="O335" s="62">
        <f t="shared" si="55"/>
        <v>4</v>
      </c>
      <c r="P335" s="62">
        <f t="shared" si="56"/>
        <v>-3.5850776</v>
      </c>
      <c r="Q335" s="63">
        <f t="shared" si="58"/>
        <v>0</v>
      </c>
      <c r="R335" s="60" t="str">
        <f t="shared" si="57"/>
        <v>So 01:00</v>
      </c>
      <c r="S335" s="58">
        <f t="shared" si="59"/>
        <v>37.216000000000001</v>
      </c>
    </row>
    <row r="336" spans="4:19" ht="15" customHeight="1" x14ac:dyDescent="0.35">
      <c r="D336" s="59">
        <v>315</v>
      </c>
      <c r="E336" s="59">
        <f t="shared" si="48"/>
        <v>14</v>
      </c>
      <c r="F336" s="59">
        <f t="shared" si="49"/>
        <v>7</v>
      </c>
      <c r="G336" s="60" t="str">
        <f t="shared" si="50"/>
        <v>So</v>
      </c>
      <c r="H336" s="61">
        <f t="shared" si="51"/>
        <v>2</v>
      </c>
      <c r="I336" s="60" t="str">
        <f t="shared" si="52"/>
        <v>Sonntag</v>
      </c>
      <c r="J336" s="39">
        <f>INDEX(Zapfprofil!$B$61:$H$61,F336)</f>
        <v>2.5000000000000001E-2</v>
      </c>
      <c r="K336" s="39">
        <f>INDEX(Zapfprofil!$AL$19:$AN$42,H336+1,IF(F336&lt;=5,1,IF(F336=6,2,3)))</f>
        <v>0.02</v>
      </c>
      <c r="L336" s="62">
        <f t="shared" si="53"/>
        <v>0.21492240000000004</v>
      </c>
      <c r="M336" s="62">
        <f>Eingaben!$B$29</f>
        <v>0.2</v>
      </c>
      <c r="N336" s="62">
        <f t="shared" si="54"/>
        <v>0.41492240000000002</v>
      </c>
      <c r="O336" s="62">
        <f t="shared" si="55"/>
        <v>4</v>
      </c>
      <c r="P336" s="62">
        <f t="shared" si="56"/>
        <v>-3.5850776</v>
      </c>
      <c r="Q336" s="63">
        <f t="shared" si="58"/>
        <v>0</v>
      </c>
      <c r="R336" s="60" t="str">
        <f t="shared" si="57"/>
        <v>So 02:00</v>
      </c>
      <c r="S336" s="58">
        <f t="shared" si="59"/>
        <v>37.216000000000001</v>
      </c>
    </row>
    <row r="337" spans="4:19" ht="15" customHeight="1" x14ac:dyDescent="0.35">
      <c r="D337" s="59">
        <v>316</v>
      </c>
      <c r="E337" s="59">
        <f t="shared" si="48"/>
        <v>14</v>
      </c>
      <c r="F337" s="59">
        <f t="shared" si="49"/>
        <v>7</v>
      </c>
      <c r="G337" s="60" t="str">
        <f t="shared" si="50"/>
        <v>So</v>
      </c>
      <c r="H337" s="61">
        <f t="shared" si="51"/>
        <v>3</v>
      </c>
      <c r="I337" s="60" t="str">
        <f t="shared" si="52"/>
        <v>Sonntag</v>
      </c>
      <c r="J337" s="39">
        <f>INDEX(Zapfprofil!$B$61:$H$61,F337)</f>
        <v>2.5000000000000001E-2</v>
      </c>
      <c r="K337" s="39">
        <f>INDEX(Zapfprofil!$AL$19:$AN$42,H337+1,IF(F337&lt;=5,1,IF(F337=6,2,3)))</f>
        <v>0.02</v>
      </c>
      <c r="L337" s="62">
        <f t="shared" si="53"/>
        <v>0.21492240000000004</v>
      </c>
      <c r="M337" s="62">
        <f>Eingaben!$B$29</f>
        <v>0.2</v>
      </c>
      <c r="N337" s="62">
        <f t="shared" si="54"/>
        <v>0.41492240000000002</v>
      </c>
      <c r="O337" s="62">
        <f t="shared" si="55"/>
        <v>4</v>
      </c>
      <c r="P337" s="62">
        <f t="shared" si="56"/>
        <v>-3.5850776</v>
      </c>
      <c r="Q337" s="63">
        <f t="shared" si="58"/>
        <v>0</v>
      </c>
      <c r="R337" s="60" t="str">
        <f t="shared" si="57"/>
        <v>So 03:00</v>
      </c>
      <c r="S337" s="58">
        <f t="shared" si="59"/>
        <v>37.216000000000001</v>
      </c>
    </row>
    <row r="338" spans="4:19" ht="15" customHeight="1" x14ac:dyDescent="0.35">
      <c r="D338" s="59">
        <v>317</v>
      </c>
      <c r="E338" s="59">
        <f t="shared" si="48"/>
        <v>14</v>
      </c>
      <c r="F338" s="59">
        <f t="shared" si="49"/>
        <v>7</v>
      </c>
      <c r="G338" s="60" t="str">
        <f t="shared" si="50"/>
        <v>So</v>
      </c>
      <c r="H338" s="61">
        <f t="shared" si="51"/>
        <v>4</v>
      </c>
      <c r="I338" s="60" t="str">
        <f t="shared" si="52"/>
        <v>Sonntag</v>
      </c>
      <c r="J338" s="39">
        <f>INDEX(Zapfprofil!$B$61:$H$61,F338)</f>
        <v>2.5000000000000001E-2</v>
      </c>
      <c r="K338" s="39">
        <f>INDEX(Zapfprofil!$AL$19:$AN$42,H338+1,IF(F338&lt;=5,1,IF(F338=6,2,3)))</f>
        <v>0.02</v>
      </c>
      <c r="L338" s="62">
        <f t="shared" si="53"/>
        <v>0.21492240000000004</v>
      </c>
      <c r="M338" s="62">
        <f>Eingaben!$B$29</f>
        <v>0.2</v>
      </c>
      <c r="N338" s="62">
        <f t="shared" si="54"/>
        <v>0.41492240000000002</v>
      </c>
      <c r="O338" s="62">
        <f t="shared" si="55"/>
        <v>4</v>
      </c>
      <c r="P338" s="62">
        <f t="shared" si="56"/>
        <v>-3.5850776</v>
      </c>
      <c r="Q338" s="63">
        <f t="shared" si="58"/>
        <v>0</v>
      </c>
      <c r="R338" s="60" t="str">
        <f t="shared" si="57"/>
        <v>So 04:00</v>
      </c>
      <c r="S338" s="58">
        <f t="shared" si="59"/>
        <v>37.216000000000001</v>
      </c>
    </row>
    <row r="339" spans="4:19" ht="15" customHeight="1" x14ac:dyDescent="0.35">
      <c r="D339" s="59">
        <v>318</v>
      </c>
      <c r="E339" s="59">
        <f t="shared" si="48"/>
        <v>14</v>
      </c>
      <c r="F339" s="59">
        <f t="shared" si="49"/>
        <v>7</v>
      </c>
      <c r="G339" s="60" t="str">
        <f t="shared" si="50"/>
        <v>So</v>
      </c>
      <c r="H339" s="61">
        <f t="shared" si="51"/>
        <v>5</v>
      </c>
      <c r="I339" s="60" t="str">
        <f t="shared" si="52"/>
        <v>Sonntag</v>
      </c>
      <c r="J339" s="39">
        <f>INDEX(Zapfprofil!$B$61:$H$61,F339)</f>
        <v>2.5000000000000001E-2</v>
      </c>
      <c r="K339" s="39">
        <f>INDEX(Zapfprofil!$AL$19:$AN$42,H339+1,IF(F339&lt;=5,1,IF(F339=6,2,3)))</f>
        <v>0.02</v>
      </c>
      <c r="L339" s="62">
        <f t="shared" si="53"/>
        <v>0.21492240000000004</v>
      </c>
      <c r="M339" s="62">
        <f>Eingaben!$B$29</f>
        <v>0.2</v>
      </c>
      <c r="N339" s="62">
        <f t="shared" si="54"/>
        <v>0.41492240000000002</v>
      </c>
      <c r="O339" s="62">
        <f t="shared" si="55"/>
        <v>4</v>
      </c>
      <c r="P339" s="62">
        <f t="shared" si="56"/>
        <v>-3.5850776</v>
      </c>
      <c r="Q339" s="63">
        <f t="shared" si="58"/>
        <v>0</v>
      </c>
      <c r="R339" s="60" t="str">
        <f t="shared" si="57"/>
        <v>So 05:00</v>
      </c>
      <c r="S339" s="58">
        <f t="shared" si="59"/>
        <v>37.216000000000001</v>
      </c>
    </row>
    <row r="340" spans="4:19" ht="15" customHeight="1" x14ac:dyDescent="0.35">
      <c r="D340" s="59">
        <v>319</v>
      </c>
      <c r="E340" s="59">
        <f t="shared" si="48"/>
        <v>14</v>
      </c>
      <c r="F340" s="59">
        <f t="shared" si="49"/>
        <v>7</v>
      </c>
      <c r="G340" s="60" t="str">
        <f t="shared" si="50"/>
        <v>So</v>
      </c>
      <c r="H340" s="61">
        <f t="shared" si="51"/>
        <v>6</v>
      </c>
      <c r="I340" s="60" t="str">
        <f t="shared" si="52"/>
        <v>Sonntag</v>
      </c>
      <c r="J340" s="39">
        <f>INDEX(Zapfprofil!$B$61:$H$61,F340)</f>
        <v>2.5000000000000001E-2</v>
      </c>
      <c r="K340" s="39">
        <f>INDEX(Zapfprofil!$AL$19:$AN$42,H340+1,IF(F340&lt;=5,1,IF(F340=6,2,3)))</f>
        <v>0.03</v>
      </c>
      <c r="L340" s="62">
        <f t="shared" si="53"/>
        <v>0.32238360000000005</v>
      </c>
      <c r="M340" s="62">
        <f>Eingaben!$B$29</f>
        <v>0.2</v>
      </c>
      <c r="N340" s="62">
        <f t="shared" si="54"/>
        <v>0.52238360000000006</v>
      </c>
      <c r="O340" s="62">
        <f t="shared" si="55"/>
        <v>4</v>
      </c>
      <c r="P340" s="62">
        <f t="shared" si="56"/>
        <v>-3.4776164000000001</v>
      </c>
      <c r="Q340" s="63">
        <f t="shared" si="58"/>
        <v>0</v>
      </c>
      <c r="R340" s="60" t="str">
        <f t="shared" si="57"/>
        <v>So 06:00</v>
      </c>
      <c r="S340" s="58">
        <f t="shared" si="59"/>
        <v>37.216000000000001</v>
      </c>
    </row>
    <row r="341" spans="4:19" ht="15" customHeight="1" x14ac:dyDescent="0.35">
      <c r="D341" s="59">
        <v>320</v>
      </c>
      <c r="E341" s="59">
        <f t="shared" si="48"/>
        <v>14</v>
      </c>
      <c r="F341" s="59">
        <f t="shared" si="49"/>
        <v>7</v>
      </c>
      <c r="G341" s="60" t="str">
        <f t="shared" si="50"/>
        <v>So</v>
      </c>
      <c r="H341" s="61">
        <f t="shared" si="51"/>
        <v>7</v>
      </c>
      <c r="I341" s="60" t="str">
        <f t="shared" si="52"/>
        <v>Sonntag</v>
      </c>
      <c r="J341" s="39">
        <f>INDEX(Zapfprofil!$B$61:$H$61,F341)</f>
        <v>2.5000000000000001E-2</v>
      </c>
      <c r="K341" s="39">
        <f>INDEX(Zapfprofil!$AL$19:$AN$42,H341+1,IF(F341&lt;=5,1,IF(F341=6,2,3)))</f>
        <v>0.04</v>
      </c>
      <c r="L341" s="62">
        <f t="shared" si="53"/>
        <v>0.42984480000000008</v>
      </c>
      <c r="M341" s="62">
        <f>Eingaben!$B$29</f>
        <v>0.2</v>
      </c>
      <c r="N341" s="62">
        <f t="shared" si="54"/>
        <v>0.62984480000000009</v>
      </c>
      <c r="O341" s="62">
        <f t="shared" si="55"/>
        <v>4</v>
      </c>
      <c r="P341" s="62">
        <f t="shared" si="56"/>
        <v>-3.3701552000000001</v>
      </c>
      <c r="Q341" s="63">
        <f t="shared" si="58"/>
        <v>0</v>
      </c>
      <c r="R341" s="60" t="str">
        <f t="shared" si="57"/>
        <v>So 07:00</v>
      </c>
      <c r="S341" s="58">
        <f t="shared" si="59"/>
        <v>37.216000000000001</v>
      </c>
    </row>
    <row r="342" spans="4:19" ht="15" customHeight="1" x14ac:dyDescent="0.35">
      <c r="D342" s="59">
        <v>321</v>
      </c>
      <c r="E342" s="59">
        <f t="shared" ref="E342:E405" si="60">INT((D342-1)/24)+1</f>
        <v>14</v>
      </c>
      <c r="F342" s="59">
        <f t="shared" ref="F342:F405" si="61">MOD(E342-1,7)+1</f>
        <v>7</v>
      </c>
      <c r="G342" s="60" t="str">
        <f t="shared" ref="G342:G405" si="62">CHOOSE(F342,"Mo","Di","Mi","Do","Fr","Sa","So")</f>
        <v>So</v>
      </c>
      <c r="H342" s="61">
        <f t="shared" ref="H342:H357" si="63">MOD(D342-1,24)</f>
        <v>8</v>
      </c>
      <c r="I342" s="60" t="str">
        <f t="shared" ref="I342:I357" si="64">IF(F342&lt;=5,"Werktag",IF(F342=6,"Samstag","Sonntag"))</f>
        <v>Sonntag</v>
      </c>
      <c r="J342" s="39">
        <f>INDEX(Zapfprofil!$B$61:$H$61,F342)</f>
        <v>2.5000000000000001E-2</v>
      </c>
      <c r="K342" s="39">
        <f>INDEX(Zapfprofil!$AL$19:$AN$42,H342+1,IF(F342&lt;=5,1,IF(F342=6,2,3)))</f>
        <v>0.05</v>
      </c>
      <c r="L342" s="62">
        <f t="shared" ref="L342:L405" si="65">$B$17*J342*K342*$B$16</f>
        <v>0.53730600000000006</v>
      </c>
      <c r="M342" s="62">
        <f>Eingaben!$B$29</f>
        <v>0.2</v>
      </c>
      <c r="N342" s="62">
        <f t="shared" ref="N342:N405" si="66">L342+M342</f>
        <v>0.73730600000000002</v>
      </c>
      <c r="O342" s="62">
        <f t="shared" ref="O342:O357" si="67">$B$12</f>
        <v>4</v>
      </c>
      <c r="P342" s="62">
        <f t="shared" ref="P342:P405" si="68">N342-O342</f>
        <v>-3.2626939999999998</v>
      </c>
      <c r="Q342" s="63">
        <f t="shared" si="58"/>
        <v>0</v>
      </c>
      <c r="R342" s="60" t="str">
        <f t="shared" ref="R342:R357" si="69">G342&amp;" "&amp;RIGHT("0"&amp;H342,2)&amp;":00"</f>
        <v>So 08:00</v>
      </c>
      <c r="S342" s="58">
        <f t="shared" si="59"/>
        <v>37.216000000000001</v>
      </c>
    </row>
    <row r="343" spans="4:19" ht="15" customHeight="1" x14ac:dyDescent="0.35">
      <c r="D343" s="59">
        <v>322</v>
      </c>
      <c r="E343" s="59">
        <f t="shared" si="60"/>
        <v>14</v>
      </c>
      <c r="F343" s="59">
        <f t="shared" si="61"/>
        <v>7</v>
      </c>
      <c r="G343" s="60" t="str">
        <f t="shared" si="62"/>
        <v>So</v>
      </c>
      <c r="H343" s="61">
        <f t="shared" si="63"/>
        <v>9</v>
      </c>
      <c r="I343" s="60" t="str">
        <f t="shared" si="64"/>
        <v>Sonntag</v>
      </c>
      <c r="J343" s="39">
        <f>INDEX(Zapfprofil!$B$61:$H$61,F343)</f>
        <v>2.5000000000000001E-2</v>
      </c>
      <c r="K343" s="39">
        <f>INDEX(Zapfprofil!$AL$19:$AN$42,H343+1,IF(F343&lt;=5,1,IF(F343=6,2,3)))</f>
        <v>6.5000000000000002E-2</v>
      </c>
      <c r="L343" s="62">
        <f t="shared" si="65"/>
        <v>0.69849780000000006</v>
      </c>
      <c r="M343" s="62">
        <f>Eingaben!$B$29</f>
        <v>0.2</v>
      </c>
      <c r="N343" s="62">
        <f t="shared" si="66"/>
        <v>0.89849780000000012</v>
      </c>
      <c r="O343" s="62">
        <f t="shared" si="67"/>
        <v>4</v>
      </c>
      <c r="P343" s="62">
        <f t="shared" si="68"/>
        <v>-3.1015021999999997</v>
      </c>
      <c r="Q343" s="63">
        <f t="shared" ref="Q343:Q406" si="70">MAX(0,Q342+P343)</f>
        <v>0</v>
      </c>
      <c r="R343" s="60" t="str">
        <f t="shared" si="69"/>
        <v>So 09:00</v>
      </c>
      <c r="S343" s="58">
        <f t="shared" ref="S343:S357" si="71">MAX(0,$B$419-Q343)</f>
        <v>37.216000000000001</v>
      </c>
    </row>
    <row r="344" spans="4:19" ht="15" customHeight="1" x14ac:dyDescent="0.35">
      <c r="D344" s="59">
        <v>323</v>
      </c>
      <c r="E344" s="59">
        <f t="shared" si="60"/>
        <v>14</v>
      </c>
      <c r="F344" s="59">
        <f t="shared" si="61"/>
        <v>7</v>
      </c>
      <c r="G344" s="60" t="str">
        <f t="shared" si="62"/>
        <v>So</v>
      </c>
      <c r="H344" s="61">
        <f t="shared" si="63"/>
        <v>10</v>
      </c>
      <c r="I344" s="60" t="str">
        <f t="shared" si="64"/>
        <v>Sonntag</v>
      </c>
      <c r="J344" s="39">
        <f>INDEX(Zapfprofil!$B$61:$H$61,F344)</f>
        <v>2.5000000000000001E-2</v>
      </c>
      <c r="K344" s="39">
        <f>INDEX(Zapfprofil!$AL$19:$AN$42,H344+1,IF(F344&lt;=5,1,IF(F344=6,2,3)))</f>
        <v>7.0000000000000007E-2</v>
      </c>
      <c r="L344" s="62">
        <f t="shared" si="65"/>
        <v>0.75222840000000013</v>
      </c>
      <c r="M344" s="62">
        <f>Eingaben!$B$29</f>
        <v>0.2</v>
      </c>
      <c r="N344" s="62">
        <f t="shared" si="66"/>
        <v>0.95222840000000009</v>
      </c>
      <c r="O344" s="62">
        <f t="shared" si="67"/>
        <v>4</v>
      </c>
      <c r="P344" s="62">
        <f t="shared" si="68"/>
        <v>-3.0477715999999999</v>
      </c>
      <c r="Q344" s="63">
        <f t="shared" si="70"/>
        <v>0</v>
      </c>
      <c r="R344" s="60" t="str">
        <f t="shared" si="69"/>
        <v>So 10:00</v>
      </c>
      <c r="S344" s="58">
        <f t="shared" si="71"/>
        <v>37.216000000000001</v>
      </c>
    </row>
    <row r="345" spans="4:19" ht="15" customHeight="1" x14ac:dyDescent="0.35">
      <c r="D345" s="59">
        <v>324</v>
      </c>
      <c r="E345" s="59">
        <f t="shared" si="60"/>
        <v>14</v>
      </c>
      <c r="F345" s="59">
        <f t="shared" si="61"/>
        <v>7</v>
      </c>
      <c r="G345" s="60" t="str">
        <f t="shared" si="62"/>
        <v>So</v>
      </c>
      <c r="H345" s="61">
        <f t="shared" si="63"/>
        <v>11</v>
      </c>
      <c r="I345" s="60" t="str">
        <f t="shared" si="64"/>
        <v>Sonntag</v>
      </c>
      <c r="J345" s="39">
        <f>INDEX(Zapfprofil!$B$61:$H$61,F345)</f>
        <v>2.5000000000000001E-2</v>
      </c>
      <c r="K345" s="39">
        <f>INDEX(Zapfprofil!$AL$19:$AN$42,H345+1,IF(F345&lt;=5,1,IF(F345=6,2,3)))</f>
        <v>7.4999999999999997E-2</v>
      </c>
      <c r="L345" s="62">
        <f t="shared" si="65"/>
        <v>0.80595900000000009</v>
      </c>
      <c r="M345" s="62">
        <f>Eingaben!$B$29</f>
        <v>0.2</v>
      </c>
      <c r="N345" s="62">
        <f t="shared" si="66"/>
        <v>1.005959</v>
      </c>
      <c r="O345" s="62">
        <f t="shared" si="67"/>
        <v>4</v>
      </c>
      <c r="P345" s="62">
        <f t="shared" si="68"/>
        <v>-2.9940410000000002</v>
      </c>
      <c r="Q345" s="63">
        <f t="shared" si="70"/>
        <v>0</v>
      </c>
      <c r="R345" s="60" t="str">
        <f t="shared" si="69"/>
        <v>So 11:00</v>
      </c>
      <c r="S345" s="58">
        <f t="shared" si="71"/>
        <v>37.216000000000001</v>
      </c>
    </row>
    <row r="346" spans="4:19" ht="15" customHeight="1" x14ac:dyDescent="0.35">
      <c r="D346" s="59">
        <v>325</v>
      </c>
      <c r="E346" s="59">
        <f t="shared" si="60"/>
        <v>14</v>
      </c>
      <c r="F346" s="59">
        <f t="shared" si="61"/>
        <v>7</v>
      </c>
      <c r="G346" s="60" t="str">
        <f t="shared" si="62"/>
        <v>So</v>
      </c>
      <c r="H346" s="61">
        <f t="shared" si="63"/>
        <v>12</v>
      </c>
      <c r="I346" s="60" t="str">
        <f t="shared" si="64"/>
        <v>Sonntag</v>
      </c>
      <c r="J346" s="39">
        <f>INDEX(Zapfprofil!$B$61:$H$61,F346)</f>
        <v>2.5000000000000001E-2</v>
      </c>
      <c r="K346" s="39">
        <f>INDEX(Zapfprofil!$AL$19:$AN$42,H346+1,IF(F346&lt;=5,1,IF(F346=6,2,3)))</f>
        <v>7.4999999999999997E-2</v>
      </c>
      <c r="L346" s="62">
        <f t="shared" si="65"/>
        <v>0.80595900000000009</v>
      </c>
      <c r="M346" s="62">
        <f>Eingaben!$B$29</f>
        <v>0.2</v>
      </c>
      <c r="N346" s="62">
        <f t="shared" si="66"/>
        <v>1.005959</v>
      </c>
      <c r="O346" s="62">
        <f t="shared" si="67"/>
        <v>4</v>
      </c>
      <c r="P346" s="62">
        <f t="shared" si="68"/>
        <v>-2.9940410000000002</v>
      </c>
      <c r="Q346" s="63">
        <f t="shared" si="70"/>
        <v>0</v>
      </c>
      <c r="R346" s="60" t="str">
        <f t="shared" si="69"/>
        <v>So 12:00</v>
      </c>
      <c r="S346" s="58">
        <f t="shared" si="71"/>
        <v>37.216000000000001</v>
      </c>
    </row>
    <row r="347" spans="4:19" ht="15" customHeight="1" x14ac:dyDescent="0.35">
      <c r="D347" s="59">
        <v>326</v>
      </c>
      <c r="E347" s="59">
        <f t="shared" si="60"/>
        <v>14</v>
      </c>
      <c r="F347" s="59">
        <f t="shared" si="61"/>
        <v>7</v>
      </c>
      <c r="G347" s="60" t="str">
        <f t="shared" si="62"/>
        <v>So</v>
      </c>
      <c r="H347" s="61">
        <f t="shared" si="63"/>
        <v>13</v>
      </c>
      <c r="I347" s="60" t="str">
        <f t="shared" si="64"/>
        <v>Sonntag</v>
      </c>
      <c r="J347" s="39">
        <f>INDEX(Zapfprofil!$B$61:$H$61,F347)</f>
        <v>2.5000000000000001E-2</v>
      </c>
      <c r="K347" s="39">
        <f>INDEX(Zapfprofil!$AL$19:$AN$42,H347+1,IF(F347&lt;=5,1,IF(F347=6,2,3)))</f>
        <v>7.0000000000000007E-2</v>
      </c>
      <c r="L347" s="62">
        <f t="shared" si="65"/>
        <v>0.75222840000000013</v>
      </c>
      <c r="M347" s="62">
        <f>Eingaben!$B$29</f>
        <v>0.2</v>
      </c>
      <c r="N347" s="62">
        <f t="shared" si="66"/>
        <v>0.95222840000000009</v>
      </c>
      <c r="O347" s="62">
        <f t="shared" si="67"/>
        <v>4</v>
      </c>
      <c r="P347" s="62">
        <f t="shared" si="68"/>
        <v>-3.0477715999999999</v>
      </c>
      <c r="Q347" s="63">
        <f t="shared" si="70"/>
        <v>0</v>
      </c>
      <c r="R347" s="60" t="str">
        <f t="shared" si="69"/>
        <v>So 13:00</v>
      </c>
      <c r="S347" s="58">
        <f t="shared" si="71"/>
        <v>37.216000000000001</v>
      </c>
    </row>
    <row r="348" spans="4:19" ht="15" customHeight="1" x14ac:dyDescent="0.35">
      <c r="D348" s="59">
        <v>327</v>
      </c>
      <c r="E348" s="59">
        <f t="shared" si="60"/>
        <v>14</v>
      </c>
      <c r="F348" s="59">
        <f t="shared" si="61"/>
        <v>7</v>
      </c>
      <c r="G348" s="60" t="str">
        <f t="shared" si="62"/>
        <v>So</v>
      </c>
      <c r="H348" s="61">
        <f t="shared" si="63"/>
        <v>14</v>
      </c>
      <c r="I348" s="60" t="str">
        <f t="shared" si="64"/>
        <v>Sonntag</v>
      </c>
      <c r="J348" s="39">
        <f>INDEX(Zapfprofil!$B$61:$H$61,F348)</f>
        <v>2.5000000000000001E-2</v>
      </c>
      <c r="K348" s="39">
        <f>INDEX(Zapfprofil!$AL$19:$AN$42,H348+1,IF(F348&lt;=5,1,IF(F348=6,2,3)))</f>
        <v>6.5000000000000002E-2</v>
      </c>
      <c r="L348" s="62">
        <f t="shared" si="65"/>
        <v>0.69849780000000006</v>
      </c>
      <c r="M348" s="62">
        <f>Eingaben!$B$29</f>
        <v>0.2</v>
      </c>
      <c r="N348" s="62">
        <f t="shared" si="66"/>
        <v>0.89849780000000012</v>
      </c>
      <c r="O348" s="62">
        <f t="shared" si="67"/>
        <v>4</v>
      </c>
      <c r="P348" s="62">
        <f t="shared" si="68"/>
        <v>-3.1015021999999997</v>
      </c>
      <c r="Q348" s="63">
        <f t="shared" si="70"/>
        <v>0</v>
      </c>
      <c r="R348" s="60" t="str">
        <f t="shared" si="69"/>
        <v>So 14:00</v>
      </c>
      <c r="S348" s="58">
        <f t="shared" si="71"/>
        <v>37.216000000000001</v>
      </c>
    </row>
    <row r="349" spans="4:19" ht="15" customHeight="1" x14ac:dyDescent="0.35">
      <c r="D349" s="59">
        <v>328</v>
      </c>
      <c r="E349" s="59">
        <f t="shared" si="60"/>
        <v>14</v>
      </c>
      <c r="F349" s="59">
        <f t="shared" si="61"/>
        <v>7</v>
      </c>
      <c r="G349" s="60" t="str">
        <f t="shared" si="62"/>
        <v>So</v>
      </c>
      <c r="H349" s="61">
        <f t="shared" si="63"/>
        <v>15</v>
      </c>
      <c r="I349" s="60" t="str">
        <f t="shared" si="64"/>
        <v>Sonntag</v>
      </c>
      <c r="J349" s="39">
        <f>INDEX(Zapfprofil!$B$61:$H$61,F349)</f>
        <v>2.5000000000000001E-2</v>
      </c>
      <c r="K349" s="39">
        <f>INDEX(Zapfprofil!$AL$19:$AN$42,H349+1,IF(F349&lt;=5,1,IF(F349=6,2,3)))</f>
        <v>0.06</v>
      </c>
      <c r="L349" s="62">
        <f t="shared" si="65"/>
        <v>0.6447672000000001</v>
      </c>
      <c r="M349" s="62">
        <f>Eingaben!$B$29</f>
        <v>0.2</v>
      </c>
      <c r="N349" s="62">
        <f t="shared" si="66"/>
        <v>0.84476720000000016</v>
      </c>
      <c r="O349" s="62">
        <f t="shared" si="67"/>
        <v>4</v>
      </c>
      <c r="P349" s="62">
        <f t="shared" si="68"/>
        <v>-3.1552327999999998</v>
      </c>
      <c r="Q349" s="63">
        <f t="shared" si="70"/>
        <v>0</v>
      </c>
      <c r="R349" s="60" t="str">
        <f t="shared" si="69"/>
        <v>So 15:00</v>
      </c>
      <c r="S349" s="58">
        <f t="shared" si="71"/>
        <v>37.216000000000001</v>
      </c>
    </row>
    <row r="350" spans="4:19" ht="15" customHeight="1" x14ac:dyDescent="0.35">
      <c r="D350" s="59">
        <v>329</v>
      </c>
      <c r="E350" s="59">
        <f t="shared" si="60"/>
        <v>14</v>
      </c>
      <c r="F350" s="59">
        <f t="shared" si="61"/>
        <v>7</v>
      </c>
      <c r="G350" s="60" t="str">
        <f t="shared" si="62"/>
        <v>So</v>
      </c>
      <c r="H350" s="61">
        <f t="shared" si="63"/>
        <v>16</v>
      </c>
      <c r="I350" s="60" t="str">
        <f t="shared" si="64"/>
        <v>Sonntag</v>
      </c>
      <c r="J350" s="39">
        <f>INDEX(Zapfprofil!$B$61:$H$61,F350)</f>
        <v>2.5000000000000001E-2</v>
      </c>
      <c r="K350" s="39">
        <f>INDEX(Zapfprofil!$AL$19:$AN$42,H350+1,IF(F350&lt;=5,1,IF(F350=6,2,3)))</f>
        <v>5.5E-2</v>
      </c>
      <c r="L350" s="62">
        <f t="shared" si="65"/>
        <v>0.59103660000000002</v>
      </c>
      <c r="M350" s="62">
        <f>Eingaben!$B$29</f>
        <v>0.2</v>
      </c>
      <c r="N350" s="62">
        <f t="shared" si="66"/>
        <v>0.79103659999999998</v>
      </c>
      <c r="O350" s="62">
        <f t="shared" si="67"/>
        <v>4</v>
      </c>
      <c r="P350" s="62">
        <f t="shared" si="68"/>
        <v>-3.2089634</v>
      </c>
      <c r="Q350" s="63">
        <f t="shared" si="70"/>
        <v>0</v>
      </c>
      <c r="R350" s="60" t="str">
        <f t="shared" si="69"/>
        <v>So 16:00</v>
      </c>
      <c r="S350" s="58">
        <f t="shared" si="71"/>
        <v>37.216000000000001</v>
      </c>
    </row>
    <row r="351" spans="4:19" ht="15" customHeight="1" x14ac:dyDescent="0.35">
      <c r="D351" s="59">
        <v>330</v>
      </c>
      <c r="E351" s="59">
        <f t="shared" si="60"/>
        <v>14</v>
      </c>
      <c r="F351" s="59">
        <f t="shared" si="61"/>
        <v>7</v>
      </c>
      <c r="G351" s="60" t="str">
        <f t="shared" si="62"/>
        <v>So</v>
      </c>
      <c r="H351" s="61">
        <f t="shared" si="63"/>
        <v>17</v>
      </c>
      <c r="I351" s="60" t="str">
        <f t="shared" si="64"/>
        <v>Sonntag</v>
      </c>
      <c r="J351" s="39">
        <f>INDEX(Zapfprofil!$B$61:$H$61,F351)</f>
        <v>2.5000000000000001E-2</v>
      </c>
      <c r="K351" s="39">
        <f>INDEX(Zapfprofil!$AL$19:$AN$42,H351+1,IF(F351&lt;=5,1,IF(F351=6,2,3)))</f>
        <v>4.4999999999999998E-2</v>
      </c>
      <c r="L351" s="62">
        <f t="shared" si="65"/>
        <v>0.48357540000000004</v>
      </c>
      <c r="M351" s="62">
        <f>Eingaben!$B$29</f>
        <v>0.2</v>
      </c>
      <c r="N351" s="62">
        <f t="shared" si="66"/>
        <v>0.68357540000000006</v>
      </c>
      <c r="O351" s="62">
        <f t="shared" si="67"/>
        <v>4</v>
      </c>
      <c r="P351" s="62">
        <f t="shared" si="68"/>
        <v>-3.3164245999999999</v>
      </c>
      <c r="Q351" s="63">
        <f t="shared" si="70"/>
        <v>0</v>
      </c>
      <c r="R351" s="60" t="str">
        <f t="shared" si="69"/>
        <v>So 17:00</v>
      </c>
      <c r="S351" s="58">
        <f t="shared" si="71"/>
        <v>37.216000000000001</v>
      </c>
    </row>
    <row r="352" spans="4:19" ht="15" customHeight="1" x14ac:dyDescent="0.35">
      <c r="D352" s="59">
        <v>331</v>
      </c>
      <c r="E352" s="59">
        <f t="shared" si="60"/>
        <v>14</v>
      </c>
      <c r="F352" s="59">
        <f t="shared" si="61"/>
        <v>7</v>
      </c>
      <c r="G352" s="60" t="str">
        <f t="shared" si="62"/>
        <v>So</v>
      </c>
      <c r="H352" s="61">
        <f t="shared" si="63"/>
        <v>18</v>
      </c>
      <c r="I352" s="60" t="str">
        <f t="shared" si="64"/>
        <v>Sonntag</v>
      </c>
      <c r="J352" s="39">
        <f>INDEX(Zapfprofil!$B$61:$H$61,F352)</f>
        <v>2.5000000000000001E-2</v>
      </c>
      <c r="K352" s="39">
        <f>INDEX(Zapfprofil!$AL$19:$AN$42,H352+1,IF(F352&lt;=5,1,IF(F352=6,2,3)))</f>
        <v>0.04</v>
      </c>
      <c r="L352" s="62">
        <f t="shared" si="65"/>
        <v>0.42984480000000008</v>
      </c>
      <c r="M352" s="62">
        <f>Eingaben!$B$29</f>
        <v>0.2</v>
      </c>
      <c r="N352" s="62">
        <f t="shared" si="66"/>
        <v>0.62984480000000009</v>
      </c>
      <c r="O352" s="62">
        <f t="shared" si="67"/>
        <v>4</v>
      </c>
      <c r="P352" s="62">
        <f t="shared" si="68"/>
        <v>-3.3701552000000001</v>
      </c>
      <c r="Q352" s="63">
        <f t="shared" si="70"/>
        <v>0</v>
      </c>
      <c r="R352" s="60" t="str">
        <f t="shared" si="69"/>
        <v>So 18:00</v>
      </c>
      <c r="S352" s="58">
        <f t="shared" si="71"/>
        <v>37.216000000000001</v>
      </c>
    </row>
    <row r="353" spans="1:20" ht="15" customHeight="1" x14ac:dyDescent="0.35">
      <c r="D353" s="59">
        <v>332</v>
      </c>
      <c r="E353" s="59">
        <f t="shared" si="60"/>
        <v>14</v>
      </c>
      <c r="F353" s="59">
        <f t="shared" si="61"/>
        <v>7</v>
      </c>
      <c r="G353" s="60" t="str">
        <f t="shared" si="62"/>
        <v>So</v>
      </c>
      <c r="H353" s="61">
        <f t="shared" si="63"/>
        <v>19</v>
      </c>
      <c r="I353" s="60" t="str">
        <f t="shared" si="64"/>
        <v>Sonntag</v>
      </c>
      <c r="J353" s="39">
        <f>INDEX(Zapfprofil!$B$61:$H$61,F353)</f>
        <v>2.5000000000000001E-2</v>
      </c>
      <c r="K353" s="39">
        <f>INDEX(Zapfprofil!$AL$19:$AN$42,H353+1,IF(F353&lt;=5,1,IF(F353=6,2,3)))</f>
        <v>3.5000000000000003E-2</v>
      </c>
      <c r="L353" s="62">
        <f t="shared" si="65"/>
        <v>0.37611420000000007</v>
      </c>
      <c r="M353" s="62">
        <f>Eingaben!$B$29</f>
        <v>0.2</v>
      </c>
      <c r="N353" s="62">
        <f t="shared" si="66"/>
        <v>0.57611420000000013</v>
      </c>
      <c r="O353" s="62">
        <f t="shared" si="67"/>
        <v>4</v>
      </c>
      <c r="P353" s="62">
        <f t="shared" si="68"/>
        <v>-3.4238857999999999</v>
      </c>
      <c r="Q353" s="63">
        <f t="shared" si="70"/>
        <v>0</v>
      </c>
      <c r="R353" s="60" t="str">
        <f t="shared" si="69"/>
        <v>So 19:00</v>
      </c>
      <c r="S353" s="58">
        <f t="shared" si="71"/>
        <v>37.216000000000001</v>
      </c>
    </row>
    <row r="354" spans="1:20" ht="15" customHeight="1" x14ac:dyDescent="0.35">
      <c r="D354" s="59">
        <v>333</v>
      </c>
      <c r="E354" s="59">
        <f t="shared" si="60"/>
        <v>14</v>
      </c>
      <c r="F354" s="59">
        <f t="shared" si="61"/>
        <v>7</v>
      </c>
      <c r="G354" s="60" t="str">
        <f t="shared" si="62"/>
        <v>So</v>
      </c>
      <c r="H354" s="61">
        <f t="shared" si="63"/>
        <v>20</v>
      </c>
      <c r="I354" s="60" t="str">
        <f t="shared" si="64"/>
        <v>Sonntag</v>
      </c>
      <c r="J354" s="39">
        <f>INDEX(Zapfprofil!$B$61:$H$61,F354)</f>
        <v>2.5000000000000001E-2</v>
      </c>
      <c r="K354" s="39">
        <f>INDEX(Zapfprofil!$AL$19:$AN$42,H354+1,IF(F354&lt;=5,1,IF(F354=6,2,3)))</f>
        <v>0.03</v>
      </c>
      <c r="L354" s="62">
        <f t="shared" si="65"/>
        <v>0.32238360000000005</v>
      </c>
      <c r="M354" s="62">
        <f>Eingaben!$B$29</f>
        <v>0.2</v>
      </c>
      <c r="N354" s="62">
        <f t="shared" si="66"/>
        <v>0.52238360000000006</v>
      </c>
      <c r="O354" s="62">
        <f t="shared" si="67"/>
        <v>4</v>
      </c>
      <c r="P354" s="62">
        <f t="shared" si="68"/>
        <v>-3.4776164000000001</v>
      </c>
      <c r="Q354" s="63">
        <f t="shared" si="70"/>
        <v>0</v>
      </c>
      <c r="R354" s="60" t="str">
        <f t="shared" si="69"/>
        <v>So 20:00</v>
      </c>
      <c r="S354" s="58">
        <f t="shared" si="71"/>
        <v>37.216000000000001</v>
      </c>
    </row>
    <row r="355" spans="1:20" ht="15" customHeight="1" x14ac:dyDescent="0.35">
      <c r="D355" s="59">
        <v>334</v>
      </c>
      <c r="E355" s="59">
        <f t="shared" si="60"/>
        <v>14</v>
      </c>
      <c r="F355" s="59">
        <f t="shared" si="61"/>
        <v>7</v>
      </c>
      <c r="G355" s="60" t="str">
        <f t="shared" si="62"/>
        <v>So</v>
      </c>
      <c r="H355" s="61">
        <f t="shared" si="63"/>
        <v>21</v>
      </c>
      <c r="I355" s="60" t="str">
        <f t="shared" si="64"/>
        <v>Sonntag</v>
      </c>
      <c r="J355" s="39">
        <f>INDEX(Zapfprofil!$B$61:$H$61,F355)</f>
        <v>2.5000000000000001E-2</v>
      </c>
      <c r="K355" s="39">
        <f>INDEX(Zapfprofil!$AL$19:$AN$42,H355+1,IF(F355&lt;=5,1,IF(F355=6,2,3)))</f>
        <v>2.5000000000000001E-2</v>
      </c>
      <c r="L355" s="62">
        <f t="shared" si="65"/>
        <v>0.26865300000000003</v>
      </c>
      <c r="M355" s="62">
        <f>Eingaben!$B$29</f>
        <v>0.2</v>
      </c>
      <c r="N355" s="62">
        <f t="shared" si="66"/>
        <v>0.46865300000000004</v>
      </c>
      <c r="O355" s="62">
        <f t="shared" si="67"/>
        <v>4</v>
      </c>
      <c r="P355" s="62">
        <f t="shared" si="68"/>
        <v>-3.5313469999999998</v>
      </c>
      <c r="Q355" s="63">
        <f t="shared" si="70"/>
        <v>0</v>
      </c>
      <c r="R355" s="60" t="str">
        <f t="shared" si="69"/>
        <v>So 21:00</v>
      </c>
      <c r="S355" s="58">
        <f t="shared" si="71"/>
        <v>37.216000000000001</v>
      </c>
    </row>
    <row r="356" spans="1:20" ht="15" customHeight="1" x14ac:dyDescent="0.35">
      <c r="D356" s="59">
        <v>335</v>
      </c>
      <c r="E356" s="59">
        <f t="shared" si="60"/>
        <v>14</v>
      </c>
      <c r="F356" s="59">
        <f t="shared" si="61"/>
        <v>7</v>
      </c>
      <c r="G356" s="60" t="str">
        <f t="shared" si="62"/>
        <v>So</v>
      </c>
      <c r="H356" s="61">
        <f t="shared" si="63"/>
        <v>22</v>
      </c>
      <c r="I356" s="60" t="str">
        <f t="shared" si="64"/>
        <v>Sonntag</v>
      </c>
      <c r="J356" s="39">
        <f>INDEX(Zapfprofil!$B$61:$H$61,F356)</f>
        <v>2.5000000000000001E-2</v>
      </c>
      <c r="K356" s="39">
        <f>INDEX(Zapfprofil!$AL$19:$AN$42,H356+1,IF(F356&lt;=5,1,IF(F356=6,2,3)))</f>
        <v>2.5000000000000001E-2</v>
      </c>
      <c r="L356" s="62">
        <f t="shared" si="65"/>
        <v>0.26865300000000003</v>
      </c>
      <c r="M356" s="62">
        <f>Eingaben!$B$29</f>
        <v>0.2</v>
      </c>
      <c r="N356" s="62">
        <f t="shared" si="66"/>
        <v>0.46865300000000004</v>
      </c>
      <c r="O356" s="62">
        <f t="shared" si="67"/>
        <v>4</v>
      </c>
      <c r="P356" s="62">
        <f t="shared" si="68"/>
        <v>-3.5313469999999998</v>
      </c>
      <c r="Q356" s="63">
        <f t="shared" si="70"/>
        <v>0</v>
      </c>
      <c r="R356" s="60" t="str">
        <f t="shared" si="69"/>
        <v>So 22:00</v>
      </c>
      <c r="S356" s="58">
        <f t="shared" si="71"/>
        <v>37.216000000000001</v>
      </c>
    </row>
    <row r="357" spans="1:20" ht="15" customHeight="1" x14ac:dyDescent="0.35">
      <c r="D357" s="59">
        <v>336</v>
      </c>
      <c r="E357" s="59">
        <f t="shared" si="60"/>
        <v>14</v>
      </c>
      <c r="F357" s="59">
        <f t="shared" si="61"/>
        <v>7</v>
      </c>
      <c r="G357" s="60" t="str">
        <f t="shared" si="62"/>
        <v>So</v>
      </c>
      <c r="H357" s="61">
        <f t="shared" si="63"/>
        <v>23</v>
      </c>
      <c r="I357" s="60" t="str">
        <f t="shared" si="64"/>
        <v>Sonntag</v>
      </c>
      <c r="J357" s="39">
        <f>INDEX(Zapfprofil!$B$61:$H$61,F357)</f>
        <v>2.5000000000000001E-2</v>
      </c>
      <c r="K357" s="39">
        <f>INDEX(Zapfprofil!$AL$19:$AN$42,H357+1,IF(F357&lt;=5,1,IF(F357=6,2,3)))</f>
        <v>2.5000000000000001E-2</v>
      </c>
      <c r="L357" s="62">
        <f t="shared" si="65"/>
        <v>0.26865300000000003</v>
      </c>
      <c r="M357" s="62">
        <f>Eingaben!$B$29</f>
        <v>0.2</v>
      </c>
      <c r="N357" s="62">
        <f t="shared" si="66"/>
        <v>0.46865300000000004</v>
      </c>
      <c r="O357" s="62">
        <f t="shared" si="67"/>
        <v>4</v>
      </c>
      <c r="P357" s="62">
        <f t="shared" si="68"/>
        <v>-3.5313469999999998</v>
      </c>
      <c r="Q357" s="63">
        <f t="shared" si="70"/>
        <v>0</v>
      </c>
      <c r="R357" s="60" t="str">
        <f t="shared" si="69"/>
        <v>So 23:00</v>
      </c>
      <c r="S357" s="58">
        <f t="shared" si="71"/>
        <v>37.216000000000001</v>
      </c>
    </row>
    <row r="359" spans="1:20" ht="15" customHeight="1" x14ac:dyDescent="0.35">
      <c r="A359" s="11" t="s">
        <v>342</v>
      </c>
      <c r="B359" s="64">
        <f>MAX(Q22:Q357)</f>
        <v>31.295108240000005</v>
      </c>
      <c r="C359" s="7" t="s">
        <v>343</v>
      </c>
      <c r="D359" s="7" t="s">
        <v>344</v>
      </c>
    </row>
    <row r="360" spans="1:20" ht="15" customHeight="1" x14ac:dyDescent="0.35">
      <c r="A360" s="4" t="s">
        <v>345</v>
      </c>
      <c r="B360" s="13">
        <f>IFERROR(MATCH($B$359,Q22:Q357,0),0)</f>
        <v>18</v>
      </c>
      <c r="D360" s="7" t="s">
        <v>346</v>
      </c>
    </row>
    <row r="361" spans="1:20" ht="15" customHeight="1" x14ac:dyDescent="0.35">
      <c r="A361" s="4" t="s">
        <v>347</v>
      </c>
      <c r="B361" s="13">
        <f>IF($B$359&lt;=0,"—",INDEX(E22:E357,$B$360))</f>
        <v>1</v>
      </c>
    </row>
    <row r="362" spans="1:20" ht="15" customHeight="1" x14ac:dyDescent="0.35">
      <c r="A362" s="4" t="s">
        <v>348</v>
      </c>
      <c r="B362" s="65" t="str">
        <f>IF($B$359&lt;=0,"—",INDEX(G22:G357,$B$360))</f>
        <v>Mo</v>
      </c>
    </row>
    <row r="363" spans="1:20" ht="15" customHeight="1" x14ac:dyDescent="0.35">
      <c r="A363" s="4" t="s">
        <v>349</v>
      </c>
      <c r="B363" s="66">
        <f>IF($B$359&lt;=0,"—",INDEX(H22:H357,$B$360))</f>
        <v>17</v>
      </c>
      <c r="C363" s="7" t="s">
        <v>350</v>
      </c>
    </row>
    <row r="364" spans="1:20" ht="15" customHeight="1" x14ac:dyDescent="0.35">
      <c r="A364" s="4" t="s">
        <v>351</v>
      </c>
      <c r="B364" s="67" t="str">
        <f>IF($B$359&lt;=0,"—",INDEX(I22:I357,$B$360))</f>
        <v>Werktag</v>
      </c>
    </row>
    <row r="365" spans="1:20" ht="15" customHeight="1" x14ac:dyDescent="0.35">
      <c r="A365" s="4" t="s">
        <v>352</v>
      </c>
      <c r="B365" s="109" t="str">
        <f>IF($B$359&lt;=0,"kein Defizit — die Ladeleistung deckt jede Zapfspitze; das profilbasierte Verfahren ist nicht maßgebend.",IF(OR($B$364="Samstag",$B$364="Sonntag"),"HINWEIS: Der maßgebende Tag ist ein Wochenendtag ("&amp;$B$362&amp;"). Eine reine Werktagsbetrachtung würde den Speicher unterdimensionieren.","Der maßgebende Tag ist ein Werktag ("&amp;$B$362&amp;")."))</f>
        <v>Der maßgebende Tag ist ein Werktag (Mo).</v>
      </c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</row>
    <row r="367" spans="1:20" ht="15" customHeight="1" x14ac:dyDescent="0.35">
      <c r="A367" s="4" t="s">
        <v>353</v>
      </c>
      <c r="B367" s="13">
        <f>IFERROR($B$359*1000/(1.163*Eingaben!$B$25),0)</f>
        <v>538.17898950988831</v>
      </c>
      <c r="C367" s="7" t="s">
        <v>354</v>
      </c>
      <c r="D367" s="7" t="s">
        <v>355</v>
      </c>
    </row>
    <row r="368" spans="1:20" ht="15" customHeight="1" x14ac:dyDescent="0.35">
      <c r="A368" s="4" t="s">
        <v>356</v>
      </c>
      <c r="B368" s="68">
        <f>IFERROR(B367/Eingaben!$B$30*(1+Eingaben!$B$31),0)</f>
        <v>773.6322974204644</v>
      </c>
      <c r="C368" s="7" t="s">
        <v>354</v>
      </c>
      <c r="D368" s="7" t="s">
        <v>357</v>
      </c>
    </row>
    <row r="370" spans="1:20" ht="15" customHeight="1" x14ac:dyDescent="0.35">
      <c r="A370" s="4" t="s">
        <v>358</v>
      </c>
      <c r="B370" s="25">
        <f>SUM(L190:L357)</f>
        <v>429.84479999999951</v>
      </c>
      <c r="C370" s="7" t="s">
        <v>343</v>
      </c>
      <c r="D370" s="7" t="s">
        <v>359</v>
      </c>
      <c r="E370" s="109" t="str">
        <f>IF(ABS($B$370-$B$17*$B$16)&gt;0.01,"WARNUNG: Wochenbilanz weicht ab — Wochenfaktoren oder Profilsummen prüfen!","OK: Wochenbilanz stimmt mit Q_woche × Saisonfaktor überein.")</f>
        <v>OK: Wochenbilanz stimmt mit Q_woche × Saisonfaktor überein.</v>
      </c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</row>
    <row r="372" spans="1:20" ht="15" customHeight="1" x14ac:dyDescent="0.35">
      <c r="A372" s="3" t="s">
        <v>360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20" ht="15" customHeight="1" x14ac:dyDescent="0.35">
      <c r="A373" s="4" t="s">
        <v>361</v>
      </c>
      <c r="B373" s="9">
        <v>3.5</v>
      </c>
      <c r="C373" s="7" t="s">
        <v>19</v>
      </c>
      <c r="D373" s="7" t="s">
        <v>362</v>
      </c>
    </row>
    <row r="374" spans="1:20" ht="15" customHeight="1" x14ac:dyDescent="0.35">
      <c r="A374" s="4" t="s">
        <v>363</v>
      </c>
      <c r="B374" s="26">
        <f>Eingaben!$B$56</f>
        <v>17.187039764359351</v>
      </c>
      <c r="C374" s="7" t="s">
        <v>53</v>
      </c>
      <c r="D374" s="7" t="s">
        <v>364</v>
      </c>
    </row>
    <row r="375" spans="1:20" ht="15" customHeight="1" x14ac:dyDescent="0.35">
      <c r="A375" s="4" t="s">
        <v>365</v>
      </c>
      <c r="B375" s="69">
        <f>1/6</f>
        <v>0.16666666666666666</v>
      </c>
      <c r="C375" s="7" t="s">
        <v>114</v>
      </c>
      <c r="D375" s="7" t="s">
        <v>366</v>
      </c>
    </row>
    <row r="376" spans="1:20" ht="15" customHeight="1" x14ac:dyDescent="0.35">
      <c r="A376" s="4" t="s">
        <v>367</v>
      </c>
      <c r="B376" s="8">
        <v>5820</v>
      </c>
      <c r="C376" s="7" t="s">
        <v>241</v>
      </c>
      <c r="D376" s="7" t="s">
        <v>368</v>
      </c>
    </row>
    <row r="377" spans="1:20" ht="15" customHeight="1" x14ac:dyDescent="0.35">
      <c r="A377" s="4" t="s">
        <v>369</v>
      </c>
      <c r="B377" s="69">
        <f>IFERROR(B375*0.244*(1+SQRT(B374))/SQRT(B374),0)</f>
        <v>5.0475967077993136E-2</v>
      </c>
      <c r="C377" s="7" t="s">
        <v>53</v>
      </c>
      <c r="D377" s="7" t="s">
        <v>370</v>
      </c>
    </row>
    <row r="378" spans="1:20" ht="15" customHeight="1" x14ac:dyDescent="0.35">
      <c r="A378" s="4" t="s">
        <v>371</v>
      </c>
      <c r="B378" s="69">
        <f>IFERROR(B375*3.599*(1+SQRT(B374))/SQRT(B374),0)</f>
        <v>0.74452051440039868</v>
      </c>
      <c r="C378" s="7" t="s">
        <v>53</v>
      </c>
      <c r="D378" s="7" t="s">
        <v>372</v>
      </c>
    </row>
    <row r="379" spans="1:20" ht="15" customHeight="1" x14ac:dyDescent="0.35">
      <c r="A379" s="4" t="s">
        <v>373</v>
      </c>
      <c r="B379" s="69">
        <f>IF(B377&gt;=1.81,1,ERF(B377))</f>
        <v>5.6907695340908032E-2</v>
      </c>
      <c r="C379" s="7" t="s">
        <v>53</v>
      </c>
      <c r="D379" s="7" t="s">
        <v>374</v>
      </c>
    </row>
    <row r="380" spans="1:20" ht="15" customHeight="1" x14ac:dyDescent="0.35">
      <c r="A380" s="4" t="s">
        <v>375</v>
      </c>
      <c r="B380" s="69">
        <f>IF(B378&gt;=1.81,1,ERF(B378))</f>
        <v>0.70761821995766738</v>
      </c>
      <c r="C380" s="7" t="s">
        <v>53</v>
      </c>
      <c r="D380" s="7" t="s">
        <v>376</v>
      </c>
    </row>
    <row r="381" spans="1:20" ht="15" customHeight="1" x14ac:dyDescent="0.35">
      <c r="A381" s="4" t="s">
        <v>377</v>
      </c>
      <c r="B381" s="13">
        <f>IFERROR(B376*(B374*B379+SQRT(B374)*B380),0)</f>
        <v>22765.894420951408</v>
      </c>
      <c r="C381" s="7" t="s">
        <v>241</v>
      </c>
      <c r="D381" s="7" t="s">
        <v>378</v>
      </c>
    </row>
    <row r="382" spans="1:20" ht="15" customHeight="1" x14ac:dyDescent="0.35">
      <c r="A382" s="4" t="s">
        <v>377</v>
      </c>
      <c r="B382" s="64">
        <f>B381/1000</f>
        <v>22.765894420951408</v>
      </c>
      <c r="C382" s="7" t="s">
        <v>343</v>
      </c>
      <c r="D382" s="7" t="s">
        <v>379</v>
      </c>
    </row>
    <row r="383" spans="1:20" ht="15" customHeight="1" x14ac:dyDescent="0.35">
      <c r="A383" s="4" t="s">
        <v>380</v>
      </c>
      <c r="B383" s="13">
        <f>IFERROR(B382*1000/(1.163*Eingaben!$B$25),0)</f>
        <v>391.50291351593137</v>
      </c>
      <c r="C383" s="7" t="s">
        <v>354</v>
      </c>
      <c r="D383" s="7" t="s">
        <v>381</v>
      </c>
    </row>
    <row r="384" spans="1:20" ht="15" customHeight="1" x14ac:dyDescent="0.35">
      <c r="A384" s="4" t="s">
        <v>382</v>
      </c>
      <c r="B384" s="68">
        <f>IFERROR(B383/Eingaben!$B$30,0)</f>
        <v>489.37864189491421</v>
      </c>
      <c r="C384" s="7" t="s">
        <v>354</v>
      </c>
      <c r="D384" s="7" t="s">
        <v>383</v>
      </c>
    </row>
    <row r="386" spans="1:20" ht="15" customHeight="1" x14ac:dyDescent="0.35">
      <c r="A386" s="3" t="s">
        <v>384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20" ht="15" customHeight="1" x14ac:dyDescent="0.35">
      <c r="A387" s="4" t="s">
        <v>385</v>
      </c>
      <c r="B387" s="9">
        <v>35</v>
      </c>
      <c r="C387" s="7" t="s">
        <v>386</v>
      </c>
      <c r="D387" s="7" t="s">
        <v>387</v>
      </c>
    </row>
    <row r="388" spans="1:20" ht="15" customHeight="1" x14ac:dyDescent="0.35">
      <c r="A388" s="4" t="s">
        <v>388</v>
      </c>
      <c r="B388" s="8">
        <v>60</v>
      </c>
      <c r="C388" s="7" t="s">
        <v>35</v>
      </c>
      <c r="D388" s="7" t="s">
        <v>389</v>
      </c>
    </row>
    <row r="389" spans="1:20" ht="15" customHeight="1" x14ac:dyDescent="0.35">
      <c r="A389" s="4" t="s">
        <v>390</v>
      </c>
      <c r="B389" s="8">
        <v>10</v>
      </c>
      <c r="C389" s="7" t="s">
        <v>35</v>
      </c>
      <c r="D389" s="7" t="s">
        <v>389</v>
      </c>
    </row>
    <row r="390" spans="1:20" ht="15" customHeight="1" x14ac:dyDescent="0.35">
      <c r="A390" s="4" t="s">
        <v>391</v>
      </c>
      <c r="B390" s="13">
        <f>B4*B387</f>
        <v>2625</v>
      </c>
      <c r="C390" s="7" t="s">
        <v>300</v>
      </c>
      <c r="D390" s="7" t="s">
        <v>392</v>
      </c>
    </row>
    <row r="391" spans="1:20" ht="15" customHeight="1" x14ac:dyDescent="0.35">
      <c r="A391" s="4" t="s">
        <v>393</v>
      </c>
      <c r="B391" s="68">
        <f>IFERROR(B390*(B388-B389)/Eingaben!$B$25*(1+Eingaben!$B$31),0)</f>
        <v>3018.7499999999995</v>
      </c>
      <c r="C391" s="7" t="s">
        <v>354</v>
      </c>
      <c r="D391" s="7" t="s">
        <v>394</v>
      </c>
    </row>
    <row r="393" spans="1:20" ht="15" customHeight="1" x14ac:dyDescent="0.35">
      <c r="A393" s="112" t="s">
        <v>395</v>
      </c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</row>
    <row r="395" spans="1:20" ht="15" customHeight="1" x14ac:dyDescent="0.35">
      <c r="A395" s="3" t="s">
        <v>396</v>
      </c>
      <c r="B395" s="3"/>
      <c r="C395" s="3"/>
      <c r="D395" s="3"/>
    </row>
    <row r="396" spans="1:20" ht="24" customHeight="1" x14ac:dyDescent="0.35">
      <c r="A396" s="111" t="s">
        <v>397</v>
      </c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</row>
    <row r="397" spans="1:20" ht="15" customHeight="1" x14ac:dyDescent="0.35">
      <c r="A397" s="4" t="s">
        <v>398</v>
      </c>
      <c r="B397" s="10">
        <f>$B$4</f>
        <v>75</v>
      </c>
      <c r="C397" s="7" t="s">
        <v>19</v>
      </c>
      <c r="D397" s="7" t="s">
        <v>399</v>
      </c>
    </row>
    <row r="398" spans="1:20" ht="15" customHeight="1" x14ac:dyDescent="0.35">
      <c r="A398" s="4" t="s">
        <v>400</v>
      </c>
      <c r="B398" s="25">
        <f>$B$374</f>
        <v>17.187039764359351</v>
      </c>
      <c r="C398" s="7" t="s">
        <v>53</v>
      </c>
      <c r="D398" s="7" t="s">
        <v>401</v>
      </c>
    </row>
    <row r="399" spans="1:20" ht="15" customHeight="1" x14ac:dyDescent="0.35">
      <c r="A399" s="4" t="s">
        <v>402</v>
      </c>
      <c r="B399" s="70">
        <f>$B$375*0.244*(1+SQRT(1))/SQRT(1)</f>
        <v>8.1333333333333327E-2</v>
      </c>
      <c r="C399" s="7" t="s">
        <v>53</v>
      </c>
      <c r="D399" s="7" t="s">
        <v>403</v>
      </c>
    </row>
    <row r="400" spans="1:20" ht="15" customHeight="1" x14ac:dyDescent="0.35">
      <c r="A400" s="4" t="s">
        <v>404</v>
      </c>
      <c r="B400" s="70">
        <f>$B$375*3.599*(1+SQRT(1))/SQRT(1)</f>
        <v>1.1996666666666667</v>
      </c>
      <c r="C400" s="7" t="s">
        <v>53</v>
      </c>
      <c r="D400" s="7" t="s">
        <v>405</v>
      </c>
    </row>
    <row r="401" spans="1:20" ht="15" customHeight="1" x14ac:dyDescent="0.35">
      <c r="A401" s="4" t="s">
        <v>406</v>
      </c>
      <c r="B401" s="70">
        <f>IF($B$399&gt;=1.81,1,ERF($B$399))</f>
        <v>9.157287297704543E-2</v>
      </c>
      <c r="C401" s="7" t="s">
        <v>53</v>
      </c>
      <c r="D401" s="7" t="s">
        <v>376</v>
      </c>
    </row>
    <row r="402" spans="1:20" ht="15" customHeight="1" x14ac:dyDescent="0.35">
      <c r="A402" s="4" t="s">
        <v>407</v>
      </c>
      <c r="B402" s="70">
        <f>IF($B$400&gt;=1.81,1,ERF($B$400))</f>
        <v>0.91022482779518299</v>
      </c>
      <c r="C402" s="7" t="s">
        <v>53</v>
      </c>
      <c r="D402" s="7" t="s">
        <v>376</v>
      </c>
    </row>
    <row r="403" spans="1:20" ht="15" customHeight="1" x14ac:dyDescent="0.35">
      <c r="A403" s="4" t="s">
        <v>408</v>
      </c>
      <c r="B403" s="10">
        <f>$B$376*(1*$B$401+SQRT(1)*$B$402)</f>
        <v>5830.46261849437</v>
      </c>
      <c r="C403" s="7" t="s">
        <v>241</v>
      </c>
      <c r="D403" s="7" t="s">
        <v>409</v>
      </c>
    </row>
    <row r="404" spans="1:20" ht="15" customHeight="1" x14ac:dyDescent="0.35">
      <c r="A404" s="4" t="s">
        <v>410</v>
      </c>
      <c r="B404" s="71">
        <f>IFERROR($B$403/$B$381,0)</f>
        <v>0.25610514178299126</v>
      </c>
      <c r="C404" s="7" t="s">
        <v>53</v>
      </c>
      <c r="D404" s="7" t="s">
        <v>411</v>
      </c>
    </row>
    <row r="405" spans="1:20" ht="15" customHeight="1" x14ac:dyDescent="0.35">
      <c r="A405" s="4" t="s">
        <v>412</v>
      </c>
      <c r="B405" s="28" t="str">
        <f>"GLF("&amp;ROUND($B$398,1)&amp;") = "&amp;ROUND($B$404,2)</f>
        <v>GLF(17,2) = 0,26</v>
      </c>
      <c r="D405" s="7" t="s">
        <v>413</v>
      </c>
    </row>
    <row r="406" spans="1:20" ht="15" customHeight="1" x14ac:dyDescent="0.35">
      <c r="A406" s="4" t="s">
        <v>414</v>
      </c>
      <c r="B406" s="10">
        <f>IFERROR($B$403/$B$373,0)</f>
        <v>1665.8464624269629</v>
      </c>
      <c r="C406" s="7" t="s">
        <v>415</v>
      </c>
      <c r="D406" s="7" t="s">
        <v>416</v>
      </c>
    </row>
    <row r="407" spans="1:20" ht="15" customHeight="1" x14ac:dyDescent="0.35">
      <c r="A407" s="4" t="s">
        <v>417</v>
      </c>
      <c r="B407" s="25">
        <f>IFERROR($B$406/(1.163*Eingaben!$B$25)/Eingaben!$B$30,0)</f>
        <v>35.809253276589914</v>
      </c>
      <c r="C407" s="7" t="s">
        <v>418</v>
      </c>
      <c r="D407" s="7" t="s">
        <v>419</v>
      </c>
    </row>
    <row r="408" spans="1:20" ht="15" customHeight="1" x14ac:dyDescent="0.35">
      <c r="A408" s="4" t="s">
        <v>420</v>
      </c>
      <c r="B408" s="10">
        <f>IFERROR($B$397*$B$407*$B$404,0)</f>
        <v>687.82004156580786</v>
      </c>
      <c r="C408" s="7" t="s">
        <v>354</v>
      </c>
      <c r="D408" s="7" t="s">
        <v>421</v>
      </c>
    </row>
    <row r="409" spans="1:20" ht="15" customHeight="1" x14ac:dyDescent="0.35">
      <c r="A409" s="4" t="s">
        <v>422</v>
      </c>
      <c r="B409" s="10">
        <f>IFERROR($B$408*(1+Eingaben!$B$31),0)</f>
        <v>790.99304780067894</v>
      </c>
      <c r="C409" s="7" t="s">
        <v>354</v>
      </c>
      <c r="D409" s="7" t="s">
        <v>423</v>
      </c>
    </row>
    <row r="410" spans="1:20" ht="24" customHeight="1" x14ac:dyDescent="0.35">
      <c r="A410" s="111" t="s">
        <v>424</v>
      </c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</row>
    <row r="411" spans="1:20" ht="15" customHeight="1" x14ac:dyDescent="0.35"/>
    <row r="412" spans="1:20" ht="15" customHeight="1" x14ac:dyDescent="0.35">
      <c r="A412" s="3" t="s">
        <v>425</v>
      </c>
      <c r="B412" s="3"/>
      <c r="C412" s="3"/>
      <c r="D412" s="3"/>
    </row>
    <row r="413" spans="1:20" ht="15" customHeight="1" x14ac:dyDescent="0.35">
      <c r="A413" s="4" t="s">
        <v>426</v>
      </c>
      <c r="B413" s="72">
        <f>$B$359</f>
        <v>31.295108240000005</v>
      </c>
      <c r="C413" s="7" t="s">
        <v>343</v>
      </c>
      <c r="D413" s="7" t="s">
        <v>427</v>
      </c>
    </row>
    <row r="414" spans="1:20" ht="15" customHeight="1" x14ac:dyDescent="0.35">
      <c r="A414" s="4" t="s">
        <v>428</v>
      </c>
      <c r="B414" s="73">
        <f>IF($B$413&gt;0,1,0)</f>
        <v>1</v>
      </c>
      <c r="C414" s="7" t="s">
        <v>429</v>
      </c>
      <c r="D414" s="7" t="s">
        <v>430</v>
      </c>
    </row>
    <row r="416" spans="1:20" x14ac:dyDescent="0.35">
      <c r="A416" s="127" t="s">
        <v>544</v>
      </c>
    </row>
    <row r="417" spans="1:4" x14ac:dyDescent="0.35">
      <c r="A417" t="s">
        <v>562</v>
      </c>
      <c r="B417" s="136">
        <f>$B$424</f>
        <v>800</v>
      </c>
      <c r="C417" t="s">
        <v>354</v>
      </c>
      <c r="D417" t="s">
        <v>563</v>
      </c>
    </row>
    <row r="418" spans="1:4" x14ac:dyDescent="0.35">
      <c r="A418" t="s">
        <v>545</v>
      </c>
      <c r="B418" s="129">
        <f>B417*Eingaben!$B$30</f>
        <v>640</v>
      </c>
      <c r="C418" t="s">
        <v>354</v>
      </c>
      <c r="D418" s="130" t="s">
        <v>546</v>
      </c>
    </row>
    <row r="419" spans="1:4" x14ac:dyDescent="0.35">
      <c r="A419" t="s">
        <v>547</v>
      </c>
      <c r="B419" s="131">
        <f>B418*1.163*Eingaben!$B$25/1000</f>
        <v>37.216000000000001</v>
      </c>
      <c r="C419" t="s">
        <v>343</v>
      </c>
      <c r="D419" s="130" t="s">
        <v>548</v>
      </c>
    </row>
    <row r="420" spans="1:4" x14ac:dyDescent="0.35">
      <c r="A420" t="s">
        <v>549</v>
      </c>
      <c r="B420" s="131">
        <f>MIN(S190:S357)</f>
        <v>5.9208917599999964</v>
      </c>
      <c r="C420" t="s">
        <v>343</v>
      </c>
      <c r="D420" s="130" t="s">
        <v>550</v>
      </c>
    </row>
    <row r="421" spans="1:4" x14ac:dyDescent="0.35">
      <c r="A421" t="s">
        <v>551</v>
      </c>
      <c r="B421" s="132">
        <f>IFERROR(B420/B419,0)</f>
        <v>0.15909532889079955</v>
      </c>
      <c r="C421" t="s">
        <v>53</v>
      </c>
      <c r="D421" s="130" t="s">
        <v>552</v>
      </c>
    </row>
    <row r="422" spans="1:4" x14ac:dyDescent="0.35">
      <c r="A422" t="s">
        <v>555</v>
      </c>
      <c r="B422" s="134" t="s">
        <v>556</v>
      </c>
      <c r="C422" t="s">
        <v>53</v>
      </c>
      <c r="D422" t="s">
        <v>557</v>
      </c>
    </row>
    <row r="423" spans="1:4" x14ac:dyDescent="0.35">
      <c r="A423" t="s">
        <v>558</v>
      </c>
      <c r="B423" s="128">
        <f>IFERROR(CHOOSE(MATCH($B$422,{"Empfehlung (Maximum der Verfahren)";"DIN 4708";"Profilbasiert";"Faustwert mit Gleichzeitigkeit (GLF)";"klassischer Faustwert (nachrichtlich)"},0),Ergebnis!$B$25,Ergebnis!$E$13,Ergebnis!$E$14,Ergebnis!$E$15,Ergebnis!$E$16),Ergebnis!$B$25)</f>
        <v>800</v>
      </c>
      <c r="C423" t="s">
        <v>354</v>
      </c>
      <c r="D423" t="s">
        <v>559</v>
      </c>
    </row>
    <row r="424" spans="1:4" x14ac:dyDescent="0.35">
      <c r="A424" t="s">
        <v>560</v>
      </c>
      <c r="B424" s="135">
        <f>IF($B$423&lt;=0,Ergebnis!$B$25,$B$423)</f>
        <v>800</v>
      </c>
      <c r="C424" t="s">
        <v>354</v>
      </c>
      <c r="D424" t="s">
        <v>561</v>
      </c>
    </row>
  </sheetData>
  <mergeCells count="7">
    <mergeCell ref="B365:T365"/>
    <mergeCell ref="A20:T20"/>
    <mergeCell ref="A2:T2"/>
    <mergeCell ref="A393:T393"/>
    <mergeCell ref="A410:T410"/>
    <mergeCell ref="A396:T396"/>
    <mergeCell ref="E370:T370"/>
  </mergeCells>
  <conditionalFormatting sqref="B370:E370">
    <cfRule type="expression" dxfId="6" priority="2">
      <formula>ABS($B$370-$B$17*$B$16)&gt;0.01</formula>
    </cfRule>
  </conditionalFormatting>
  <dataValidations count="1">
    <dataValidation type="list" allowBlank="1" showInputMessage="1" showErrorMessage="1" errorTitle="Ungültige Auswahl" error="Bitte einen Wert aus der Liste wählen." sqref="B422" xr:uid="{D150AADF-5A44-4AB9-BFA6-4E0A466AA75A}">
      <formula1>"Empfehlung (Maximum der Verfahren),DIN 4708,Profilbasiert,Faustwert mit Gleichzeitigkeit (GLF),klassischer Faustwert (nachrichtlich)"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showGridLines="0" tabSelected="1" topLeftCell="A13" zoomScaleNormal="100" workbookViewId="0">
      <selection activeCell="C26" sqref="C26"/>
    </sheetView>
  </sheetViews>
  <sheetFormatPr baseColWidth="10" defaultColWidth="8.6328125" defaultRowHeight="14.5" x14ac:dyDescent="0.35"/>
  <cols>
    <col min="1" max="1" width="44" customWidth="1"/>
    <col min="2" max="2" width="28" customWidth="1"/>
    <col min="3" max="3" width="38" customWidth="1"/>
    <col min="4" max="4" width="96" customWidth="1"/>
    <col min="5" max="5" width="20" customWidth="1"/>
  </cols>
  <sheetData>
    <row r="1" spans="1:6" ht="17.25" customHeight="1" x14ac:dyDescent="0.35">
      <c r="A1" s="89" t="s">
        <v>431</v>
      </c>
      <c r="B1" s="1"/>
      <c r="C1" s="1"/>
      <c r="D1" s="1"/>
    </row>
    <row r="2" spans="1:6" ht="15" customHeight="1" x14ac:dyDescent="0.35">
      <c r="A2" s="2" t="s">
        <v>432</v>
      </c>
    </row>
    <row r="4" spans="1:6" ht="15" customHeight="1" x14ac:dyDescent="0.35">
      <c r="A4" s="4" t="s">
        <v>433</v>
      </c>
      <c r="B4" s="74" t="str">
        <f>Eingaben!B5</f>
        <v>Musterprojekt Beispielstraße 1</v>
      </c>
    </row>
    <row r="5" spans="1:6" ht="15" customHeight="1" x14ac:dyDescent="0.35">
      <c r="A5" s="4" t="s">
        <v>7</v>
      </c>
      <c r="B5" s="75">
        <f>Eingaben!B7</f>
        <v>46232</v>
      </c>
    </row>
    <row r="6" spans="1:6" ht="15" customHeight="1" x14ac:dyDescent="0.35">
      <c r="A6" s="4" t="s">
        <v>9</v>
      </c>
      <c r="B6" s="74" t="str">
        <f>Eingaben!B10</f>
        <v>Büro/Verwaltung</v>
      </c>
    </row>
    <row r="7" spans="1:6" ht="15" customHeight="1" x14ac:dyDescent="0.35">
      <c r="A7" s="4" t="s">
        <v>434</v>
      </c>
      <c r="B7" s="74" t="str">
        <f>Eingaben!B11&amp;" Einheiten × "&amp;Eingaben!B12&amp;" P = "&amp;ROUND(Eingaben!B13,1)&amp;" Personen"</f>
        <v>60 Einheiten × 2,2 P = 132 Personen</v>
      </c>
    </row>
    <row r="8" spans="1:6" ht="15" customHeight="1" x14ac:dyDescent="0.35">
      <c r="A8" s="4" t="s">
        <v>435</v>
      </c>
      <c r="B8" s="74" t="str">
        <f>Zapfprofil!B7</f>
        <v>Büro/Verwaltung</v>
      </c>
    </row>
    <row r="9" spans="1:6" ht="15" customHeight="1" x14ac:dyDescent="0.35">
      <c r="A9" s="4" t="s">
        <v>319</v>
      </c>
      <c r="B9" s="26">
        <f>Zapfprofil!B8</f>
        <v>1</v>
      </c>
    </row>
    <row r="11" spans="1:6" ht="15" customHeight="1" x14ac:dyDescent="0.35">
      <c r="A11" s="3" t="s">
        <v>436</v>
      </c>
      <c r="B11" s="3"/>
      <c r="C11" s="3"/>
      <c r="D11" s="3"/>
      <c r="E11" s="3"/>
      <c r="F11" s="4"/>
    </row>
    <row r="12" spans="1:6" ht="25.5" customHeight="1" x14ac:dyDescent="0.35">
      <c r="A12" s="101" t="s">
        <v>437</v>
      </c>
      <c r="B12" s="101" t="s">
        <v>438</v>
      </c>
      <c r="C12" s="101" t="s">
        <v>439</v>
      </c>
      <c r="D12" s="101" t="s">
        <v>440</v>
      </c>
      <c r="E12" s="102" t="s">
        <v>441</v>
      </c>
      <c r="F12" s="4"/>
    </row>
    <row r="13" spans="1:6" ht="24" customHeight="1" x14ac:dyDescent="0.35">
      <c r="A13" s="101" t="s">
        <v>442</v>
      </c>
      <c r="B13" s="76">
        <f>$E$13</f>
        <v>489.37864189491421</v>
      </c>
      <c r="C13" s="103" t="str">
        <f>"W_z = "&amp;ROUND(Berechnung!$B$382,1)&amp;" kWh"</f>
        <v>W_z = 22,8 kWh</v>
      </c>
      <c r="D13" s="103" t="s">
        <v>443</v>
      </c>
      <c r="E13" s="104">
        <f>Berechnung!$B$384</f>
        <v>489.37864189491421</v>
      </c>
      <c r="F13" s="4"/>
    </row>
    <row r="14" spans="1:6" ht="24" customHeight="1" x14ac:dyDescent="0.35">
      <c r="A14" s="101" t="s">
        <v>444</v>
      </c>
      <c r="B14" s="85">
        <f>IF($E$14&lt;=0,"–",$E$14)</f>
        <v>773.6322974204644</v>
      </c>
      <c r="C14" s="103" t="str">
        <f>"D_max = "&amp;ROUND(Berechnung!$B$359,1)&amp;" kWh"</f>
        <v>D_max = 31,3 kWh</v>
      </c>
      <c r="D14" s="103" t="s">
        <v>543</v>
      </c>
      <c r="E14" s="104">
        <f>Berechnung!$B$368</f>
        <v>773.6322974204644</v>
      </c>
      <c r="F14" s="4"/>
    </row>
    <row r="15" spans="1:6" ht="24" customHeight="1" x14ac:dyDescent="0.35">
      <c r="A15" s="101" t="s">
        <v>445</v>
      </c>
      <c r="B15" s="76">
        <f>$E$15</f>
        <v>790.99304780067894</v>
      </c>
      <c r="C15" s="103" t="str">
        <f>Berechnung!$B$405&amp;"   |   V_spitze,p = "&amp;ROUND(Berechnung!$B$407,1)&amp;" l/P"</f>
        <v>GLF(17,2) = 0,26   |   V_spitze,p = 35,8 l/P</v>
      </c>
      <c r="D15" s="103" t="s">
        <v>446</v>
      </c>
      <c r="E15" s="104">
        <f>Berechnung!$B$409</f>
        <v>790.99304780067894</v>
      </c>
      <c r="F15" s="4"/>
    </row>
    <row r="16" spans="1:6" ht="24" customHeight="1" x14ac:dyDescent="0.35">
      <c r="A16" s="105" t="s">
        <v>447</v>
      </c>
      <c r="B16" s="77">
        <f>$E$16</f>
        <v>3018.7499999999995</v>
      </c>
      <c r="C16" s="103" t="str">
        <f>"V60 = "&amp;ROUND(Berechnung!$B$390,0)&amp;" l/d"</f>
        <v>V60 = 2625 l/d</v>
      </c>
      <c r="D16" s="103" t="s">
        <v>448</v>
      </c>
      <c r="E16" s="104">
        <f>Berechnung!$B$391</f>
        <v>3018.7499999999995</v>
      </c>
      <c r="F16" s="4"/>
    </row>
    <row r="17" spans="1:6" ht="24" customHeight="1" x14ac:dyDescent="0.35">
      <c r="A17" s="90" t="s">
        <v>449</v>
      </c>
      <c r="B17" s="78" t="str">
        <f>Berechnung!$B$405</f>
        <v>GLF(17,2) = 0,26</v>
      </c>
      <c r="C17" s="4"/>
      <c r="D17" s="93" t="s">
        <v>450</v>
      </c>
      <c r="E17" s="4"/>
      <c r="F17" s="4"/>
    </row>
    <row r="18" spans="1:6" ht="24" customHeight="1" x14ac:dyDescent="0.35">
      <c r="A18" s="90" t="s">
        <v>451</v>
      </c>
      <c r="B18" s="126" t="str">
        <f>IF($E$14&lt;=0,"Ladeleistung deckt jede Stundenlast — keine Speicherung auf Stundenbasis nötig. Zapfspitzen unter 1 h (z. B. Wannenfüllung) sind im Stundenprofil nicht sichtbar; maßgebend ist dann das DIN-4708-Verfahren.","Zapfspitzen unter 1 h (z. B. Wannenfüllung) sind im Stundenprofil nicht sichtbar; maßgebend ist dann das DIN-4708-Verfahren.")</f>
        <v>Zapfspitzen unter 1 h (z. B. Wannenfüllung) sind im Stundenprofil nicht sichtbar; maßgebend ist dann das DIN-4708-Verfahren.</v>
      </c>
      <c r="C18" s="110"/>
      <c r="D18" s="110"/>
      <c r="E18" s="110"/>
      <c r="F18" s="110"/>
    </row>
    <row r="19" spans="1:6" ht="15" customHeight="1" x14ac:dyDescent="0.35">
      <c r="A19" s="4"/>
      <c r="B19" s="4"/>
      <c r="C19" s="4"/>
      <c r="D19" s="4"/>
      <c r="E19" s="4"/>
      <c r="F19" s="4"/>
    </row>
    <row r="20" spans="1:6" ht="15" customHeight="1" x14ac:dyDescent="0.35">
      <c r="A20" s="3" t="s">
        <v>452</v>
      </c>
      <c r="B20" s="3"/>
      <c r="C20" s="3"/>
      <c r="D20" s="3"/>
      <c r="E20" s="3"/>
      <c r="F20" s="4"/>
    </row>
    <row r="21" spans="1:6" ht="15" customHeight="1" x14ac:dyDescent="0.35">
      <c r="A21" s="4" t="s">
        <v>453</v>
      </c>
      <c r="B21" s="79" t="str">
        <f>INDEX($A$13:$A$15,MATCH(MAX($E$13:$E$15),$E$13:$E$15,0))</f>
        <v>Faustwert mit Gleichzeitigkeit (GLF)</v>
      </c>
      <c r="C21" s="4"/>
      <c r="D21" s="86" t="s">
        <v>454</v>
      </c>
      <c r="E21" s="4"/>
      <c r="F21" s="4"/>
    </row>
    <row r="22" spans="1:6" ht="15" customHeight="1" x14ac:dyDescent="0.35">
      <c r="A22" s="4" t="s">
        <v>455</v>
      </c>
      <c r="B22" s="28" t="str">
        <f>IF(Berechnung!$B$413&lt;=0,"—",Berechnung!$B$362&amp;" (Tag "&amp;Berechnung!$B$361&amp;" von 14), "&amp;RIGHT("0"&amp;Berechnung!$B$363,2)&amp;":00 Uhr")</f>
        <v>Mo (Tag 1 von 14), 17:00 Uhr</v>
      </c>
      <c r="C22" s="4"/>
      <c r="D22" s="86" t="s">
        <v>456</v>
      </c>
      <c r="E22" s="4"/>
      <c r="F22" s="4"/>
    </row>
    <row r="23" spans="1:6" ht="15" customHeight="1" x14ac:dyDescent="0.35">
      <c r="A23" s="4" t="s">
        <v>352</v>
      </c>
      <c r="B23" s="109" t="str">
        <f>Berechnung!$B$365</f>
        <v>Der maßgebende Tag ist ein Werktag (Mo).</v>
      </c>
      <c r="C23" s="110"/>
      <c r="D23" s="110"/>
      <c r="E23" s="110"/>
      <c r="F23" s="110"/>
    </row>
    <row r="24" spans="1:6" ht="15" customHeight="1" x14ac:dyDescent="0.35">
      <c r="A24" s="4" t="s">
        <v>457</v>
      </c>
      <c r="B24" s="80">
        <f>MAX($E$13:$E$15)</f>
        <v>790.99304780067894</v>
      </c>
      <c r="C24" s="7" t="s">
        <v>354</v>
      </c>
      <c r="D24" s="4"/>
      <c r="E24" s="4"/>
      <c r="F24" s="4"/>
    </row>
    <row r="25" spans="1:6" ht="17.25" customHeight="1" x14ac:dyDescent="0.35">
      <c r="A25" s="90" t="s">
        <v>458</v>
      </c>
      <c r="B25" s="106">
        <f>IF($B$24&lt;=MIN($A$40:$A$53),MIN($A$40:$A$53),IF($B$24&gt;MAX($A$40:$A$53),CEILING($B$24,1000),INDEX($A$40:$A$53,MATCH($B$24,$A$40:$A$53,1)+IF(INDEX($A$40:$A$53,MATCH($B$24,$A$40:$A$53,1))&gt;=$B$24,0,1))))</f>
        <v>800</v>
      </c>
      <c r="C25" s="92" t="s">
        <v>354</v>
      </c>
      <c r="D25" s="4"/>
      <c r="E25" s="4"/>
      <c r="F25" s="4"/>
    </row>
    <row r="26" spans="1:6" ht="15" customHeight="1" x14ac:dyDescent="0.35">
      <c r="A26" s="4" t="s">
        <v>459</v>
      </c>
      <c r="B26" s="81" t="str">
        <f>"Speicher mit NL ≥ "&amp;ROUND(Berechnung!$B$374,1)&amp;" wählen"</f>
        <v>Speicher mit NL ≥ 17,2 wählen</v>
      </c>
      <c r="C26" s="4"/>
      <c r="D26" s="7" t="s">
        <v>460</v>
      </c>
      <c r="E26" s="4"/>
      <c r="F26" s="4"/>
    </row>
    <row r="27" spans="1:6" ht="15" customHeight="1" x14ac:dyDescent="0.35">
      <c r="A27" s="133" t="s">
        <v>554</v>
      </c>
      <c r="B27" s="10">
        <f>Berechnung!$B$420</f>
        <v>5.9208917599999964</v>
      </c>
      <c r="C27" s="7" t="s">
        <v>343</v>
      </c>
      <c r="D27" s="7" t="str">
        <f>"nutzbare Speicherkapazität C_sp = "&amp;ROUND(Berechnung!$B$419,1)&amp;" kWh bei "&amp;ROUND(Berechnung!$B$417,0)&amp;" l und f_nutz = "&amp;ROUND(Eingaben!$B$30*100,0)&amp;" %; Restreserve "&amp;ROUND(Berechnung!$B$421*100,1)&amp;" %"</f>
        <v>nutzbare Speicherkapazität C_sp = 37,2 kWh bei 800 l und f_nutz = 80 %; Restreserve 15,9 %</v>
      </c>
    </row>
    <row r="28" spans="1:6" ht="15" customHeight="1" x14ac:dyDescent="0.35">
      <c r="A28" s="4"/>
      <c r="B28" s="4"/>
      <c r="C28" s="4"/>
      <c r="D28" s="4"/>
      <c r="E28" s="4"/>
      <c r="F28" s="4"/>
    </row>
    <row r="29" spans="1:6" ht="15" customHeight="1" x14ac:dyDescent="0.35">
      <c r="A29" s="3" t="s">
        <v>461</v>
      </c>
      <c r="B29" s="3"/>
      <c r="C29" s="3"/>
      <c r="D29" s="3"/>
      <c r="E29" s="3"/>
      <c r="F29" s="4"/>
    </row>
    <row r="30" spans="1:6" ht="27" customHeight="1" x14ac:dyDescent="0.35">
      <c r="A30" s="90" t="s">
        <v>462</v>
      </c>
      <c r="B30" s="113" t="str">
        <f>IF($B$25&gt;400,_xlfn._LONGTEXT("Großanlage (&gt; 400 l Speicherinhalt bzw. &gt; 3 l Rohrleitungsinhalt je Strang, DVGW W 551): Speicheraustritt dauerhaft ≥ 60 °C, Zirkulationsrücklauf ≥ 55 °C, wöchentliche Erwärmung des gesamten Inhalts. Bei WP-Betrieb Frischwasserstation mit Pufferspeicher p","rüfen."),"Kleinanlage (≤ 400 l): erhöhte Anforderungen nach DVGW W 551 nicht zwingend; Speichertemperatur ≥ 60 °C bzw. periodische Aufheizung dennoch empfohlen.")</f>
        <v>Großanlage (&gt; 400 l Speicherinhalt bzw. &gt; 3 l Rohrleitungsinhalt je Strang, DVGW W 551): Speicheraustritt dauerhaft ≥ 60 °C, Zirkulationsrücklauf ≥ 55 °C, wöchentliche Erwärmung des gesamten Inhalts. Bei WP-Betrieb Frischwasserstation mit Pufferspeicher prüfen.</v>
      </c>
      <c r="C30" s="110"/>
      <c r="D30" s="110"/>
      <c r="E30" s="110"/>
      <c r="F30" s="110"/>
    </row>
    <row r="31" spans="1:6" ht="15" customHeight="1" x14ac:dyDescent="0.35">
      <c r="A31" s="4" t="s">
        <v>435</v>
      </c>
      <c r="B31" s="109" t="str">
        <f>IF(OR(ABS(Zapfprofil!$B$10-1)&gt;0.005,ABS(Zapfprofil!$B$11-1)&gt;0.005,ABS(Zapfprofil!$B$12-1)&gt;0.005,ABS(Zapfprofil!$B$13-1)&gt;0.005),"WARNUNG: Eine der Summenkontrollen auf dem Blatt 'Zapfprofil' liegt nicht bei 100 % (Werktag "&amp;ROUND(Zapfprofil!$B$10*100,1)&amp;" %, Sa "&amp;ROUND(Zapfprofil!$B$11*100,1)&amp;" %, So "&amp;ROUND(Zapfprofil!$B$12*100,1)&amp;" %, Wochenfaktoren "&amp;ROUND(Zapfprofil!$B$13*100,1)&amp;" %) — das profilbasierte Ergebnis ist verfälscht.","OK: Alle drei Tagesprofile und die Wochenfaktoren summieren zu 100 %.")</f>
        <v>OK: Alle drei Tagesprofile und die Wochenfaktoren summieren zu 100 %.</v>
      </c>
      <c r="C31" s="110"/>
      <c r="D31" s="110"/>
      <c r="E31" s="110"/>
      <c r="F31" s="110"/>
    </row>
    <row r="32" spans="1:6" ht="15" customHeight="1" x14ac:dyDescent="0.35">
      <c r="A32" s="4" t="s">
        <v>463</v>
      </c>
      <c r="B32" s="109" t="str">
        <f>IF(Berechnung!$B$13&lt;Berechnung!$B$11,"WARNUNG: Ladeleistung "&amp;ROUND(Berechnung!$B$12,1)&amp;" kW deckt den Tagesbedarf von "&amp;ROUND(Berechnung!$B$11,0)&amp;" kWh/d nicht — mindestens "&amp;ROUND(Berechnung!$B$15,1)&amp;" kW Dauerladeleistung erforderlich. Das Defizit wächst dann über die 14 Tage an; Volumen ersetzt keine Leistung.","OK: Ladeleistung deckt den mittleren Tagesbedarf ("&amp;ROUND(Berechnung!$B$13/Berechnung!$B$11,1)&amp;" Speicherladungen je Tag rechnerisch möglich).")</f>
        <v>OK: Ladeleistung deckt den mittleren Tagesbedarf (1,5 Speicherladungen je Tag rechnerisch möglich).</v>
      </c>
      <c r="C32" s="110"/>
      <c r="D32" s="110"/>
      <c r="E32" s="110"/>
      <c r="F32" s="110"/>
    </row>
    <row r="33" spans="1:6" ht="15" customHeight="1" x14ac:dyDescent="0.35">
      <c r="A33" s="4" t="s">
        <v>464</v>
      </c>
      <c r="B33" s="109" t="str">
        <f>IF(Berechnung!$B$413&lt;=0,"—","Der Spitzentag trägt "&amp;ROUND(INDEX(Zapfprofil!$B$61:$H$61,IF(Berechnung!$B$364="Sonntag",7,IF(Berechnung!$B$364="Samstag",6,1)))*100,1)&amp;" % des Wochenbedarfs — Wochenfaktor des maßgebenden Tagtyps.")</f>
        <v>Der Spitzentag trägt 19 % des Wochenbedarfs — Wochenfaktor des maßgebenden Tagtyps.</v>
      </c>
      <c r="C33" s="110"/>
      <c r="D33" s="110"/>
      <c r="E33" s="110"/>
      <c r="F33" s="110"/>
    </row>
    <row r="34" spans="1:6" ht="27" customHeight="1" x14ac:dyDescent="0.35">
      <c r="A34" s="90" t="s">
        <v>465</v>
      </c>
      <c r="B34" s="113" t="str">
        <f>IF($E$16&gt;3*MAX($E$13,$E$14,$E$15),_xlfn._LONGTEXT("HINWEIS: Der klassische Faustwert (ohne GLF) liegt mehr als um den Faktor 3 über den maßgebenden Verfahren. Er unterstellt eine Speicherladung je Tag und wächst linear mit der Personenzahl — für größere Anlagen systematisch zu hoch. Er wird deshalb nur na","chrichtlich ausgewiesen und geht nicht in die Empfehlung ein."),"OK: Die Verfahren liegen in einer plausiblen Bandbreite.")</f>
        <v>HINWEIS: Der klassische Faustwert (ohne GLF) liegt mehr als um den Faktor 3 über den maßgebenden Verfahren. Er unterstellt eine Speicherladung je Tag und wächst linear mit der Personenzahl — für größere Anlagen systematisch zu hoch. Er wird deshalb nur nachrichtlich ausgewiesen und geht nicht in die Empfehlung ein.</v>
      </c>
      <c r="C34" s="110"/>
      <c r="D34" s="110"/>
      <c r="E34" s="110"/>
      <c r="F34" s="110"/>
    </row>
    <row r="35" spans="1:6" ht="15" customHeight="1" x14ac:dyDescent="0.35">
      <c r="A35" s="4" t="s">
        <v>466</v>
      </c>
      <c r="B35" s="109" t="str">
        <f>IF(Eingaben!$B$22&lt;60,"WARNUNG: Speichertemperatur &lt; 60 °C — Legionellenschutz gesondert nachweisen (thermische Desinfektion oder FriWa-Konzept).","OK: Speichertemperatur ≥ 60 °C.")</f>
        <v>OK: Speichertemperatur ≥ 60 °C.</v>
      </c>
      <c r="C35" s="110"/>
      <c r="D35" s="110"/>
      <c r="E35" s="110"/>
      <c r="F35" s="110"/>
    </row>
    <row r="36" spans="1:6" ht="27" customHeight="1" x14ac:dyDescent="0.35">
      <c r="A36" s="90" t="s">
        <v>363</v>
      </c>
      <c r="B36" s="113" t="str">
        <f>"N = "&amp;ROUND(Berechnung!$B$374,2)&amp;"   ("&amp;Eingaben!$B$53&amp;")   |   "&amp;Eingaben!$B$57</f>
        <v>N = 17,19   (DIN 4708-2 (Tabelle))   |   N vereinfacht = 37,71   |   N nach DIN 4708-2 = 17,19   |   Abweichung -54,4 %   |   angesetzt: N = 17,19 (DIN 4708-2 (Tabelle))</v>
      </c>
      <c r="C36" s="110"/>
      <c r="D36" s="110"/>
      <c r="E36" s="110"/>
      <c r="F36" s="110"/>
    </row>
    <row r="37" spans="1:6" ht="15" customHeight="1" x14ac:dyDescent="0.35">
      <c r="A37" s="4" t="s">
        <v>467</v>
      </c>
      <c r="B37" s="109" t="str">
        <f>"P_lade = "&amp;ROUND(Eingaben!$B$28,1)&amp;" kW ("&amp;Eingaben!$B$62&amp;")   |   P_zirk = "&amp;ROUND(Eingaben!$B$29,2)&amp;" kW ("&amp;Eingaben!$B$72&amp;")   |   Sicherheitszuschlag "&amp;ROUND(Eingaben!$B$31*100,0)&amp;" %"</f>
        <v>P_lade = 4 kW (auto)   |   P_zirk = 0,2 kW (Leitungslänge)   |   Sicherheitszuschlag 15 %</v>
      </c>
      <c r="C37" s="110"/>
      <c r="D37" s="110"/>
      <c r="E37" s="110"/>
      <c r="F37" s="110"/>
    </row>
    <row r="38" spans="1:6" ht="15" customHeight="1" x14ac:dyDescent="0.35">
      <c r="A38" s="3" t="s">
        <v>468</v>
      </c>
      <c r="B38" s="3"/>
      <c r="C38" s="3"/>
      <c r="D38" s="3"/>
      <c r="E38" s="3"/>
      <c r="F38" s="4"/>
    </row>
    <row r="39" spans="1:6" ht="15" customHeight="1" x14ac:dyDescent="0.35">
      <c r="A39" s="82" t="s">
        <v>469</v>
      </c>
      <c r="B39" s="4"/>
      <c r="C39" s="4"/>
      <c r="D39" s="4"/>
      <c r="E39" s="4"/>
      <c r="F39" s="4"/>
    </row>
    <row r="40" spans="1:6" ht="15" customHeight="1" x14ac:dyDescent="0.35">
      <c r="A40" s="83">
        <v>100</v>
      </c>
      <c r="B40" s="4"/>
      <c r="C40" s="4"/>
      <c r="D40" s="4"/>
      <c r="E40" s="4"/>
      <c r="F40" s="4"/>
    </row>
    <row r="41" spans="1:6" ht="15" customHeight="1" x14ac:dyDescent="0.35">
      <c r="A41" s="83">
        <v>150</v>
      </c>
      <c r="B41" s="4"/>
      <c r="C41" s="4"/>
      <c r="D41" s="4"/>
      <c r="E41" s="4"/>
      <c r="F41" s="4"/>
    </row>
    <row r="42" spans="1:6" ht="15" customHeight="1" x14ac:dyDescent="0.35">
      <c r="A42" s="83">
        <v>200</v>
      </c>
      <c r="B42" s="4"/>
      <c r="C42" s="4"/>
      <c r="D42" s="4"/>
      <c r="E42" s="4"/>
      <c r="F42" s="4"/>
    </row>
    <row r="43" spans="1:6" ht="15" customHeight="1" x14ac:dyDescent="0.35">
      <c r="A43" s="83">
        <v>300</v>
      </c>
      <c r="B43" s="4"/>
      <c r="C43" s="4"/>
      <c r="D43" s="4"/>
      <c r="E43" s="4"/>
      <c r="F43" s="4"/>
    </row>
    <row r="44" spans="1:6" ht="15" customHeight="1" x14ac:dyDescent="0.35">
      <c r="A44" s="83">
        <v>400</v>
      </c>
      <c r="B44" s="4"/>
      <c r="C44" s="4"/>
      <c r="D44" s="4"/>
      <c r="E44" s="4"/>
      <c r="F44" s="4"/>
    </row>
    <row r="45" spans="1:6" ht="15" customHeight="1" x14ac:dyDescent="0.35">
      <c r="A45" s="83">
        <v>500</v>
      </c>
      <c r="B45" s="4"/>
      <c r="C45" s="4"/>
      <c r="D45" s="4"/>
      <c r="E45" s="4"/>
      <c r="F45" s="4"/>
    </row>
    <row r="46" spans="1:6" ht="15" customHeight="1" x14ac:dyDescent="0.35">
      <c r="A46" s="83">
        <v>800</v>
      </c>
      <c r="B46" s="4"/>
      <c r="C46" s="4"/>
      <c r="D46" s="4"/>
      <c r="E46" s="4"/>
      <c r="F46" s="4"/>
    </row>
    <row r="47" spans="1:6" ht="15" customHeight="1" x14ac:dyDescent="0.35">
      <c r="A47" s="83">
        <v>1000</v>
      </c>
      <c r="B47" s="4"/>
      <c r="C47" s="4"/>
      <c r="D47" s="4"/>
      <c r="E47" s="4"/>
      <c r="F47" s="4"/>
    </row>
    <row r="48" spans="1:6" ht="15" customHeight="1" x14ac:dyDescent="0.35">
      <c r="A48" s="83">
        <v>1500</v>
      </c>
      <c r="B48" s="4"/>
      <c r="C48" s="4"/>
      <c r="D48" s="4"/>
      <c r="E48" s="4"/>
      <c r="F48" s="4"/>
    </row>
    <row r="49" spans="1:6" ht="15" customHeight="1" x14ac:dyDescent="0.35">
      <c r="A49" s="83">
        <v>2000</v>
      </c>
      <c r="B49" s="4"/>
      <c r="C49" s="4"/>
      <c r="D49" s="4"/>
      <c r="E49" s="4"/>
      <c r="F49" s="4"/>
    </row>
    <row r="50" spans="1:6" ht="15" customHeight="1" x14ac:dyDescent="0.35">
      <c r="A50" s="83">
        <v>3000</v>
      </c>
      <c r="B50" s="4"/>
      <c r="C50" s="4"/>
      <c r="D50" s="4"/>
      <c r="E50" s="4"/>
      <c r="F50" s="4"/>
    </row>
    <row r="51" spans="1:6" ht="15" customHeight="1" x14ac:dyDescent="0.35">
      <c r="A51" s="83">
        <v>5000</v>
      </c>
      <c r="B51" s="4"/>
      <c r="C51" s="4"/>
      <c r="D51" s="4"/>
      <c r="E51" s="4"/>
      <c r="F51" s="4"/>
    </row>
    <row r="52" spans="1:6" ht="15" customHeight="1" x14ac:dyDescent="0.35">
      <c r="A52" s="83">
        <v>8000</v>
      </c>
      <c r="B52" s="4"/>
      <c r="C52" s="4"/>
      <c r="D52" s="4"/>
      <c r="E52" s="4"/>
      <c r="F52" s="4"/>
    </row>
    <row r="53" spans="1:6" ht="15" customHeight="1" x14ac:dyDescent="0.35">
      <c r="A53" s="83">
        <v>10000</v>
      </c>
      <c r="B53" s="4"/>
      <c r="C53" s="4"/>
      <c r="D53" s="4"/>
      <c r="E53" s="4"/>
      <c r="F53" s="4"/>
    </row>
    <row r="54" spans="1:6" ht="15" customHeight="1" x14ac:dyDescent="0.35">
      <c r="A54" s="112" t="s">
        <v>470</v>
      </c>
      <c r="B54" s="110"/>
      <c r="C54" s="110"/>
      <c r="D54" s="110"/>
      <c r="E54" s="110"/>
      <c r="F54" s="110"/>
    </row>
    <row r="55" spans="1:6" ht="15" customHeight="1" x14ac:dyDescent="0.35">
      <c r="A55" s="4"/>
      <c r="B55" s="4"/>
      <c r="C55" s="4"/>
      <c r="D55" s="4"/>
      <c r="E55" s="4"/>
      <c r="F55" s="4"/>
    </row>
    <row r="56" spans="1:6" ht="15" customHeight="1" x14ac:dyDescent="0.35">
      <c r="A56" s="139" t="s">
        <v>565</v>
      </c>
      <c r="B56" s="139"/>
      <c r="C56" s="139"/>
      <c r="D56" s="139"/>
      <c r="E56" s="139"/>
      <c r="F56" s="139"/>
    </row>
    <row r="57" spans="1:6" ht="15" customHeight="1" x14ac:dyDescent="0.35">
      <c r="A57" s="138" t="s">
        <v>564</v>
      </c>
      <c r="B57" s="137" t="str">
        <f>Berechnung!$B$422</f>
        <v>Empfehlung (Maximum der Verfahren)</v>
      </c>
      <c r="C57" s="7" t="s">
        <v>354</v>
      </c>
      <c r="D57" s="7" t="str">
        <f>"V_graf = "&amp;ROUND(Berechnung!$B$424,0)&amp;" l  →  C_sp = "&amp;ROUND(Berechnung!$B$419,1)&amp;" kWh  |  min. Füllstand "&amp;ROUND(Berechnung!$B$420,1)&amp;" kWh ("&amp;ROUND(Berechnung!$B$421*100,1)&amp;" %)  |  Auswahl auf Blatt 'Berechnung' B422"</f>
        <v>V_graf = 800 l  →  C_sp = 37,2 kWh  |  min. Füllstand 5,9 kWh (15,9 %)  |  Auswahl auf Blatt 'Berechnung' B422</v>
      </c>
    </row>
    <row r="58" spans="1:6" ht="15" customHeight="1" x14ac:dyDescent="0.35">
      <c r="A58" s="4"/>
      <c r="B58" s="4"/>
      <c r="C58" s="4"/>
      <c r="D58" s="4"/>
      <c r="E58" s="4"/>
      <c r="F58" s="4"/>
    </row>
    <row r="59" spans="1:6" ht="15" customHeight="1" x14ac:dyDescent="0.35">
      <c r="A59" s="4"/>
      <c r="B59" s="4"/>
      <c r="C59" s="4"/>
      <c r="D59" s="4"/>
      <c r="E59" s="4"/>
      <c r="F59" s="4"/>
    </row>
    <row r="60" spans="1:6" ht="15" customHeight="1" x14ac:dyDescent="0.35">
      <c r="A60" s="4"/>
      <c r="B60" s="4"/>
      <c r="C60" s="4"/>
      <c r="D60" s="4"/>
      <c r="E60" s="4"/>
      <c r="F60" s="4"/>
    </row>
    <row r="61" spans="1:6" ht="15" customHeight="1" x14ac:dyDescent="0.35">
      <c r="A61" s="4"/>
      <c r="B61" s="4"/>
      <c r="C61" s="4"/>
      <c r="D61" s="4"/>
      <c r="E61" s="4"/>
      <c r="F61" s="4"/>
    </row>
  </sheetData>
  <mergeCells count="11">
    <mergeCell ref="B23:F23"/>
    <mergeCell ref="B37:F37"/>
    <mergeCell ref="B33:F33"/>
    <mergeCell ref="A54:F54"/>
    <mergeCell ref="B18:F18"/>
    <mergeCell ref="B36:F36"/>
    <mergeCell ref="B31:F31"/>
    <mergeCell ref="B30:F30"/>
    <mergeCell ref="B35:F35"/>
    <mergeCell ref="B34:F34"/>
    <mergeCell ref="B32:F32"/>
  </mergeCells>
  <conditionalFormatting sqref="A30:B30">
    <cfRule type="expression" dxfId="4" priority="3">
      <formula>ISNUMBER(SEARCH("WARNUNG",$B$30))</formula>
    </cfRule>
  </conditionalFormatting>
  <conditionalFormatting sqref="A31:B31">
    <cfRule type="expression" dxfId="3" priority="4">
      <formula>ISNUMBER(SEARCH("WARNUNG",$B$31))</formula>
    </cfRule>
  </conditionalFormatting>
  <conditionalFormatting sqref="A32:B32">
    <cfRule type="expression" dxfId="2" priority="5">
      <formula>ISNUMBER(SEARCH("WARNUNG",$B$32))</formula>
    </cfRule>
  </conditionalFormatting>
  <conditionalFormatting sqref="A34:B34">
    <cfRule type="expression" dxfId="1" priority="6">
      <formula>ISNUMBER(SEARCH("WARNUNG",$B$34))</formula>
    </cfRule>
  </conditionalFormatting>
  <conditionalFormatting sqref="A35:B35">
    <cfRule type="expression" dxfId="0" priority="7">
      <formula>ISNUMBER(SEARCH("WARNUNG",$B$35))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OR(Berechnung!$B$364="Samstag",Berechnung!$B$364="Sonntag")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A23:B23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"/>
  <sheetViews>
    <sheetView showGridLines="0" topLeftCell="B9" zoomScaleNormal="100" workbookViewId="0">
      <selection activeCell="B19" sqref="B19"/>
    </sheetView>
  </sheetViews>
  <sheetFormatPr baseColWidth="10" defaultColWidth="8.6328125" defaultRowHeight="14.5" x14ac:dyDescent="0.35"/>
  <cols>
    <col min="1" max="1" width="4" customWidth="1"/>
    <col min="2" max="2" width="155" customWidth="1"/>
  </cols>
  <sheetData>
    <row r="1" spans="1:2" ht="17.25" customHeight="1" x14ac:dyDescent="0.35">
      <c r="A1" s="89" t="s">
        <v>471</v>
      </c>
      <c r="B1" s="1"/>
    </row>
    <row r="3" spans="1:2" ht="15" customHeight="1" x14ac:dyDescent="0.35">
      <c r="A3" s="3"/>
      <c r="B3" s="3" t="s">
        <v>472</v>
      </c>
    </row>
    <row r="4" spans="1:2" ht="27" customHeight="1" x14ac:dyDescent="0.35">
      <c r="B4" s="107" t="s">
        <v>473</v>
      </c>
    </row>
    <row r="5" spans="1:2" ht="27" customHeight="1" x14ac:dyDescent="0.35">
      <c r="B5" s="107" t="s">
        <v>474</v>
      </c>
    </row>
    <row r="6" spans="1:2" ht="15" customHeight="1" x14ac:dyDescent="0.35">
      <c r="B6" s="84" t="s">
        <v>475</v>
      </c>
    </row>
    <row r="7" spans="1:2" ht="27" customHeight="1" x14ac:dyDescent="0.35">
      <c r="B7" s="107" t="s">
        <v>476</v>
      </c>
    </row>
    <row r="8" spans="1:2" ht="27" customHeight="1" x14ac:dyDescent="0.35">
      <c r="B8" s="107" t="s">
        <v>477</v>
      </c>
    </row>
    <row r="9" spans="1:2" ht="27" customHeight="1" x14ac:dyDescent="0.35">
      <c r="B9" s="107" t="s">
        <v>478</v>
      </c>
    </row>
    <row r="10" spans="1:2" ht="27" customHeight="1" x14ac:dyDescent="0.35">
      <c r="B10" s="107" t="s">
        <v>479</v>
      </c>
    </row>
    <row r="11" spans="1:2" ht="40.5" customHeight="1" x14ac:dyDescent="0.35">
      <c r="B11" s="107" t="s">
        <v>480</v>
      </c>
    </row>
    <row r="12" spans="1:2" ht="15" customHeight="1" x14ac:dyDescent="0.35">
      <c r="A12" s="3"/>
      <c r="B12" s="3" t="s">
        <v>481</v>
      </c>
    </row>
    <row r="13" spans="1:2" ht="15" customHeight="1" x14ac:dyDescent="0.35">
      <c r="B13" s="88" t="s">
        <v>482</v>
      </c>
    </row>
    <row r="14" spans="1:2" ht="15" customHeight="1" x14ac:dyDescent="0.35">
      <c r="B14" s="84" t="s">
        <v>483</v>
      </c>
    </row>
    <row r="15" spans="1:2" ht="15" customHeight="1" x14ac:dyDescent="0.35">
      <c r="B15" s="84" t="s">
        <v>484</v>
      </c>
    </row>
    <row r="16" spans="1:2" ht="15" customHeight="1" x14ac:dyDescent="0.35">
      <c r="B16" s="84" t="s">
        <v>485</v>
      </c>
    </row>
    <row r="17" spans="1:2" ht="15" customHeight="1" x14ac:dyDescent="0.35">
      <c r="B17" s="84" t="s">
        <v>486</v>
      </c>
    </row>
    <row r="18" spans="1:2" ht="15" customHeight="1" x14ac:dyDescent="0.35">
      <c r="B18" s="84" t="s">
        <v>487</v>
      </c>
    </row>
    <row r="19" spans="1:2" ht="15" customHeight="1" x14ac:dyDescent="0.35">
      <c r="B19" s="84" t="s">
        <v>488</v>
      </c>
    </row>
    <row r="20" spans="1:2" ht="15" customHeight="1" x14ac:dyDescent="0.35">
      <c r="B20" s="84" t="s">
        <v>489</v>
      </c>
    </row>
    <row r="21" spans="1:2" ht="15" customHeight="1" x14ac:dyDescent="0.35">
      <c r="B21" s="84" t="s">
        <v>490</v>
      </c>
    </row>
    <row r="22" spans="1:2" ht="15" customHeight="1" x14ac:dyDescent="0.35">
      <c r="B22" s="84" t="s">
        <v>491</v>
      </c>
    </row>
    <row r="23" spans="1:2" ht="15" customHeight="1" x14ac:dyDescent="0.35">
      <c r="B23" s="84" t="s">
        <v>492</v>
      </c>
    </row>
    <row r="24" spans="1:2" ht="15" customHeight="1" x14ac:dyDescent="0.35">
      <c r="B24" s="84" t="s">
        <v>493</v>
      </c>
    </row>
    <row r="25" spans="1:2" ht="15" customHeight="1" x14ac:dyDescent="0.35">
      <c r="B25" s="84" t="s">
        <v>494</v>
      </c>
    </row>
    <row r="26" spans="1:2" ht="15" customHeight="1" x14ac:dyDescent="0.35">
      <c r="B26" s="88" t="s">
        <v>495</v>
      </c>
    </row>
    <row r="27" spans="1:2" ht="15" customHeight="1" x14ac:dyDescent="0.35">
      <c r="B27" s="84" t="s">
        <v>496</v>
      </c>
    </row>
    <row r="28" spans="1:2" ht="15" customHeight="1" x14ac:dyDescent="0.35">
      <c r="B28" s="84" t="s">
        <v>497</v>
      </c>
    </row>
    <row r="29" spans="1:2" ht="15" customHeight="1" x14ac:dyDescent="0.35">
      <c r="B29" s="84" t="s">
        <v>498</v>
      </c>
    </row>
    <row r="30" spans="1:2" ht="15" customHeight="1" x14ac:dyDescent="0.35">
      <c r="B30" s="84" t="s">
        <v>499</v>
      </c>
    </row>
    <row r="31" spans="1:2" ht="15" customHeight="1" x14ac:dyDescent="0.35">
      <c r="A31" s="3"/>
      <c r="B31" s="84" t="s">
        <v>500</v>
      </c>
    </row>
    <row r="32" spans="1:2" ht="15" customHeight="1" x14ac:dyDescent="0.35">
      <c r="B32" s="88" t="s">
        <v>501</v>
      </c>
    </row>
    <row r="33" spans="1:2" ht="27" customHeight="1" x14ac:dyDescent="0.35">
      <c r="B33" s="107" t="s">
        <v>502</v>
      </c>
    </row>
    <row r="34" spans="1:2" ht="15" customHeight="1" x14ac:dyDescent="0.35">
      <c r="B34" s="84" t="s">
        <v>503</v>
      </c>
    </row>
    <row r="35" spans="1:2" ht="15" customHeight="1" x14ac:dyDescent="0.35">
      <c r="B35" s="84" t="s">
        <v>504</v>
      </c>
    </row>
    <row r="36" spans="1:2" ht="23.25" customHeight="1" x14ac:dyDescent="0.35">
      <c r="B36" s="84"/>
    </row>
    <row r="37" spans="1:2" ht="15" customHeight="1" x14ac:dyDescent="0.35">
      <c r="B37" s="87" t="s">
        <v>505</v>
      </c>
    </row>
    <row r="38" spans="1:2" ht="15" customHeight="1" x14ac:dyDescent="0.35">
      <c r="B38" s="84" t="s">
        <v>506</v>
      </c>
    </row>
    <row r="39" spans="1:2" ht="15" customHeight="1" x14ac:dyDescent="0.35">
      <c r="B39" s="84" t="s">
        <v>507</v>
      </c>
    </row>
    <row r="40" spans="1:2" ht="27" customHeight="1" x14ac:dyDescent="0.35">
      <c r="B40" s="107" t="s">
        <v>508</v>
      </c>
    </row>
    <row r="41" spans="1:2" ht="27" customHeight="1" x14ac:dyDescent="0.35">
      <c r="B41" s="107" t="s">
        <v>509</v>
      </c>
    </row>
    <row r="42" spans="1:2" ht="27" customHeight="1" x14ac:dyDescent="0.35">
      <c r="B42" s="107" t="s">
        <v>510</v>
      </c>
    </row>
    <row r="43" spans="1:2" ht="40.5" customHeight="1" x14ac:dyDescent="0.35">
      <c r="A43" s="3"/>
      <c r="B43" s="107" t="s">
        <v>511</v>
      </c>
    </row>
    <row r="44" spans="1:2" ht="27" customHeight="1" x14ac:dyDescent="0.35">
      <c r="B44" s="107" t="s">
        <v>512</v>
      </c>
    </row>
    <row r="45" spans="1:2" ht="15" customHeight="1" x14ac:dyDescent="0.35">
      <c r="B45" s="84"/>
    </row>
    <row r="46" spans="1:2" ht="15" customHeight="1" x14ac:dyDescent="0.35">
      <c r="B46" s="87" t="s">
        <v>513</v>
      </c>
    </row>
    <row r="47" spans="1:2" ht="40.5" customHeight="1" x14ac:dyDescent="0.35">
      <c r="B47" s="107" t="s">
        <v>514</v>
      </c>
    </row>
    <row r="48" spans="1:2" ht="40.5" customHeight="1" x14ac:dyDescent="0.35">
      <c r="B48" s="107" t="s">
        <v>515</v>
      </c>
    </row>
    <row r="49" spans="2:2" ht="27" customHeight="1" x14ac:dyDescent="0.35">
      <c r="B49" s="107" t="s">
        <v>516</v>
      </c>
    </row>
    <row r="50" spans="2:2" ht="23.25" customHeight="1" x14ac:dyDescent="0.35">
      <c r="B50" s="84"/>
    </row>
    <row r="51" spans="2:2" ht="15" customHeight="1" x14ac:dyDescent="0.35">
      <c r="B51" s="3" t="s">
        <v>517</v>
      </c>
    </row>
    <row r="52" spans="2:2" ht="54" customHeight="1" x14ac:dyDescent="0.35">
      <c r="B52" s="107" t="s">
        <v>518</v>
      </c>
    </row>
    <row r="54" spans="2:2" ht="15" customHeight="1" x14ac:dyDescent="0.35">
      <c r="B54" s="3" t="s">
        <v>519</v>
      </c>
    </row>
    <row r="55" spans="2:2" ht="27" customHeight="1" x14ac:dyDescent="0.35">
      <c r="B55" s="107" t="s">
        <v>520</v>
      </c>
    </row>
    <row r="56" spans="2:2" ht="27" customHeight="1" x14ac:dyDescent="0.35">
      <c r="B56" s="107" t="s">
        <v>521</v>
      </c>
    </row>
    <row r="57" spans="2:2" ht="40.5" customHeight="1" x14ac:dyDescent="0.35">
      <c r="B57" s="107" t="s">
        <v>522</v>
      </c>
    </row>
    <row r="58" spans="2:2" ht="15" customHeight="1" x14ac:dyDescent="0.35">
      <c r="B58" s="84" t="s">
        <v>523</v>
      </c>
    </row>
    <row r="59" spans="2:2" ht="27" customHeight="1" x14ac:dyDescent="0.35">
      <c r="B59" s="107" t="s">
        <v>524</v>
      </c>
    </row>
    <row r="60" spans="2:2" ht="27" customHeight="1" x14ac:dyDescent="0.35">
      <c r="B60" s="107" t="s">
        <v>525</v>
      </c>
    </row>
    <row r="61" spans="2:2" ht="27" customHeight="1" x14ac:dyDescent="0.35">
      <c r="B61" s="107" t="s">
        <v>526</v>
      </c>
    </row>
    <row r="62" spans="2:2" ht="27" customHeight="1" x14ac:dyDescent="0.35">
      <c r="B62" s="107" t="s">
        <v>527</v>
      </c>
    </row>
    <row r="63" spans="2:2" ht="27" customHeight="1" x14ac:dyDescent="0.35">
      <c r="B63" s="107" t="s">
        <v>528</v>
      </c>
    </row>
    <row r="64" spans="2:2" ht="15" customHeight="1" x14ac:dyDescent="0.35">
      <c r="B64" s="84" t="s">
        <v>529</v>
      </c>
    </row>
    <row r="65" spans="2:2" ht="27" customHeight="1" x14ac:dyDescent="0.35">
      <c r="B65" s="107" t="s">
        <v>530</v>
      </c>
    </row>
    <row r="66" spans="2:2" ht="27" customHeight="1" x14ac:dyDescent="0.35">
      <c r="B66" s="107" t="s">
        <v>531</v>
      </c>
    </row>
    <row r="68" spans="2:2" ht="15" customHeight="1" x14ac:dyDescent="0.35">
      <c r="B68" s="3" t="s">
        <v>532</v>
      </c>
    </row>
    <row r="69" spans="2:2" ht="15" customHeight="1" x14ac:dyDescent="0.35">
      <c r="B69" s="84" t="s">
        <v>533</v>
      </c>
    </row>
    <row r="70" spans="2:2" ht="15" customHeight="1" x14ac:dyDescent="0.35">
      <c r="B70" s="84" t="s">
        <v>534</v>
      </c>
    </row>
    <row r="71" spans="2:2" ht="40.5" customHeight="1" x14ac:dyDescent="0.35">
      <c r="B71" s="107" t="s">
        <v>535</v>
      </c>
    </row>
    <row r="72" spans="2:2" ht="54" customHeight="1" x14ac:dyDescent="0.35">
      <c r="B72" s="107" t="s">
        <v>536</v>
      </c>
    </row>
    <row r="73" spans="2:2" ht="27" customHeight="1" x14ac:dyDescent="0.35">
      <c r="B73" s="107" t="s">
        <v>537</v>
      </c>
    </row>
    <row r="74" spans="2:2" ht="15" customHeight="1" x14ac:dyDescent="0.35">
      <c r="B74" s="84" t="s">
        <v>538</v>
      </c>
    </row>
    <row r="75" spans="2:2" ht="27" customHeight="1" x14ac:dyDescent="0.35">
      <c r="B75" s="107" t="s">
        <v>539</v>
      </c>
    </row>
    <row r="76" spans="2:2" ht="27" customHeight="1" x14ac:dyDescent="0.35">
      <c r="B76" s="107" t="s">
        <v>540</v>
      </c>
    </row>
    <row r="77" spans="2:2" ht="27" customHeight="1" x14ac:dyDescent="0.35">
      <c r="B77" s="107" t="s">
        <v>541</v>
      </c>
    </row>
    <row r="79" spans="2:2" ht="27" customHeight="1" x14ac:dyDescent="0.35">
      <c r="B79" s="108" t="s">
        <v>542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Eingaben</vt:lpstr>
      <vt:lpstr>Zapfprofil</vt:lpstr>
      <vt:lpstr>DIN 4708-2</vt:lpstr>
      <vt:lpstr>Berechnung</vt:lpstr>
      <vt:lpstr>Ergebnis</vt:lpstr>
      <vt:lpstr>Hilfe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</cp:lastModifiedBy>
  <cp:revision>5</cp:revision>
  <dcterms:created xsi:type="dcterms:W3CDTF">2026-07-28T22:26:16Z</dcterms:created>
  <dcterms:modified xsi:type="dcterms:W3CDTF">2026-07-30T20:04:02Z</dcterms:modified>
  <dc:language>en-US</dc:language>
</cp:coreProperties>
</file>