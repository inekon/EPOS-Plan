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irkEngelmann\Downloads\"/>
    </mc:Choice>
  </mc:AlternateContent>
  <xr:revisionPtr revIDLastSave="0" documentId="13_ncr:1_{C8717A1D-D391-4E45-91EA-EB39D62D245D}" xr6:coauthVersionLast="47" xr6:coauthVersionMax="47" xr10:uidLastSave="{00000000-0000-0000-0000-000000000000}"/>
  <bookViews>
    <workbookView xWindow="-110" yWindow="-110" windowWidth="19420" windowHeight="11500" tabRatio="500" activeTab="3" xr2:uid="{00000000-000D-0000-FFFF-FFFF00000000}"/>
  </bookViews>
  <sheets>
    <sheet name="Lesehinweis" sheetId="1" r:id="rId1"/>
    <sheet name="Betreibermodelle" sheetId="2" r:id="rId2"/>
    <sheet name="Erlöswege" sheetId="3" r:id="rId3"/>
    <sheet name="Methodik" sheetId="4" r:id="rId4"/>
    <sheet name="Kennzahlen-Herleitung" sheetId="5" r:id="rId5"/>
    <sheet name="Kennzahlen-Bausteine" sheetId="6" r:id="rId6"/>
    <sheet name="Vergütungssätze" sheetId="7" r:id="rId7"/>
    <sheet name="Ausschreibungen+Marktwerte" sheetId="8" r:id="rId8"/>
    <sheet name="Projektvergleich" sheetId="9" r:id="rId9"/>
    <sheet name="Glossar" sheetId="10" r:id="rId10"/>
    <sheet name="Quellen" sheetId="11" r:id="rId11"/>
  </sheets>
  <definedNames>
    <definedName name="_xlnm._FilterDatabase" localSheetId="7" hidden="1">'Ausschreibungen+Marktwerte'!$A$5:$H$15</definedName>
    <definedName name="_xlnm._FilterDatabase" localSheetId="1" hidden="1">Betreibermodelle!$A$3:$K$28</definedName>
    <definedName name="_xlnm._FilterDatabase" localSheetId="2" hidden="1">Erlöswege!$A$3:$F$11</definedName>
    <definedName name="_xlnm._FilterDatabase" localSheetId="9" hidden="1">Glossar!$A$7:$D$34</definedName>
    <definedName name="_xlnm._FilterDatabase" localSheetId="5" hidden="1">'Kennzahlen-Bausteine'!$A$5:$G$20</definedName>
    <definedName name="_xlnm._FilterDatabase" localSheetId="3" hidden="1">Methodik!$A$10:$H$40</definedName>
    <definedName name="_xlnm._FilterDatabase" localSheetId="8" hidden="1">Projektvergleich!$A$4:$G$60</definedName>
    <definedName name="_xlnm._FilterDatabase" localSheetId="10" hidden="1">Quellen!$A$3:$C$34</definedName>
    <definedName name="_xlnm._FilterDatabase" localSheetId="6" hidden="1">Vergütungssätze!$A$65:$K$77</definedName>
    <definedName name="_xlnm.Print_Area" localSheetId="7">'Ausschreibungen+Marktwerte'!$A$1:$H$37</definedName>
    <definedName name="_xlnm.Print_Area" localSheetId="1">Betreibermodelle!$A$1:$K$54</definedName>
    <definedName name="_xlnm.Print_Area" localSheetId="2">Erlöswege!$A$1:$F$19</definedName>
    <definedName name="_xlnm.Print_Area" localSheetId="9">Glossar!$A$1:$D$36</definedName>
    <definedName name="_xlnm.Print_Area" localSheetId="5">'Kennzahlen-Bausteine'!$A$1:$G$54</definedName>
    <definedName name="_xlnm.Print_Area" localSheetId="4">'Kennzahlen-Herleitung'!$A$1:$N$108</definedName>
    <definedName name="_xlnm.Print_Area" localSheetId="0">Lesehinweis!$A$1:$D$48</definedName>
    <definedName name="_xlnm.Print_Area" localSheetId="3">Methodik!$A$1:$H$53</definedName>
    <definedName name="_xlnm.Print_Area" localSheetId="8">Projektvergleich!$A$1:$G$94</definedName>
    <definedName name="_xlnm.Print_Area" localSheetId="10">Quellen!$A$1:$C$45</definedName>
    <definedName name="_xlnm.Print_Area" localSheetId="6">Vergütungssätze!$A$1:$K$78</definedName>
    <definedName name="_xlnm.Print_Titles" localSheetId="1">Betreibermodelle!$3:$3</definedName>
    <definedName name="_xlnm.Print_Titles" localSheetId="2">Erlöswege!$3:$3</definedName>
    <definedName name="_xlnm.Print_Titles" localSheetId="9">Glossar!$7:$7</definedName>
    <definedName name="_xlnm.Print_Titles" localSheetId="3">Methodik!$10:$10</definedName>
    <definedName name="_xlnm.Print_Titles" localSheetId="8">Projektvergleich!$4:$4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0" i="9" l="1"/>
  <c r="F89" i="9"/>
  <c r="F88" i="9"/>
  <c r="F87" i="9"/>
  <c r="F56" i="9"/>
  <c r="F55" i="9"/>
  <c r="F54" i="9"/>
  <c r="F53" i="9"/>
  <c r="F50" i="9"/>
  <c r="F49" i="9"/>
  <c r="F48" i="9"/>
  <c r="F47" i="9"/>
  <c r="F46" i="9"/>
  <c r="F45" i="9"/>
  <c r="F43" i="9"/>
  <c r="F42" i="9"/>
  <c r="F41" i="9"/>
  <c r="F40" i="9"/>
  <c r="F39" i="9"/>
  <c r="F38" i="9"/>
  <c r="F37" i="9"/>
  <c r="F35" i="9"/>
  <c r="F34" i="9"/>
  <c r="F33" i="9"/>
  <c r="F32" i="9"/>
  <c r="F26" i="9"/>
  <c r="F19" i="9"/>
  <c r="F17" i="9"/>
  <c r="F16" i="9"/>
  <c r="F14" i="9"/>
  <c r="F13" i="9"/>
  <c r="F12" i="9"/>
  <c r="F6" i="9"/>
  <c r="D48" i="7"/>
  <c r="G47" i="7"/>
  <c r="F47" i="7"/>
  <c r="H47" i="7" s="1"/>
  <c r="E47" i="7"/>
  <c r="D47" i="7"/>
  <c r="G46" i="7"/>
  <c r="F46" i="7"/>
  <c r="E46" i="7"/>
  <c r="D46" i="7"/>
  <c r="H46" i="7" s="1"/>
  <c r="F45" i="7"/>
  <c r="H45" i="7" s="1"/>
  <c r="E45" i="7"/>
  <c r="G45" i="7" s="1"/>
  <c r="D45" i="7"/>
  <c r="H44" i="7"/>
  <c r="G44" i="7"/>
  <c r="F44" i="7"/>
  <c r="E44" i="7"/>
  <c r="D44" i="7"/>
  <c r="G43" i="7"/>
  <c r="F43" i="7"/>
  <c r="E43" i="7"/>
  <c r="D43" i="7"/>
  <c r="H43" i="7" s="1"/>
  <c r="D40" i="7"/>
  <c r="N79" i="5"/>
  <c r="J79" i="5"/>
  <c r="N78" i="5"/>
  <c r="J78" i="5"/>
  <c r="N77" i="5"/>
  <c r="J77" i="5"/>
  <c r="N76" i="5"/>
  <c r="J76" i="5"/>
  <c r="N75" i="5"/>
  <c r="J75" i="5"/>
  <c r="N74" i="5"/>
  <c r="J74" i="5"/>
  <c r="N73" i="5"/>
  <c r="J73" i="5"/>
  <c r="N72" i="5"/>
  <c r="J72" i="5"/>
  <c r="N71" i="5"/>
  <c r="J71" i="5"/>
  <c r="N70" i="5"/>
  <c r="J70" i="5"/>
  <c r="N69" i="5"/>
  <c r="M69" i="5"/>
  <c r="G69" i="5" s="1"/>
  <c r="J69" i="5"/>
  <c r="N68" i="5"/>
  <c r="J68" i="5"/>
  <c r="N67" i="5"/>
  <c r="J67" i="5"/>
  <c r="N66" i="5"/>
  <c r="J66" i="5"/>
  <c r="N65" i="5"/>
  <c r="J65" i="5"/>
  <c r="N64" i="5"/>
  <c r="M64" i="5"/>
  <c r="G64" i="5" s="1"/>
  <c r="J64" i="5"/>
  <c r="N63" i="5"/>
  <c r="J63" i="5"/>
  <c r="N62" i="5"/>
  <c r="J62" i="5"/>
  <c r="N61" i="5"/>
  <c r="M61" i="5"/>
  <c r="J61" i="5"/>
  <c r="G61" i="5"/>
  <c r="N60" i="5"/>
  <c r="J60" i="5"/>
  <c r="N59" i="5"/>
  <c r="J59" i="5"/>
  <c r="N58" i="5"/>
  <c r="M58" i="5"/>
  <c r="J58" i="5"/>
  <c r="B58" i="5"/>
  <c r="N52" i="5"/>
  <c r="J52" i="5"/>
  <c r="N51" i="5"/>
  <c r="J51" i="5"/>
  <c r="N50" i="5"/>
  <c r="J50" i="5"/>
  <c r="N49" i="5"/>
  <c r="J49" i="5"/>
  <c r="N48" i="5"/>
  <c r="M48" i="5"/>
  <c r="J48" i="5"/>
  <c r="N47" i="5"/>
  <c r="J47" i="5"/>
  <c r="N46" i="5"/>
  <c r="J46" i="5"/>
  <c r="N45" i="5"/>
  <c r="J45" i="5"/>
  <c r="N44" i="5"/>
  <c r="J44" i="5"/>
  <c r="N43" i="5"/>
  <c r="M43" i="5"/>
  <c r="J43" i="5"/>
  <c r="N42" i="5"/>
  <c r="J42" i="5"/>
  <c r="N41" i="5"/>
  <c r="J41" i="5"/>
  <c r="N40" i="5"/>
  <c r="M40" i="5"/>
  <c r="J40" i="5"/>
  <c r="N39" i="5"/>
  <c r="J39" i="5"/>
  <c r="N38" i="5"/>
  <c r="J38" i="5"/>
  <c r="N37" i="5"/>
  <c r="J37" i="5"/>
  <c r="N36" i="5"/>
  <c r="J36" i="5"/>
  <c r="N35" i="5"/>
  <c r="J35" i="5"/>
  <c r="N34" i="5"/>
  <c r="J34" i="5"/>
  <c r="N33" i="5"/>
  <c r="J33" i="5"/>
  <c r="N32" i="5"/>
  <c r="J32" i="5"/>
  <c r="N31" i="5"/>
  <c r="M31" i="5"/>
  <c r="J31" i="5"/>
  <c r="F23" i="5"/>
  <c r="F21" i="5"/>
  <c r="F26" i="5" s="1"/>
  <c r="E21" i="5"/>
  <c r="E15" i="5"/>
  <c r="M76" i="5" s="1"/>
  <c r="G76" i="5" s="1"/>
  <c r="E11" i="5"/>
  <c r="H48" i="7" l="1"/>
  <c r="B53" i="7" s="1"/>
  <c r="B54" i="7" s="1"/>
  <c r="G48" i="7"/>
  <c r="G48" i="5"/>
  <c r="M38" i="5"/>
  <c r="B49" i="5"/>
  <c r="D58" i="5"/>
  <c r="M33" i="5"/>
  <c r="B39" i="5"/>
  <c r="M50" i="5"/>
  <c r="G50" i="5" s="1"/>
  <c r="M71" i="5"/>
  <c r="G71" i="5" s="1"/>
  <c r="M59" i="5"/>
  <c r="G59" i="5" s="1"/>
  <c r="G15" i="5"/>
  <c r="B34" i="5"/>
  <c r="M45" i="5"/>
  <c r="G45" i="5" s="1"/>
  <c r="G58" i="5"/>
  <c r="M66" i="5"/>
  <c r="G66" i="5" s="1"/>
  <c r="M78" i="5"/>
  <c r="G78" i="5" s="1"/>
  <c r="M52" i="5"/>
  <c r="G52" i="5" s="1"/>
  <c r="M73" i="5"/>
  <c r="G73" i="5" s="1"/>
  <c r="M47" i="5"/>
  <c r="G47" i="5" s="1"/>
  <c r="M68" i="5"/>
  <c r="G68" i="5" s="1"/>
  <c r="B79" i="5"/>
  <c r="B41" i="5"/>
  <c r="B31" i="5"/>
  <c r="M42" i="5"/>
  <c r="G42" i="5" s="1"/>
  <c r="M63" i="5"/>
  <c r="G63" i="5" s="1"/>
  <c r="B74" i="5"/>
  <c r="B51" i="7"/>
  <c r="M37" i="5"/>
  <c r="B48" i="5"/>
  <c r="B69" i="5"/>
  <c r="M35" i="5"/>
  <c r="M32" i="5"/>
  <c r="B43" i="5"/>
  <c r="B64" i="5"/>
  <c r="M75" i="5"/>
  <c r="G75" i="5" s="1"/>
  <c r="C58" i="5"/>
  <c r="E23" i="5"/>
  <c r="H58" i="5"/>
  <c r="B38" i="5"/>
  <c r="B33" i="5"/>
  <c r="M44" i="5"/>
  <c r="G44" i="5" s="1"/>
  <c r="M65" i="5"/>
  <c r="G65" i="5" s="1"/>
  <c r="B76" i="5"/>
  <c r="M70" i="5"/>
  <c r="G70" i="5" s="1"/>
  <c r="B50" i="5"/>
  <c r="M60" i="5"/>
  <c r="G60" i="5" s="1"/>
  <c r="B71" i="5"/>
  <c r="M49" i="5"/>
  <c r="M39" i="5"/>
  <c r="H31" i="5"/>
  <c r="M34" i="5"/>
  <c r="M77" i="5"/>
  <c r="G77" i="5" s="1"/>
  <c r="B40" i="5"/>
  <c r="M51" i="5"/>
  <c r="B61" i="5"/>
  <c r="M72" i="5"/>
  <c r="G72" i="5" s="1"/>
  <c r="B78" i="5"/>
  <c r="B35" i="5"/>
  <c r="M46" i="5"/>
  <c r="G46" i="5" s="1"/>
  <c r="M67" i="5"/>
  <c r="G67" i="5" s="1"/>
  <c r="M41" i="5"/>
  <c r="G41" i="5" s="1"/>
  <c r="M62" i="5"/>
  <c r="G62" i="5" s="1"/>
  <c r="B73" i="5"/>
  <c r="E98" i="5"/>
  <c r="G98" i="5" s="1"/>
  <c r="M36" i="5"/>
  <c r="G36" i="5" s="1"/>
  <c r="B68" i="5"/>
  <c r="M79" i="5"/>
  <c r="G79" i="5" s="1"/>
  <c r="M74" i="5"/>
  <c r="G74" i="5" s="1"/>
  <c r="H98" i="5"/>
  <c r="J98" i="5" s="1"/>
  <c r="B65" i="5"/>
  <c r="D50" i="5" l="1"/>
  <c r="E50" i="5" s="1"/>
  <c r="C50" i="5"/>
  <c r="F50" i="5" s="1"/>
  <c r="D74" i="5"/>
  <c r="E74" i="5" s="1"/>
  <c r="C74" i="5"/>
  <c r="F74" i="5" s="1"/>
  <c r="B52" i="5"/>
  <c r="D76" i="5"/>
  <c r="E76" i="5" s="1"/>
  <c r="C76" i="5"/>
  <c r="F76" i="5" s="1"/>
  <c r="B60" i="5"/>
  <c r="D31" i="5"/>
  <c r="C31" i="5"/>
  <c r="B53" i="5"/>
  <c r="E96" i="5" s="1"/>
  <c r="G96" i="5" s="1"/>
  <c r="D41" i="5"/>
  <c r="E41" i="5" s="1"/>
  <c r="C41" i="5"/>
  <c r="F41" i="5" s="1"/>
  <c r="D39" i="5"/>
  <c r="E39" i="5" s="1"/>
  <c r="C39" i="5"/>
  <c r="F39" i="5" s="1"/>
  <c r="D33" i="5"/>
  <c r="E33" i="5" s="1"/>
  <c r="C33" i="5"/>
  <c r="F33" i="5" s="1"/>
  <c r="B44" i="5"/>
  <c r="D35" i="5"/>
  <c r="E35" i="5" s="1"/>
  <c r="C35" i="5"/>
  <c r="F35" i="5" s="1"/>
  <c r="D79" i="5"/>
  <c r="E79" i="5" s="1"/>
  <c r="C79" i="5"/>
  <c r="F79" i="5" s="1"/>
  <c r="D78" i="5"/>
  <c r="E78" i="5" s="1"/>
  <c r="C78" i="5"/>
  <c r="F78" i="5" s="1"/>
  <c r="D38" i="5"/>
  <c r="E38" i="5" s="1"/>
  <c r="C38" i="5"/>
  <c r="F38" i="5" s="1"/>
  <c r="G33" i="5"/>
  <c r="C34" i="5"/>
  <c r="F34" i="5" s="1"/>
  <c r="D34" i="5"/>
  <c r="E34" i="5" s="1"/>
  <c r="H34" i="5" s="1"/>
  <c r="K34" i="5" s="1"/>
  <c r="K58" i="5"/>
  <c r="I58" i="5"/>
  <c r="G31" i="5"/>
  <c r="E26" i="5"/>
  <c r="B36" i="5"/>
  <c r="D49" i="5"/>
  <c r="E49" i="5" s="1"/>
  <c r="C49" i="5"/>
  <c r="F49" i="5" s="1"/>
  <c r="D61" i="5"/>
  <c r="E61" i="5" s="1"/>
  <c r="H61" i="5" s="1"/>
  <c r="K61" i="5" s="1"/>
  <c r="C61" i="5"/>
  <c r="F61" i="5" s="1"/>
  <c r="B70" i="5"/>
  <c r="G51" i="5"/>
  <c r="B51" i="5"/>
  <c r="F58" i="5"/>
  <c r="G38" i="5"/>
  <c r="D65" i="5"/>
  <c r="E65" i="5" s="1"/>
  <c r="C65" i="5"/>
  <c r="F65" i="5" s="1"/>
  <c r="E58" i="5"/>
  <c r="B75" i="5"/>
  <c r="D40" i="5"/>
  <c r="E40" i="5" s="1"/>
  <c r="C40" i="5"/>
  <c r="F40" i="5" s="1"/>
  <c r="B62" i="5"/>
  <c r="G40" i="5"/>
  <c r="B46" i="5"/>
  <c r="B45" i="5"/>
  <c r="D43" i="5"/>
  <c r="E43" i="5" s="1"/>
  <c r="C43" i="5"/>
  <c r="F43" i="5" s="1"/>
  <c r="G43" i="5"/>
  <c r="B66" i="5"/>
  <c r="B63" i="5"/>
  <c r="G34" i="5"/>
  <c r="M53" i="5"/>
  <c r="N53" i="5" s="1"/>
  <c r="E95" i="5" s="1"/>
  <c r="G95" i="5" s="1"/>
  <c r="G32" i="5"/>
  <c r="B32" i="5"/>
  <c r="B67" i="5"/>
  <c r="D71" i="5"/>
  <c r="E71" i="5" s="1"/>
  <c r="C71" i="5"/>
  <c r="F71" i="5" s="1"/>
  <c r="B42" i="5"/>
  <c r="K31" i="5"/>
  <c r="I31" i="5"/>
  <c r="G35" i="5"/>
  <c r="B72" i="5"/>
  <c r="B37" i="5"/>
  <c r="G37" i="5"/>
  <c r="D73" i="5"/>
  <c r="E73" i="5" s="1"/>
  <c r="C73" i="5"/>
  <c r="F73" i="5" s="1"/>
  <c r="C64" i="5"/>
  <c r="F64" i="5" s="1"/>
  <c r="D64" i="5"/>
  <c r="E64" i="5" s="1"/>
  <c r="G39" i="5"/>
  <c r="B52" i="7"/>
  <c r="B55" i="7" s="1"/>
  <c r="B77" i="5"/>
  <c r="C68" i="5"/>
  <c r="F68" i="5" s="1"/>
  <c r="D68" i="5"/>
  <c r="E68" i="5" s="1"/>
  <c r="B59" i="5"/>
  <c r="D69" i="5"/>
  <c r="E69" i="5" s="1"/>
  <c r="C69" i="5"/>
  <c r="F69" i="5" s="1"/>
  <c r="B47" i="5"/>
  <c r="G49" i="5"/>
  <c r="D48" i="5"/>
  <c r="E48" i="5" s="1"/>
  <c r="C48" i="5"/>
  <c r="F48" i="5" s="1"/>
  <c r="G80" i="5"/>
  <c r="M80" i="5"/>
  <c r="N80" i="5" s="1"/>
  <c r="H95" i="5" s="1"/>
  <c r="J95" i="5" s="1"/>
  <c r="C70" i="5" l="1"/>
  <c r="F70" i="5" s="1"/>
  <c r="D70" i="5"/>
  <c r="E70" i="5" s="1"/>
  <c r="H70" i="5" s="1"/>
  <c r="K70" i="5" s="1"/>
  <c r="C63" i="5"/>
  <c r="F63" i="5" s="1"/>
  <c r="D63" i="5"/>
  <c r="E63" i="5" s="1"/>
  <c r="H63" i="5" s="1"/>
  <c r="K63" i="5" s="1"/>
  <c r="H35" i="5"/>
  <c r="K35" i="5" s="1"/>
  <c r="H64" i="5"/>
  <c r="K64" i="5" s="1"/>
  <c r="D66" i="5"/>
  <c r="E66" i="5" s="1"/>
  <c r="C66" i="5"/>
  <c r="F66" i="5" s="1"/>
  <c r="D44" i="5"/>
  <c r="E44" i="5" s="1"/>
  <c r="C44" i="5"/>
  <c r="F44" i="5" s="1"/>
  <c r="H49" i="5"/>
  <c r="K49" i="5" s="1"/>
  <c r="H73" i="5"/>
  <c r="K73" i="5" s="1"/>
  <c r="D45" i="5"/>
  <c r="E45" i="5" s="1"/>
  <c r="C45" i="5"/>
  <c r="F45" i="5" s="1"/>
  <c r="H39" i="5"/>
  <c r="K39" i="5" s="1"/>
  <c r="H43" i="5"/>
  <c r="K43" i="5" s="1"/>
  <c r="D37" i="5"/>
  <c r="E37" i="5" s="1"/>
  <c r="C37" i="5"/>
  <c r="F37" i="5" s="1"/>
  <c r="D46" i="5"/>
  <c r="E46" i="5" s="1"/>
  <c r="H46" i="5" s="1"/>
  <c r="K46" i="5" s="1"/>
  <c r="C46" i="5"/>
  <c r="F46" i="5" s="1"/>
  <c r="G53" i="5"/>
  <c r="H33" i="5"/>
  <c r="K33" i="5" s="1"/>
  <c r="D36" i="5"/>
  <c r="E36" i="5" s="1"/>
  <c r="C36" i="5"/>
  <c r="F36" i="5" s="1"/>
  <c r="D72" i="5"/>
  <c r="E72" i="5" s="1"/>
  <c r="C72" i="5"/>
  <c r="F72" i="5" s="1"/>
  <c r="H41" i="5"/>
  <c r="K41" i="5" s="1"/>
  <c r="D62" i="5"/>
  <c r="E62" i="5" s="1"/>
  <c r="C62" i="5"/>
  <c r="F62" i="5" s="1"/>
  <c r="L58" i="5"/>
  <c r="F31" i="5"/>
  <c r="H40" i="5"/>
  <c r="K40" i="5" s="1"/>
  <c r="E31" i="5"/>
  <c r="D60" i="5"/>
  <c r="E60" i="5" s="1"/>
  <c r="C60" i="5"/>
  <c r="F60" i="5" s="1"/>
  <c r="H76" i="5"/>
  <c r="K76" i="5" s="1"/>
  <c r="C47" i="5"/>
  <c r="F47" i="5" s="1"/>
  <c r="D47" i="5"/>
  <c r="E47" i="5" s="1"/>
  <c r="D42" i="5"/>
  <c r="E42" i="5" s="1"/>
  <c r="C42" i="5"/>
  <c r="F42" i="5" s="1"/>
  <c r="D52" i="5"/>
  <c r="E52" i="5" s="1"/>
  <c r="C52" i="5"/>
  <c r="F52" i="5" s="1"/>
  <c r="H65" i="5"/>
  <c r="K65" i="5" s="1"/>
  <c r="H69" i="5"/>
  <c r="K69" i="5" s="1"/>
  <c r="H71" i="5"/>
  <c r="K71" i="5" s="1"/>
  <c r="H38" i="5"/>
  <c r="K38" i="5" s="1"/>
  <c r="H74" i="5"/>
  <c r="K74" i="5" s="1"/>
  <c r="L31" i="5"/>
  <c r="D59" i="5"/>
  <c r="C59" i="5"/>
  <c r="B80" i="5"/>
  <c r="H96" i="5" s="1"/>
  <c r="J96" i="5" s="1"/>
  <c r="H90" i="5"/>
  <c r="J90" i="5" s="1"/>
  <c r="D67" i="5"/>
  <c r="E67" i="5" s="1"/>
  <c r="H67" i="5" s="1"/>
  <c r="K67" i="5" s="1"/>
  <c r="C67" i="5"/>
  <c r="F67" i="5" s="1"/>
  <c r="H48" i="5"/>
  <c r="K48" i="5" s="1"/>
  <c r="H68" i="5"/>
  <c r="K68" i="5" s="1"/>
  <c r="C32" i="5"/>
  <c r="D32" i="5"/>
  <c r="E32" i="5" s="1"/>
  <c r="H78" i="5"/>
  <c r="K78" i="5" s="1"/>
  <c r="H50" i="5"/>
  <c r="K50" i="5" s="1"/>
  <c r="E90" i="5"/>
  <c r="G90" i="5" s="1"/>
  <c r="E91" i="5"/>
  <c r="G91" i="5" s="1"/>
  <c r="C51" i="5"/>
  <c r="F51" i="5" s="1"/>
  <c r="D51" i="5"/>
  <c r="E51" i="5" s="1"/>
  <c r="H51" i="5" s="1"/>
  <c r="K51" i="5" s="1"/>
  <c r="D75" i="5"/>
  <c r="E75" i="5" s="1"/>
  <c r="C75" i="5"/>
  <c r="F75" i="5" s="1"/>
  <c r="D77" i="5"/>
  <c r="E77" i="5" s="1"/>
  <c r="C77" i="5"/>
  <c r="F77" i="5" s="1"/>
  <c r="H79" i="5"/>
  <c r="K79" i="5" s="1"/>
  <c r="H91" i="5"/>
  <c r="J91" i="5" s="1"/>
  <c r="H42" i="5" l="1"/>
  <c r="K42" i="5" s="1"/>
  <c r="H47" i="5"/>
  <c r="K47" i="5" s="1"/>
  <c r="H60" i="5"/>
  <c r="K60" i="5" s="1"/>
  <c r="D53" i="5"/>
  <c r="H92" i="5"/>
  <c r="J92" i="5" s="1"/>
  <c r="F59" i="5"/>
  <c r="F80" i="5" s="1"/>
  <c r="H93" i="5"/>
  <c r="J93" i="5" s="1"/>
  <c r="C80" i="5"/>
  <c r="E92" i="5"/>
  <c r="G92" i="5" s="1"/>
  <c r="F32" i="5"/>
  <c r="H32" i="5" s="1"/>
  <c r="E93" i="5"/>
  <c r="G93" i="5" s="1"/>
  <c r="E53" i="5"/>
  <c r="E59" i="5"/>
  <c r="D80" i="5"/>
  <c r="C53" i="5"/>
  <c r="H77" i="5"/>
  <c r="K77" i="5" s="1"/>
  <c r="H44" i="5"/>
  <c r="K44" i="5" s="1"/>
  <c r="H66" i="5"/>
  <c r="K66" i="5" s="1"/>
  <c r="H37" i="5"/>
  <c r="K37" i="5" s="1"/>
  <c r="H75" i="5"/>
  <c r="K75" i="5" s="1"/>
  <c r="H45" i="5"/>
  <c r="K45" i="5" s="1"/>
  <c r="H62" i="5"/>
  <c r="K62" i="5" s="1"/>
  <c r="H72" i="5"/>
  <c r="K72" i="5" s="1"/>
  <c r="H52" i="5"/>
  <c r="K52" i="5" s="1"/>
  <c r="H36" i="5"/>
  <c r="K36" i="5" s="1"/>
  <c r="E97" i="5" l="1"/>
  <c r="G97" i="5" s="1"/>
  <c r="K32" i="5"/>
  <c r="E87" i="5"/>
  <c r="G87" i="5" s="1"/>
  <c r="E86" i="5"/>
  <c r="H53" i="5"/>
  <c r="I32" i="5"/>
  <c r="I33" i="5" s="1"/>
  <c r="I34" i="5" s="1"/>
  <c r="I35" i="5" s="1"/>
  <c r="I36" i="5" s="1"/>
  <c r="I37" i="5" s="1"/>
  <c r="I38" i="5" s="1"/>
  <c r="I39" i="5" s="1"/>
  <c r="I40" i="5" s="1"/>
  <c r="I41" i="5" s="1"/>
  <c r="I42" i="5" s="1"/>
  <c r="I43" i="5" s="1"/>
  <c r="I44" i="5" s="1"/>
  <c r="I45" i="5" s="1"/>
  <c r="I46" i="5" s="1"/>
  <c r="I47" i="5" s="1"/>
  <c r="I48" i="5" s="1"/>
  <c r="I49" i="5" s="1"/>
  <c r="I50" i="5" s="1"/>
  <c r="I51" i="5" s="1"/>
  <c r="I52" i="5" s="1"/>
  <c r="F53" i="5"/>
  <c r="H59" i="5"/>
  <c r="E80" i="5"/>
  <c r="H97" i="5" l="1"/>
  <c r="J97" i="5" s="1"/>
  <c r="K59" i="5"/>
  <c r="H87" i="5"/>
  <c r="J87" i="5" s="1"/>
  <c r="H86" i="5"/>
  <c r="J86" i="5" s="1"/>
  <c r="H80" i="5"/>
  <c r="I59" i="5"/>
  <c r="I60" i="5" s="1"/>
  <c r="I61" i="5" s="1"/>
  <c r="I62" i="5" s="1"/>
  <c r="I63" i="5" s="1"/>
  <c r="I64" i="5" s="1"/>
  <c r="I65" i="5" s="1"/>
  <c r="I66" i="5" s="1"/>
  <c r="I67" i="5" s="1"/>
  <c r="I68" i="5" s="1"/>
  <c r="I69" i="5" s="1"/>
  <c r="I70" i="5" s="1"/>
  <c r="I71" i="5" s="1"/>
  <c r="I72" i="5" s="1"/>
  <c r="I73" i="5" s="1"/>
  <c r="I74" i="5" s="1"/>
  <c r="I75" i="5" s="1"/>
  <c r="I76" i="5" s="1"/>
  <c r="I77" i="5" s="1"/>
  <c r="I78" i="5" s="1"/>
  <c r="I79" i="5" s="1"/>
  <c r="G86" i="5"/>
  <c r="K53" i="5"/>
  <c r="L32" i="5"/>
  <c r="L33" i="5" s="1"/>
  <c r="L34" i="5" s="1"/>
  <c r="L35" i="5" s="1"/>
  <c r="L36" i="5" s="1"/>
  <c r="L37" i="5" s="1"/>
  <c r="L38" i="5" s="1"/>
  <c r="L39" i="5" s="1"/>
  <c r="L40" i="5" s="1"/>
  <c r="L41" i="5" s="1"/>
  <c r="L42" i="5" s="1"/>
  <c r="L43" i="5" s="1"/>
  <c r="L44" i="5" s="1"/>
  <c r="L45" i="5" s="1"/>
  <c r="L46" i="5" s="1"/>
  <c r="L47" i="5" s="1"/>
  <c r="L48" i="5" s="1"/>
  <c r="L49" i="5" s="1"/>
  <c r="L50" i="5" s="1"/>
  <c r="L51" i="5" s="1"/>
  <c r="L52" i="5" s="1"/>
  <c r="E88" i="5"/>
  <c r="G88" i="5" s="1"/>
  <c r="I53" i="5"/>
  <c r="E85" i="5"/>
  <c r="G85" i="5" s="1"/>
  <c r="E94" i="5"/>
  <c r="G94" i="5" s="1"/>
  <c r="H85" i="5" l="1"/>
  <c r="J85" i="5" s="1"/>
  <c r="H94" i="5"/>
  <c r="J94" i="5" s="1"/>
  <c r="L53" i="5"/>
  <c r="E89" i="5"/>
  <c r="G89" i="5" s="1"/>
  <c r="I80" i="5"/>
  <c r="H88" i="5"/>
  <c r="J88" i="5" s="1"/>
  <c r="K80" i="5"/>
  <c r="E99" i="5" s="1"/>
  <c r="L59" i="5"/>
  <c r="L60" i="5" s="1"/>
  <c r="L61" i="5" s="1"/>
  <c r="L62" i="5" s="1"/>
  <c r="L63" i="5" s="1"/>
  <c r="L64" i="5" s="1"/>
  <c r="L65" i="5" s="1"/>
  <c r="L66" i="5" s="1"/>
  <c r="L67" i="5" s="1"/>
  <c r="L68" i="5" s="1"/>
  <c r="L69" i="5" s="1"/>
  <c r="L70" i="5" s="1"/>
  <c r="L71" i="5" s="1"/>
  <c r="L72" i="5" s="1"/>
  <c r="L73" i="5" s="1"/>
  <c r="L74" i="5" s="1"/>
  <c r="L75" i="5" s="1"/>
  <c r="L76" i="5" s="1"/>
  <c r="L77" i="5" s="1"/>
  <c r="L78" i="5" s="1"/>
  <c r="L79" i="5" s="1"/>
  <c r="L80" i="5" l="1"/>
  <c r="H89" i="5"/>
  <c r="J89" i="5" s="1"/>
</calcChain>
</file>

<file path=xl/sharedStrings.xml><?xml version="1.0" encoding="utf-8"?>
<sst xmlns="http://schemas.openxmlformats.org/spreadsheetml/2006/main" count="1954" uniqueCount="1241">
  <si>
    <t>Betreibermodelle und Vergütungen Photovoltaik – Übersicht</t>
  </si>
  <si>
    <t>Analyse auf Basis pv@now manager (DGS Franken) · INEKON · Stand: 25.08.2026</t>
  </si>
  <si>
    <t>Zweck und Publikum</t>
  </si>
  <si>
    <t>Konsistente, beratungstaugliche Arbeitsmappe für die Energieberatung (INEKON, Philipp Engelmann), abgestimmt auf die Arbeit mit pv@now manager (DGS Franken).</t>
  </si>
  <si>
    <t>Alle ct/kWh-Angaben sind NETTO-Werte, alle €-Beträge sind NETTO-Beträge.</t>
  </si>
  <si>
    <t>Diese Arbeitsmappe ist die Excel-Fassung der Gesamtübersicht; Word- und HTML-Fassung beruhen auf derselben inhaltlichen Master-Fassung. NEU: Teil K „Wirtschaftlichkeitsberechnung – von der Modellwahl zur Kennzahl“ ist in dieser Mappe mit zwei Blättern abgebildet – „Kennzahlen-Bausteine“ (K1: welche Zahlungsstrom-Bausteine ein Betreibermodell erzeugt, K4: was ein Modellwechsel bewirkt) und „Kennzahlen-Herleitung“ (K2/K3: die Formeln je Kennzahl und das durchgerechnete Fallbeispiel als lebendes Rechenblatt). Die vollständige Herleitung mit Verifikationstabelle und Ursachenanalyse steht in Teil K3.5 der Word- und HTML-Fassung.</t>
  </si>
  <si>
    <t>Datenstand und Quellenlogik</t>
  </si>
  <si>
    <t>Datenstand aller Angaben: 25.08.2026.</t>
  </si>
  <si>
    <t>Jede Zahl stammt aus der inhaltlichen Master-Fassung der Übersicht und ist dort belegt; die Quellennummern [1]–[31] sind im Blatt „Quellen“ aufgelöst.</t>
  </si>
  <si>
    <t>Vergütungssätze sind gegen die Vergütungssatzdateien der Bundesnetzagentur verifiziert ✓ [1][2][3].</t>
  </si>
  <si>
    <t>Rechtsstand: EEG 2023 in der Fassung der 15. Änderung (Gesetz vom 18.12.2025, BGBl. 2025 I Nr. 347), gültig ab 23.12.2025. Im Jahr 2026 ist bisher keine EEG-Novelle in Kraft getreten [4].</t>
  </si>
  <si>
    <t>Farb- und Zeichenlegende</t>
  </si>
  <si>
    <t>Kennzeichnung</t>
  </si>
  <si>
    <t>Bedeutung</t>
  </si>
  <si>
    <t>Wo sie vorkommt</t>
  </si>
  <si>
    <t>Handlungsfolge</t>
  </si>
  <si>
    <t>(gelb hinterlegt) ⚠ offener Prüfpunkt</t>
  </si>
  <si>
    <t>Wert oder Aussage ist aus den Quellen nicht herleitbar bzw. noch zu klären.</t>
  </si>
  <si>
    <t>Blätter „Projektvergleich“ (Mieterstromzuschlag 2,62 · Ausfallvergütung), „Ausschreibungen+Marktwerte“ (BDEW Haushalte), „Glossar“ (Spalte „⚠ Korrektur gegenüber dem Tool-Text“), „Kennzahlen-Bausteine“ (Abschnitt 3: qualitative Wirkungsrichtungen)</t>
  </si>
  <si>
    <t>Vor Verwendung in Kundenunterlagen prüfen.</t>
  </si>
  <si>
    <t>(orange hinterlegt) Warnhinweis</t>
  </si>
  <si>
    <t>Rechtlicher Vorbehalt oder Entwurfsstand (§ 101 EEG, EEG-Novelle 2027).</t>
  </si>
  <si>
    <t>Blätter „Vergütungssätze“, „Erlöswege“, „Ausschreibungen+Marktwerte“</t>
  </si>
  <si>
    <t>Vor Weitergabe an Kunden prüfen und den Vorbehalt mitteilen.</t>
  </si>
  <si>
    <t>verifiziert (grüne Schrift)</t>
  </si>
  <si>
    <t>Angabe wurde am 25.08.2026 rein lesend in der App ausgelesen und geprüft.</t>
  </si>
  <si>
    <t>Blatt „Betreibermodelle“, Spalte „Status“ – alle 25 Modelle</t>
  </si>
  <si>
    <t>Verwendbar; Quellennummer [29] mitführen.</t>
  </si>
  <si>
    <t>(gelbe Zelle, blaue Schrift)</t>
  </si>
  <si>
    <t>Eingabezelle – nur hier darf ein Wert geändert werden.</t>
  </si>
  <si>
    <t>Blätter „Vergütungssätze“ (Mischsatz-Rechner, Anlagenleistung in kWp) und „Kennzahlen-Herleitung“ (gesamter Eingabeblock, Zeilen 7–25)</t>
  </si>
  <si>
    <t>Werte eintragen; alle übrigen Zellen sind Formeln oder Quellwerte.</t>
  </si>
  <si>
    <t>(grüne Zelle)</t>
  </si>
  <si>
    <t>Formel-Ergebniszelle des Mischsatz-Rechners.</t>
  </si>
  <si>
    <t>Blätter „Vergütungssätze“ und „Kennzahlen-Herleitung“ (Jahrestabellen, Summenzeilen und Kennzahlenblock)</t>
  </si>
  <si>
    <t>Nicht überschreiben – wird aus der Eingabezelle berechnet.</t>
  </si>
  <si>
    <t>✓</t>
  </si>
  <si>
    <t>Gegen die Quelle nachgerechnet und bestätigt.</t>
  </si>
  <si>
    <t>Blätter „Vergütungssätze“, „Projektvergleich“, „Kennzahlen-Herleitung“</t>
  </si>
  <si>
    <t>–</t>
  </si>
  <si>
    <t>Aufbau der Arbeitsmappe</t>
  </si>
  <si>
    <t>Blatt</t>
  </si>
  <si>
    <t>Inhalt</t>
  </si>
  <si>
    <t>Datenzeilen</t>
  </si>
  <si>
    <t>Bedienung</t>
  </si>
  <si>
    <t>Lesehinweis</t>
  </si>
  <si>
    <t>Zweck, Datenstand, Quellenlogik, Farblegende, Blattübersicht, Disclaimer</t>
  </si>
  <si>
    <t>—</t>
  </si>
  <si>
    <t>Kein Filter (Fließtext).</t>
  </si>
  <si>
    <t>Betreibermodelle</t>
  </si>
  <si>
    <t>Verifizierter Katalog der 25 pv@now-Betreibermodelle in fünf Familien: Rollenformel mit Subtypen, Parteienzahl, Diagrammnummer, wörtliche Beschreibung aus der App, typische Anwendung und passender Vergütungsweg; darunter Rollen- und Farblegende</t>
  </si>
  <si>
    <t>25 Modelle</t>
  </si>
  <si>
    <t>Autofilter aktiv; Kopfzeile fixiert.</t>
  </si>
  <si>
    <t>Erlöswege</t>
  </si>
  <si>
    <t>Die acht Erlöswege a–h mit Rechtsgrundlage, Zulässigkeit und Höhe/Formel; ergänzend drei Positionen ohne eigenen EEG-Anspruch</t>
  </si>
  <si>
    <t>8 + 3</t>
  </si>
  <si>
    <t>Methodik</t>
  </si>
  <si>
    <t>Kernstück: M2-Matrix aller 25 Modelle (Konstellation, Stromverwertung, Vergütungsweg, Erlöse und Kosten je Akteur, rechtliche Trigger) mit Familien-Zwischenköpfen und Pfad-Legende; darunter die Rechenlogik M1 in sechs Schritten</t>
  </si>
  <si>
    <t>25 Modellzeilen +
6 Schritte</t>
  </si>
  <si>
    <t>Autofilter auf der Matrix; Pfad-Legende und Kopfzeile fixiert.</t>
  </si>
  <si>
    <t>Kennzahlen-Herleitung</t>
  </si>
  <si>
    <t>Lebendes Rechenblatt zu Teil K: Eingabeblock (Anlage, Kalkulationszinssatz, Laufzeit, je Plan Eigenverbrauchsquote, Einspeisesatz, Betriebskosten, Netzstrompreis und Preissteigerung), zwei Jahrestabellen t = 0…21 mit Erzeugung, Eigenverbrauch, Einspeisung, Erlösen, Betriebskosten, Cashflow, kumuliertem Saldo, Diskontfaktor und Barwert sowie ein Kennzahlenblock mit Liquiditätsüberschuss, Kapitalwert, internem Zinsfuß, statischer und dynamischer Amortisation, Stromgestehungskosten, Eigenverbrauchsquote und Autarkie – jeweils neben dem dokumentierten Tool-Wert und der Abweichung.</t>
  </si>
  <si>
    <t>2 × 22 Jahreszeilen
+ 14 Kennzahlen</t>
  </si>
  <si>
    <t>Alle Werte sind Formeln. Nur die hell hinterlegten Eingabezellen mit blauer Schrift ändern; Kopfzeile fixiert.</t>
  </si>
  <si>
    <t>Kennzahlen-Bausteine</t>
  </si>
  <si>
    <t>Bausteinkatalog K1: zehn Einnahmen- (E1–E10) und fünf Ausgabenbausteine (A1–A5) mit Richtung, Akteur, Bemessungsgrundlage und Fundstelle; Matrix Baustein × fünf Modellfamilien (✓ / ○ / –); Wirkungsrichtungen eines Modellwechsels (K4).</t>
  </si>
  <si>
    <t>15 Bausteine,
15 Matrixzeilen,
5 Modellwechsel</t>
  </si>
  <si>
    <t>Autofilter auf dem Bausteinkatalog; Kopfzeile fixiert.</t>
  </si>
  <si>
    <t>Vergütungssätze</t>
  </si>
  <si>
    <t>Aktuelle Sätze 08/2026–01/2027 und 02–07/2026, unrundete BNetzA-Werte, Anlagen &gt; 1 MW, Mieterstromzuschlag, Mischsatz-Rechner § 23c, Hinweiszeilen, historische Tool-Tabellen EEG 2023</t>
  </si>
  <si>
    <t>31 Sätze in 8 Blöcken</t>
  </si>
  <si>
    <t>Autofilter auf der historischen Tabelle; Eingabezelle im Rechner.</t>
  </si>
  <si>
    <t>Ausschreibungen+Marktwerte</t>
  </si>
  <si>
    <t>Ausschreibungsrunden 2025/2026 (1. und 2. Segment), Monatsmarktwerte Solar 2026, Jahresmarktwerte, BDEW-Strompreise, PPA-Spanne</t>
  </si>
  <si>
    <t>10 Runden, 8 Kennwerte,
7 Monatswerte</t>
  </si>
  <si>
    <t>Autofilter auf den Ausschreibungsrunden.</t>
  </si>
  <si>
    <t>Projektvergleich</t>
  </si>
  <si>
    <t>Schulungsbeispiel „INEKON Schulung 01“: Steckbrief, Eingaben und Kennzahlen der Pläne „Überschuss“ und „Volleinspeisung“ nebeneinander mit Delta-Spalte</t>
  </si>
  <si>
    <t>56 Zeilen + 11 Sätze</t>
  </si>
  <si>
    <t>Autofilter (nach Block filterbar); Delta-Spalte ist berechnet.</t>
  </si>
  <si>
    <t>Glossar</t>
  </si>
  <si>
    <t>27 Fachbegriffe aus dem pv@now-Glossar (D5), je Begriff eine geprüfte Definition auf Rechtsstand 08/2026, ein Korrekturhinweis, wo der Tool-Text vom geltenden Recht abweicht, und die Fundstelle bzw. Paragraphenangabe.</t>
  </si>
  <si>
    <t>27 Begriffe,
davon 11 mit ⚠</t>
  </si>
  <si>
    <t>Autofilter aktiv; Kopfzeile fixiert; Zeilenumbruch aktiv.</t>
  </si>
  <si>
    <t>Quellen</t>
  </si>
  <si>
    <t>Nummeriertes Quellenverzeichnis [1]–[31] mit URLs bzw. Fundstellen</t>
  </si>
  <si>
    <t>31 Quellen</t>
  </si>
  <si>
    <t>Autofilter aktiv; URLs sind verlinkt.</t>
  </si>
  <si>
    <t>Nicht als eigenes Blatt enthalten: Kapitel D1–D4 (Praxis &amp; Hilfe zu pv@now – Produkte und Preise, Schulungen, Hilfen im Werkzeug, Downloads) sowie Teil A3. NEU enthalten: Kapitel D5 als Blatt „Glossar“ und Teil K als die beiden Blätter „Kennzahlen-Bausteine“ (K1, K4) und „Kennzahlen-Herleitung“ (K2, K3).</t>
  </si>
  <si>
    <t>Querverweise auf Kapitel, die in dieser Mappe nicht abgebildet sind (A3, D1–D4), wurden entfernt; sie stehen in der Word- und HTML-Fassung. Verweise innerhalb der Mappe nennen stets das Zielblatt.</t>
  </si>
  <si>
    <t>Verbindliche Warnhinweise</t>
  </si>
  <si>
    <t>§ 101 EEG: Der Aufschlag von +1,5 ct/kWh für Gebäudeanlagen von 40 kW bis 1 MW (§ 48 Abs. 2 Nr. 3 EEG) ist gesetzlich vorgesehen, aber nach § 101 EEG mangels beihilferechtlicher Genehmigung der EU-Kommission NICHT anwendbar (Stand 25.08.2026). Die Bundesnetzagentur rechnet unverändert mit den Basiswerten 8,60 / 7,50 / 6,20 ct/kWh [4][14][20].</t>
  </si>
  <si>
    <t>EEG-Novelle 2027: Alle Aussagen beruhen auf dem Regierungsentwurf (Kabinett 29.07.2026) und sind kein geltendes Recht [15][16][17]. Beratungshinweis: Anlagen mit Inbetriebnahme bis 31.12.2026 behalten nach § 25 EEG ihre Vergütung über die volle Förderdauer – dieser Bestandsschutz ist derzeit der stärkste Terminhebel in der Kundenberatung.</t>
  </si>
  <si>
    <t>Modellkatalog: Alle 25 Betreibermodelle wurden am 25.08.2026 rein lesend in der App verifiziert – Rollenformeln einschließlich der Subtypen, Parteiensystematik und die wörtlichen Modellbeschreibungen. Die frühere Arbeitshypothese zur Nummernlogik ist damit gegenstandslos und wurde ersetzt. Offen bleibt allein die Erfassung der restlichen Glossarbegriffe [29][30].</t>
  </si>
  <si>
    <t>Disclaimer</t>
  </si>
  <si>
    <t>Keine Steuer- oder Rechtsberatung. Diese Übersicht dient der fachlichen Orientierung in der Energieberatung und ersetzt weder eine steuerliche noch eine rechtliche Beratung im Einzelfall. Auch pv@now weist ausdrücklich darauf hin, dass die Berechnungen keine Steuerberatung darstellen [29].</t>
  </si>
  <si>
    <t>Die Projektwerte im Blatt „Projektvergleich“ sind ein Schulungsbeispiel (Inbetriebnahme 3/2023) und keine Angebotskalkulation. Für aktuelle Angebote sind Inbetriebnahmedatum, Vergütungssätze, Investitionskosten und Verbrauchsdaten neu zu erfassen.</t>
  </si>
  <si>
    <t>Datenstand: 25.08.2026.</t>
  </si>
  <si>
    <t>A2 – Katalog der 25 pv@now-Betreibermodelle in fünf Familien</t>
  </si>
  <si>
    <t>Auswahlliste „Betreibermodell einfügen“, App-Version 10.0.0 · alle 25 Modelle am 25.08.2026 rein lesend in der App verifiziert (Rollenformel, Subtypen, Parteien, wörtliche Beschreibung) [29] · Stand: 25.08.2026</t>
  </si>
  <si>
    <t>Nr.</t>
  </si>
  <si>
    <t>Familie</t>
  </si>
  <si>
    <t>Modellname (App-Auswahlliste)</t>
  </si>
  <si>
    <t>Diagr.</t>
  </si>
  <si>
    <t>Rollenformel</t>
  </si>
  <si>
    <t>Parteien</t>
  </si>
  <si>
    <t>Status</t>
  </si>
  <si>
    <t>Wörtliche Beschreibung (App-Modelltext)</t>
  </si>
  <si>
    <t>Typische Anwendung (Familie)</t>
  </si>
  <si>
    <t>Passende Erlösmodelle / Vergütungsweg (IBN 08/2026)</t>
  </si>
  <si>
    <t>Quelle</t>
  </si>
  <si>
    <t>PV-Netz-Einspeisung</t>
  </si>
  <si>
    <t>PV-Netz-Einspeisung 1</t>
  </si>
  <si>
    <t>I = B = G</t>
  </si>
  <si>
    <t>verifiziert (App, 25.08.2026)</t>
  </si>
  <si>
    <t>„Der Investor (Betreiber, Grund-/Gebäudeeigentümer) kauft und errichtet die Photovoltaikanlage auf der eigenen Dach-/Freifläche · … betreibt die Photovoltaikanlage · … nutzt den Solarstrom zur vollständigen Einspeisung ins Netz z.B. gegen Vergütung nach EEG.“ → im Blatt „Projektvergleich“ durchgerechnet</t>
  </si>
  <si>
    <t>Dachflächen ohne relevanten Eigenverbrauch, Kapitalanlagen, Anlagen mit Volleinspeisungszuschlag.</t>
  </si>
  <si>
    <t>Pfad V (12,22 / 10,24 ct; &gt; 100 kWp DV mit AW Voll)</t>
  </si>
  <si>
    <t>[29]</t>
  </si>
  <si>
    <t>PV-Netz-Einspeisung 2</t>
  </si>
  <si>
    <t>I = B  |  G</t>
  </si>
  <si>
    <t>„Der Investor (Betreiber) kauft und errichtet die Photovoltaikanlage auf einer fremden Dach-/Freifläche · Der Grund-/Gebäudeeigentümer gestattet dem Investor (Betreiber) die Nutzung der Fläche · … betreibt die Photovoltaikanlage · … nutzt den Solarstrom zur vollständigen Einspeisung ins Netz z.B. gegen Vergütung nach EEG.“</t>
  </si>
  <si>
    <t>Pfad V</t>
  </si>
  <si>
    <t>PV-Überschuss-Einspeisung</t>
  </si>
  <si>
    <t>PV-Überschuss-Einspeisung 1</t>
  </si>
  <si>
    <t>I = B = G = V_G</t>
  </si>
  <si>
    <t>„Der Investor (Betreiber, Grund-/Gebäudeeigentümer, Verbraucher) kauft und errichtet die Photovoltaikanlage auf der eigenen Dach-/Freifläche · … betreibt die Photovoltaikanlage · … nutzt den Solarstrom zum Eigenverbrauch · … speist den über den Eigenverbrauch hinausgehenden Solarstrom ins Netz (z.B. gegen EEG-Vergütung).“ → im Blatt „Projektvergleich“ durchgerechnet</t>
  </si>
  <si>
    <t>Der Standardfall für Eigenheim, Gewerbe und Landwirtschaft; Modell 2 für den gewerblichen Mieter auf gepachtetem Dach.</t>
  </si>
  <si>
    <t>Pfad Ü (7,70 / 6,66 ct; &gt; 100 kWp DV mit AW Teil)</t>
  </si>
  <si>
    <t>PV-Überschuss-Einspeisung 2</t>
  </si>
  <si>
    <t>I = B = V_M  |  G</t>
  </si>
  <si>
    <t>„Der Investor (Betreiber, Verbraucher (Mieter im Gebäude)) kauft und errichtet die Photovoltaikanlage auf einer fremden Dach-/Freifläche · Der Grund-/Gebäudeeigentümer gestattet … die Nutzung der Fläche · … betreibt die PV-Anlage · … nutzt den Solarstrom zum Eigenverbrauch · … speist den über den Eigenverbrauch hinausgehenden Solarstrom ins Netz (z.B. gegen EEG-Vergütung).“</t>
  </si>
  <si>
    <t>Pfad Ü</t>
  </si>
  <si>
    <t>PV-Stromlieferung</t>
  </si>
  <si>
    <t>PV-Stromlieferung 1</t>
  </si>
  <si>
    <t>I = B = G  |  V_M</t>
  </si>
  <si>
    <t>„Der Investor (Betreiber, Grund-/Gebäudeeigentümer) kauft und errichtet die Photovoltaikanlage auf der eigenen Dach-/Freifläche · … betreibt die Photovoltaikanlage · … beliefert einen/mehrere Verbraucher (Mieter im Gebäude oder Nachbar) mit Solarstrom · Der Verbraucher … nutzt den Solarstrom zu den vereinbarten Konditionen · … speist den über die Lieferung hinausgehenden Solarstrom ins Netz (z.B. gegen EEG-Vergütung).“</t>
  </si>
  <si>
    <t>Mieterstrom, gemeinschaftliche Gebäudeversorgung, Belieferung von Gewerbemietern und Nachbarn.</t>
  </si>
  <si>
    <t>Pfad Ü + Mieterstromzuschlag § 48a möglich (2,51 / 2,33 / 1,57)</t>
  </si>
  <si>
    <t>PV-Stromlieferung 2</t>
  </si>
  <si>
    <t>I = B = G = V_G  |  V_M</t>
  </si>
  <si>
    <t>„Der Investor (Betreiber, Grund-/Gebäudeeigentümer, Verbraucher) kauft und errichtet die Photovoltaikanlage auf der eigenen Dach-/Freifläche · … betreibt die Photovoltaikanlage · … nutzt den Solarstrom zum Eigenverbrauch · … beliefert einen/mehrere Verbraucher (Mieter im Gebäude oder Nachbar) mit Strom · Der Verbraucher … nutzt den Solarstrom zu den vereinbarten Konditionen · … speist den über den Eigenverbrauch und die Lieferung hinausgehenden Solarstrom ins Netz (z.B. gegen EEG-Vergütung).“</t>
  </si>
  <si>
    <t>Pfad Ü + Mieterstromzuschlag § 48a möglich</t>
  </si>
  <si>
    <t>PV-Stromlieferung 3</t>
  </si>
  <si>
    <t>I = B  |  G = V_G</t>
  </si>
  <si>
    <t>„Der Investor (Betreiber) kauft und errichtet die Photovoltaikanlage auf einer fremden Dach-/Freifläche · Der Grund-/Gebäudeeigentümer (Verbraucher) gestattet dem Investor (Betreiber) die Nutzung der Fläche · … betreibt die Photovoltaikanlage · … beliefert den Grund-/Gebäudeeigentümer (Verbraucher) mit Solarstrom · Der Grund-/Gebäudeeigentümer (Verbraucher) nutzt den Solarstrom zu den vereinbarten Konditionen · … speist den über die Lieferung hinausgehenden Solarstrom ins Netz (z.B. gegen EEG-Vergütung).“</t>
  </si>
  <si>
    <t>PV-Stromlieferung 4</t>
  </si>
  <si>
    <t>I = B  |  G  |  V_M</t>
  </si>
  <si>
    <t>„Der Investor (Betreiber) kauft und errichtet die Photovoltaikanlage auf einer fremden Dach-/Freifläche · Der Grund-/Gebäudeeigentümer gestattet dem Investor (Betreiber) die Nutzung der Fläche · … betreibt die Photovoltaikanlage · … beliefert einen/mehrere Verbraucher (Mieter im Gebäude oder Nachbar) mit Strom · Der Verbraucher … nutzt den Solarstrom zu den vereinbarten Konditionen · … speist den über die Lieferung hinausgehenden Solarstrom ins Netz (z.B. gegen EEG-Vergütung).“</t>
  </si>
  <si>
    <t>PV-Stromlieferung 5</t>
  </si>
  <si>
    <t>I = B  |  G = V_G  |  V_M</t>
  </si>
  <si>
    <t>„Der Investor (Betreiber) kauft und errichtet die Photovoltaikanlage auf einer fremden Dach-/Freifläche · Der Grund-/Gebäudeeigentümer (Verbraucher) gestattet … die Nutzung der Fläche · … betreibt die Photovoltaikanlage · … beliefert den Grund-/Gebäudeeigentümer (Verbraucher) mit Solarstrom · … beliefert einen/mehrere Verbraucher (Mieter im Gebäude oder Nachbar) mit Solarstrom · beide Verbraucher nutzen den Solarstrom zu den vereinbarten Konditionen · … speist den über die Lieferung hinausgehenden Solarstrom ins Netz (z.B. gegen EEG-Vergütung).“</t>
  </si>
  <si>
    <t>PV-Mieten</t>
  </si>
  <si>
    <t>PV-Mieten 1</t>
  </si>
  <si>
    <t>I  |  B = G = V_G</t>
  </si>
  <si>
    <t>„Der Investor kauft und errichtet die Photovoltaikanlage auf einer fremden Dach-/Freifläche · Der Betreiber (Grund-/Gebäudeeigentümer, Verbraucher) gestattet dem Investor die Nutzung der Fläche · Der Investor vermietet die Photovoltaikanlage an den Betreiber … · … betreibt die Photovoltaikanlage · … nutzt den Solarstrom zum Eigenverbrauch · … speist den über den Eigenverbrauch hinausgehenden Solarstrom ins Netz (z.B. gegen EEG-Vergütung).“</t>
  </si>
  <si>
    <t>Kunden ohne Investitionsbereitschaft; Contracting-Anbieter, Stadtwerke und steueroptimierende Investoren als Vermieter der Anlage.</t>
  </si>
  <si>
    <t>PV-Mieten 2</t>
  </si>
  <si>
    <t>I  |  G  |  B = V_M</t>
  </si>
  <si>
    <t>„Der Investor kauft und errichtet die Photovoltaikanlage auf einer fremden Dach-/Freifläche · Der Grund-/Gebäudeeigentümer gestattet dem Investor die Nutzung der Fläche · Der Investor vermietet die Photovoltaikanlage an den Betreiber (Verbraucher (Mieter im Gebäude)) · … betreibt die Photovoltaikanlage · … nutzt den Solarstrom zum Eigenverbrauch · … speist den über den Eigenverbrauch hinausgehenden Solarstrom ins Netz (z.B. gegen EEG-Vergütung).“</t>
  </si>
  <si>
    <t>PV-Mieten 3</t>
  </si>
  <si>
    <t>I = G  |  B = V_M</t>
  </si>
  <si>
    <t>„Der Investor (Grund-/Gebäudeeigentümer) kauft und errichtet die Photovoltaikanlage auf der eigenen Dach-/Freifläche · … vermietet die Photovoltaikanlage an einen Betreiber (Verbraucher (Mieter im Gebäude)) · … betreibt die Photovoltaikanlage · … nutzt den Solarstrom zum Eigenverbrauch · … speist den über den Eigenverbrauch hinausgehenden Solarstrom ins Netz (z.B. gegen EEG-Vergütung).“</t>
  </si>
  <si>
    <t>PV-Mieten 4</t>
  </si>
  <si>
    <t>I  |  B = G  |  V_M</t>
  </si>
  <si>
    <t>„Der Investor kauft und errichtet die Photovoltaikanlage auf einer fremden Dach-/Freifläche · Der Betreiber (Grund-/Gebäudeeigentümer) gestattet dem Investor die Nutzung der Fläche · Der Investor vermietet die Photovoltaikanlage an den Betreiber (Grund-/Gebäudeeigentümer) · … betreibt die Photovoltaikanlage · … beliefert einen/mehrere Verbraucher (Mieter im Gebäude oder Nachbar) mit Solarstrom · Der Verbraucher … nutzt den Solarstrom zu den vereinbarten Konditionen · … speist den über die Lieferung hinausgehenden Solarstrom ins Netz (z.B. gegen EEG-Vergütung).“</t>
  </si>
  <si>
    <t>PV-Mieten 5</t>
  </si>
  <si>
    <t>I  |  B_Haupt = G  |  V_M = B_Mit</t>
  </si>
  <si>
    <t>„Der Investor kauft und errichtet die Photovoltaikanlage auf einer fremden Dach-/Freifläche · Der Hauptbetreiber (Grund-/Gebäudeeigentümer) gestattet dem Investor die Nutzung der Fläche · Der Investor vermietet die Photovoltaikanlage an den Hauptbetreiber … · … betreibt die Photovoltaikanlage · … teilvermietet die Photovoltaikanlage an einen Mitbetreiber (Verbraucher (Mieter im Gebäude oder Nachbar)) · Der Mitbetreiber … nutzt den Solarstrom zum Eigenverbrauch · Der Hauptbetreiber … speist den über den Eigenverbrauch hinausgehenden Solarstrom ins Netz (z.B. gegen EEG-Vergütung).“</t>
  </si>
  <si>
    <t>PV-Mieten 6</t>
  </si>
  <si>
    <t>I = G  |  B_Haupt = V_M  |  V_W = B_Mit</t>
  </si>
  <si>
    <t>„Der Investor (Grund-/Gebäudeeigentümer) kauft und errichtet die Photovoltaikanlage auf der eigenen Dach-/Freifläche · … vermietet die Photovoltaikanlage an einen Hauptbetreiber (Verbraucher (Mieter im Gebäude)) · … betreibt die Photovoltaikanlage · … nutzt den Solarstrom zum Eigenverbrauch · … teilvermietet die Photovoltaikanlage an einen Mitbetreiber (weitere Verbraucher (Mieter im Gebäude oder Nachbar) · Der Mitbetreiber … nutzt den Solarstrom zum Eigenverbrauch · Der Hauptbetreiber … speist den über den Eigenverbrauch hinausgehenden Solarstrom ins Netz (z.B. gegen EEG-Vergütung).“</t>
  </si>
  <si>
    <t>PV-Mieten 7</t>
  </si>
  <si>
    <t>I = G  |  B = V_M  |  V_W</t>
  </si>
  <si>
    <t>„Der Investor (Grund-/Gebäudeeigentümer) kauft und errichtet die Photovoltaikanlage auf der eigenen Dach-/Freifläche · … vermietet die Photovoltaikanlage an einen Betreiber (Verbraucher (Mieter im Gebäude)) · … betreibt die Photovoltaikanlage · … nutzt den Solarstrom zum Eigenverbrauch · … beliefert einen/mehrere weitere Verbraucher (Mieter im Gebäude oder Nachbar) mit Solarstrom · Der weitere Verbraucher … nutzt den Solarstrom zu den vereinbarten Konditionen · … speist den über den Eigenverbrauch und die Lieferung hinausgehenden Solarstrom ins Netz (z.B. gegen EEG-Vergütung).“</t>
  </si>
  <si>
    <t>PV-Mieten 8</t>
  </si>
  <si>
    <t>I  |  B_Haupt = G = V_G  |  B_Mit = V_M</t>
  </si>
  <si>
    <t>„Der Investor kauft und errichtet die Photovoltaikanlage auf einer fremden Dach-/Freifläche · Der Hauptbetreiber (Grund-/Gebäudeeigentümer, Verbraucher) gestattet dem Investor die Nutzung der Fläche · Der Investor vermietet die Photovoltaikanlage an den Hauptbetreiber … · … betreibt die Photovoltaikanlage · … nutzt den Solarstrom zum Eigenverbrauch · … teilvermietet die Photovoltaikanlage an einen Mitbetreiber (Verbraucher (Mieter im Gebäude oder Nachbar)) · Der Mitbetreiber … nutzt den Solarstrom zum Eigenverbrauch · Der Hauptbetreiber … speist den über den Eigenverbrauch hinausgehenden Solarstrom ins Netz (z.B. gegen EEG-Vergütung).“</t>
  </si>
  <si>
    <t>PV-Mieten 9</t>
  </si>
  <si>
    <t>I  |  B = G = V_G  |  V_M</t>
  </si>
  <si>
    <t>„Der Investor kauft und errichtet die Photovoltaikanlage auf einer fremden Dach-/Freifläche · Der Betreiber (Grund-/Gebäudeeigentümer, Verbraucher) gestattet dem Investor die Nutzung der Fläche · Der Investor vermietet die Photovoltaikanlage an den Betreiber … · … betreibt die Photovoltaikanlage · … nutzt den Solarstrom zum Eigenverbrauch · … beliefert einen/mehrere Verbraucher (Mieter im Gebäude oder Nachbar) mit Solarstrom · Der Verbraucher … nutzt den Solarstrom zu den vereinbarten Konditionen · … speist den über den Eigenverbrauch und die Lieferung hinausgehenden Solarstrom ins Netz (z.B. gegen EEG-Vergütung).“</t>
  </si>
  <si>
    <t>PV-Mieten 10</t>
  </si>
  <si>
    <t>I  |  G  |  B_Haupt = V_M  |  V_W = B_Mit</t>
  </si>
  <si>
    <t>„Der Investor kauft und errichtet die Photovoltaikanlage auf einer fremden Dach-/Freifläche · Der Grund-/Gebäudeeigentümer gestattet dem Investor die Nutzung der Fläche · Der Investor vermietet die Photovoltaikanlage an einen Hauptbetreiber (Verbraucher (Mieter im Gebäude)) · … betreibt die Photovoltaikanlage · … nutzt den Solarstrom zum Eigenverbrauch · … teilvermietet die Photovoltaikanlage an einen Mitbetreiber (weitere Verbraucher (Mieter im Gebäude oder Nachbar)) · Der Mitbetreiber … nutzt den Solarstrom zum Eigenverbrauch · Der Hauptbetreiber … speist den über den Eigenverbrauch hinausgehenden Solarstrom ins Netz (z.B. gegen EEG-Vergütung).“</t>
  </si>
  <si>
    <t>PV-Mieten 11</t>
  </si>
  <si>
    <t>I  |  G  |  B = V_M  |  V_W</t>
  </si>
  <si>
    <t>„Der Investor kauft und errichtet die Photovoltaikanlage auf einer fremden Dach-/Freifläche · Der Grund-/Gebäudeeigentümer gestattet dem Investor die Nutzung der Fläche · Der Investor vermietet die Photovoltaikanlage an einen Betreiber (Verbraucher (Mieter im Gebäude)) · … betreibt die Photovoltaikanlage · … nutzt den Solarstrom zum Eigenverbrauch · … beliefert einen/mehrere weitere Verbraucher (Mieter im Gebäude oder Nachbar) mit Solarstrom · Der weitere Verbraucher … nutzt den Solarstrom zu den vereinbarten Konditionen · … speist den über den Eigenverbrauch und die Lieferung hinausgehenden Solarstrom ins Netz (z.B. gegen EEG-Vergütung).“</t>
  </si>
  <si>
    <t>PV-Teil-Mieten</t>
  </si>
  <si>
    <t>PV-Teil-Mieten 1</t>
  </si>
  <si>
    <t>I = B_Haupt  |  G = V_G = B_Mit</t>
  </si>
  <si>
    <t>„Der Investor (Hauptbetreiber) kauft und errichtet die Photovoltaikanlage auf einer fremden Dach-/Freifläche · Der Mitbetreiber (Grund-/Gebäudeeigentümer, Verbraucher) gestattet dem Investor (Hauptbetreiber) die Nutzung der Fläche · … betreibt die Photovoltaikanlage · … teilvermietet die Photovoltaikanlage an den Mitbetreiber … · Der Mitbetreiber … nutzt den Solarstrom zum Eigenverbrauch · Der Investor (Hauptbetreiber) speist den über den Eigenverbrauch hinausgehenden Solarstrom ins Netz (z.B. gegen EEG-Vergütung).“</t>
  </si>
  <si>
    <t>Mehrere Nutzungseinheiten mieten je einen ideellen Anteil derselben Anlage für den eigenen Verbrauch.</t>
  </si>
  <si>
    <t>PV-Teil-Mieten 2</t>
  </si>
  <si>
    <t>I = B_Haupt  |  G  |  V_M = B_Mit</t>
  </si>
  <si>
    <t>„Der Investor (Hauptbetreiber) kauft und errichtet die Photovoltaikanlage auf einer fremden Dach-/Freifläche · Der Grund-/Gebäudeeigentümer gestattet … die Nutzung der Fläche · … betreibt die Photovoltaikanlage · … teilvermietet die Photovoltaikanlage an einen Mitbetreiber (Verbraucher (Mieter im Gebäude oder Nachbar)) · Der Mitbetreiber … nutzt den Solarstrom zum Eigenverbrauch · Der Investor (Hauptbetreiber) speist den über den Eigenverbrauch hinausgehenden Solarstrom ins Netz (z.B. gegen EEG-Vergütung).“</t>
  </si>
  <si>
    <t>PV-Teil-Mieten 3</t>
  </si>
  <si>
    <t>I = B_Haupt = G  |  V_M = B_Mit</t>
  </si>
  <si>
    <t>„Der Investor (Hauptbetreiber, Grund-/Gebäudeeigentümer) kauft und errichtet die Photovoltaikanlage auf der eigenen Dach-/Freifläche · … betreibt die Photovoltaikanlage · … teilvermietet die Photovoltaikanlage an einen Mitbetreiber (Verbraucher (Mieter im Gebäude oder Nachbar)) · Der Mitbetreiber … nutzt den Solarstrom zum Eigenverbrauch · Der Investor (Hauptbetreiber, Grund-/Gebäudeeigentümer) speist den über den Eigenverbrauch hinausgehenden Solarstrom ins Netz (z.B. gegen EEG-Vergütung).“</t>
  </si>
  <si>
    <t>PV-Teil-Mieten 4</t>
  </si>
  <si>
    <t>I = B_Haupt = G = V_G  |  V_M = B_Mit</t>
  </si>
  <si>
    <t>„Der Investor (Hauptbetreiber, Grund-/Gebäudeeigentümer, Verbraucher) kauft und errichtet die Photovoltaikanlage auf der eigenen Dach-/Freifläche · … betreibt die Photovoltaikanlage · … nutzt den Solarstrom zum Eigenverbrauch · … teilvermietet die Photovoltaikanlage an einen Mitbetreiber (Verbraucher (Mieter im Gebäude oder Nachbar)) · Der Mitbetreiber … nutzt den Solarstrom zum Eigenverbrauch · … speist den über den Eigenverbrauch hinausgehenden Solarstrom ins Netz (z.B. gegen EEG-Vergütung).“</t>
  </si>
  <si>
    <t>PV-Teil-Mieten 5</t>
  </si>
  <si>
    <t>I = B_Haupt  |  G = V_G = B_Mit  |  V_M = B_Mit</t>
  </si>
  <si>
    <t>„Der Investor (Hauptbetreiber) kauft und errichtet die Photovoltaikanlage auf einer fremden Dach-/Freifläche · Der Mitbetreiber (Grund-/Gebäudeeigentümer, Verbraucher) gestattet … die Nutzung der Fläche · … betreibt die Photovoltaikanlage · … teilvermietet die Photovoltaikanlage an den Mitbetreiber (Grund-/Gebäudeeigentümer, Verbraucher) · … teilvermietet die Photovoltaikanlage an einen Mitbetreiber (Verbraucher (Mieter im Gebäude oder Nachbar)) · beide Mitbetreiber nutzen den Solarstrom zum Eigenverbrauch · Der Investor (Hauptbetreiber) speist den über den Eigenverbrauch hinausgehenden Solarstrom ins Netz (z.B. gegen EEG-Vergütung).“  (zwei verschiedene Mitbetreiber)</t>
  </si>
  <si>
    <t>Legende: Rollen und Subtypen</t>
  </si>
  <si>
    <t>Kürzel</t>
  </si>
  <si>
    <t>I</t>
  </si>
  <si>
    <t>Investor</t>
  </si>
  <si>
    <t>B</t>
  </si>
  <si>
    <t>Betreiber</t>
  </si>
  <si>
    <t>B_Haupt</t>
  </si>
  <si>
    <t>Hauptbetreiber</t>
  </si>
  <si>
    <t>B_Mit</t>
  </si>
  <si>
    <t>Mitbetreiber</t>
  </si>
  <si>
    <t>G</t>
  </si>
  <si>
    <t>Grund-/Gebäudeeigentümer</t>
  </si>
  <si>
    <t>V_G</t>
  </si>
  <si>
    <t>Verbraucher (Gebäudeeigentümer)</t>
  </si>
  <si>
    <t>V_M</t>
  </si>
  <si>
    <t>Verbraucher (Mieter im Gebäude) – in mehreren Modellen erweitert zu „Mieter im Gebäude/Nachbar“</t>
  </si>
  <si>
    <t>V_W</t>
  </si>
  <si>
    <t>Verbraucher (Weiterer)</t>
  </si>
  <si>
    <t>Verbraucher X</t>
  </si>
  <si>
    <t>keine Formelrolle, sondern die Diagrammbeschriftung für den anonymen Abnehmer des ins Netz eingespeisten Stroms</t>
  </si>
  <si>
    <t>Parteien- und Farbsystematik der Modellgrafiken</t>
  </si>
  <si>
    <t>Jeder Kasten der Formelzeile steht für eine eigenständige Partei. „=“ bedeutet Personalunion (eine Partei trägt mehrere Rollen); „|“ trennt verschiedene Parteien (getrennte Kästen im pv@now-Diagramm). Die Farbe ordnet jede Rolle einer Partei zu – dieselbe Farbe erscheint in der Formelzeile, in den vier Rollenkacheln und im Gebäude-/Flächendiagramm. Mehrere Symbole in einer Kachel zeigen an, dass eine Rolle von mehreren Parteien besetzt ist; eine leere Kachel bedeutet, dass die Rolle nicht besetzt ist (nur bei PV-Netz-Einspeisung 1 und 2 bei der Verbraucherrolle); eine geteilt eingefärbte PV-Anlage kennzeichnet die Teilvermietung (PV-Mieten 5, 6, 8 und 10 sowie alle PV-Teil-Mieten) [29].</t>
  </si>
  <si>
    <t>Farbe</t>
  </si>
  <si>
    <t>Grün</t>
  </si>
  <si>
    <t>Rollen, die der Investor selbst innehat (Investor-Partei)</t>
  </si>
  <si>
    <t>Grau</t>
  </si>
  <si>
    <t>zweite, vom Investor verschiedene Partei</t>
  </si>
  <si>
    <t>Gelb</t>
  </si>
  <si>
    <t>dritte Partei</t>
  </si>
  <si>
    <t>Orange</t>
  </si>
  <si>
    <t>vierte Partei (nur PV-Mieten 10 und 11)</t>
  </si>
  <si>
    <t>Rosa/Rot</t>
  </si>
  <si>
    <t>„Verbraucher X“ – der anonyme Netzabnehmer</t>
  </si>
  <si>
    <t>Beobachtungen aus dem verifizierten Katalog</t>
  </si>
  <si>
    <t>1 – Die Grundregel „niedrige Nummer = hohe Rollenkonzentration, höhere Nummer = zunehmende Aufspaltung“ bestätigt sich nur als grobe Tendenz, nicht als starre Systematik: Innerhalb der Familie PV-Mieten wechseln sich Varianten mit Eigenverbrauch (1, 2, 3, 5, 6, 8, 10), mit Lieferung an Dritte (4, 7, 9, 11) und mit Haupt-/Mitbetreiber-Teilung (5, 6, 8, 10) ab. Maßgeblich ist stets die Formelzeile, nicht die Nummer.</t>
  </si>
  <si>
    <t>2 – Die App-Systematik weicht von der öffentlichen Produktinformation ab, die von „ca. 30 Modellen“ bzw. „über 20 Betreibermodellen“ spricht und eine eigenständige Familie „PV-Mieterstrom“ nennt [22]. Diese Familie existiert in der App nicht; Mieterstrom wird über die Familie PV-Stromlieferung abgebildet. Für die Kundenkommunikation ist der App-Katalog maßgeblich.</t>
  </si>
  <si>
    <t>3 – Zur Spalte „Diagr.“: Sie nennt die Nummer der Modellgrafik in der App. Diese Nummerierung entspricht nicht der Reihenfolge im Auswahlmenü; die Nummern 01, 04 und 05 werden von keinem Modell belegt (01 ist die neutrale Vorlagengrafik) [29].</t>
  </si>
  <si>
    <t>B1 – Die acht Erlöswege im Überblick</t>
  </si>
  <si>
    <t>Rechtsgrundlage, Zulässigkeit und Höhe/Formel · alle ct/kWh netto · Stand: 25.08.2026</t>
  </si>
  <si>
    <t>Kennung</t>
  </si>
  <si>
    <t>Erlösweg</t>
  </si>
  <si>
    <t>Rechtsgrundlage</t>
  </si>
  <si>
    <t>Zulässigkeit / Grenzen</t>
  </si>
  <si>
    <t>Höhe / Formel</t>
  </si>
  <si>
    <t>a</t>
  </si>
  <si>
    <t>Feste Einspeisevergütung</t>
  </si>
  <si>
    <t>§ 21 Abs. 1 Nr. 1 i. V. m. § 53 Abs. 1 Nr. 2 EEG</t>
  </si>
  <si>
    <t>nur Anlagen ≤ 100 kW; keine Teilnahme am Regelenergiemarkt</t>
  </si>
  <si>
    <t>anzulegender Wert minus 0,40 ct/kWh</t>
  </si>
  <si>
    <t>[4]</t>
  </si>
  <si>
    <t>b</t>
  </si>
  <si>
    <t>Marktprämie (geförderte Direktvermarktung)</t>
  </si>
  <si>
    <t>§ 20 EEG, Anlage 1 zu § 23a EEG</t>
  </si>
  <si>
    <t>freiwillig ≤ 100 kW, faktisch Pflicht &gt; 100 kW</t>
  </si>
  <si>
    <t>MP = anzulegender Wert − Jahresmarktwert Solar (für Inbetriebnahme ab 01.01.2023; der Monatsmarktwert gilt nur für frühere Inbetriebnahmen); MP ≥ 0. Vermarktungskosten sind nicht gesetzlich geregelt, sondern vertraglich (Voreinstellung im Tool: 0,40 ct/kWh)</t>
  </si>
  <si>
    <t>[4][29]</t>
  </si>
  <si>
    <t>c</t>
  </si>
  <si>
    <t>Ausschreibung</t>
  </si>
  <si>
    <t>§ 22 Abs. 3 EEG</t>
  </si>
  <si>
    <t>1. Segment &gt; 1 MW; 2. Segment Gebäude &gt; 1.000 kWp; maximale Gebotsgröße 20 MW; pay-as-bid (die Anhebung der maximalen Gebotsgröße auf 50 MW steht unter Beihilfevorbehalt, siehe offene Punkte im Blatt „Quellen“)</t>
  </si>
  <si>
    <t>Zuschlagswert wird zum anzulegenden Wert; Durchschnittswerte 2026 siehe Blatt „Ausschreibungen+Marktwerte“</t>
  </si>
  <si>
    <t>[4][5][6]</t>
  </si>
  <si>
    <t>d</t>
  </si>
  <si>
    <t>Sonstige Direktvermarktung / PPA</t>
  </si>
  <si>
    <t>§ 21a EEG</t>
  </si>
  <si>
    <t>jede Anlage; kein EEG-Zahlungsanspruch; die Grünstromeigenschaft verbleibt beim Betreiber</t>
  </si>
  <si>
    <t>frei verhandelt; Marktreferenz Solar Deutschland 2025: 3,5–4,5 ct/kWh</t>
  </si>
  <si>
    <t>[4][10]</t>
  </si>
  <si>
    <t>e</t>
  </si>
  <si>
    <t>Mieterstromzuschlag</t>
  </si>
  <si>
    <t>§ 19 Abs. 1 Nr. 3, § 21 Abs. 3, § 48a EEG; § 42a EnWG</t>
  </si>
  <si>
    <t>ohne Netzdurchleitung; seit Solarpaket I für alle Gebäudetypen; zusätzlich zur Einspeisevergütung für den Überschuss; Vollversorgungsgebot, Preisdeckel 90 % des Grundversorgungstarifs</t>
  </si>
  <si>
    <t>Inbetriebnahme 08/2026–01/2027: 2,51 / 2,33 / 1,57 ct/kWh (≤ 10 / ≤ 40 / ≤ 1.000 kW)</t>
  </si>
  <si>
    <t>[1][2][4]</t>
  </si>
  <si>
    <t>f</t>
  </si>
  <si>
    <t>Ausfallvergütung</t>
  </si>
  <si>
    <t>§ 21 Abs. 1 S. 1 Nr. 3 i. V. m. § 53 Abs. 3 EEG</t>
  </si>
  <si>
    <t>nur Anlagen &gt; 100 kW; maximal 3 Monate in Folge, 6 Monate je Kalenderjahr</t>
  </si>
  <si>
    <t>80 % des anzulegenden Wertes (Abschlag 20 %)</t>
  </si>
  <si>
    <t>g</t>
  </si>
  <si>
    <t>Zuschlag Volleinspeisung</t>
  </si>
  <si>
    <t>§ 48 Abs. 2a EEG</t>
  </si>
  <si>
    <t>nur Gebäudeanlagen; Meldung in Textform vor Inbetriebnahme bzw. jeweils vor dem 1. Dezember des Vorjahres</t>
  </si>
  <si>
    <t>Stufen (Basis 2023): + 4,8 / + 3,8 / + 5,1 / + 3,2 / + 1,9 ct/kWh, seither degressiert</t>
  </si>
  <si>
    <t>[2][4]</t>
  </si>
  <si>
    <t>h</t>
  </si>
  <si>
    <t>Unentgeltliche Abnahme</t>
  </si>
  <si>
    <t>§ 21 Abs. 1 Nr. 2 EEG</t>
  </si>
  <si>
    <t>Anlagen &lt; 200 kW</t>
  </si>
  <si>
    <t>Anspruch auf null; kein Abzug von 0,40 ct/kWh</t>
  </si>
  <si>
    <t>Ergänzend: Positionen ohne eigenen EEG-Anspruch</t>
  </si>
  <si>
    <t>Freier Vergütungssatz</t>
  </si>
  <si>
    <t>kein EEG-Anspruch (reine Werkzeugfunktion in pv@now)</t>
  </si>
  <si>
    <t>frei eingebbar; für langfristige Projektbetrachtungen und die Zeit nach dem Förderende</t>
  </si>
  <si>
    <t>frei wählbar; Voreinstellung im Schulungsprojekt: 8,00 ct/kWh</t>
  </si>
  <si>
    <t>[22][29]</t>
  </si>
  <si>
    <t>Marktwert Solar</t>
  </si>
  <si>
    <t>§ 23b EEG (in pv@now easy-Ü20 der Jahresmarktwert)</t>
  </si>
  <si>
    <t>kein eigener Zahlungsanspruch; Referenzgröße</t>
  </si>
  <si>
    <t>Prognosewert; Voreinstellung im Schulungsprojekt 3,50 ct/kWh, Jahresmarktwert Solar 2025 4,508 ct/kWh</t>
  </si>
  <si>
    <t>[7][8][22][29]</t>
  </si>
  <si>
    <t>Vermiedener Netzbezug (Eigenverbrauch)</t>
  </si>
  <si>
    <t>keine Vergütung, sondern Kostenersparnis</t>
  </si>
  <si>
    <t>wirtschaftlich der wichtigste Hebel; kein Erlösweg im engeren Sinn</t>
  </si>
  <si>
    <t>in Höhe des vollen Arbeitspreises einschließlich Netzentgelten, Umlagen und Steuern – im Fallbeispiel im Mittel 45,83 ct/kWh gegenüber 7,47 ct/kWh Einspeisevergütung</t>
  </si>
  <si>
    <t>§ 101 EEG: Der Aufschlag von +1,5 ct/kWh nach § 48 Abs. 2 Nr. 3 EEG für Gebäudeanlagen von 40 kW bis 1 MW ist gesetzlich vorgesehen, aber mangels beihilferechtlicher Genehmigung der EU-Kommission NICHT anwendbar (Stand 25.08.2026). Ebenfalls ausgesetzt sind unter anderem § 48 Abs. 1b (Agri-PV-Zuschlag), § 37b, § 37d, § 22 Abs. 3 S. 2 und § 30 Abs. 2. Offener Streitpunkt ist eine mögliche Rückforderung (Clawback) [4][14][20].</t>
  </si>
  <si>
    <t>Solarspitzengesetz: Seit 25.02.2025 wird der anzulegende Wert in jeder Viertelstunde mit negativem Spotpreis auf null gesetzt (§ 51 EEG, keine Vier-Stunden-Schwelle mehr); die entfallenen Viertelstunden werden nach § 51a mit dem Faktor 0,5 ertragsgewichtet nachgeholt. In der Direktvermarktung wird nicht gekappt. Für die Wirtschaftlichkeitsrechnung gilt: die Nennvergütung bleibt, die zeitliche Verfügbarkeit sinkt [4][12][19].</t>
  </si>
  <si>
    <t>M – Methodik: Einspeisung und Kostenberechnung je Betreibermodell</t>
  </si>
  <si>
    <t>M2-Matrix aller 25 Modelle · Vergütungsangaben für Inbetriebnahme ab 01.08.2026, ct/kWh netto, Größenklassen als Mischsatz nach § 23c EEG [1][2][4] · Stand: 25.08.2026 · Die Rechenlogik in sechs Schritten (M1) steht unterhalb der Matrix.</t>
  </si>
  <si>
    <t>Legende der beiden Vergütungspfade (Gebäudeanlagen, IBN ab 01.08.2026)</t>
  </si>
  <si>
    <t>Pfad</t>
  </si>
  <si>
    <t>Feste Einspeisevergütung (nur ≤ 100 kW)</t>
  </si>
  <si>
    <t>Geförderte Direktvermarktung (anzulegender Wert)</t>
  </si>
  <si>
    <t>Ergänzungen</t>
  </si>
  <si>
    <t>Pfad V – Volleinspeisung</t>
  </si>
  <si>
    <t>12,22 (≤ 10 kW) · 10,24 (≤ 40 kW) · 10,24 (≤ 100 kW)</t>
  </si>
  <si>
    <t>12,62 · 10,64 · 10,64 · 8,85 (≤ 400 kW) · 7,63 (≤ 1.000 kW)</t>
  </si>
  <si>
    <t>Zuschlag § 48 Abs. 2a nur für Gebäudeanlagen und nur bei Meldung in Textform vor Inbetriebnahme; &gt; 100 kWp Direktvermarktungspflicht; Gebäude &gt; 1.000 kWp Ausschreibung</t>
  </si>
  <si>
    <t>[1][2]</t>
  </si>
  <si>
    <t>Pfad Ü – Überschusseinspeisung</t>
  </si>
  <si>
    <t>7,70 (≤ 10 kW) · 6,66 (≤ 40 kW) · 5,44 (≤ 100 kW)</t>
  </si>
  <si>
    <t>8,10 · 7,06 · 5,84 · 5,84 · 5,84</t>
  </si>
  <si>
    <t>&gt; 100 kWp Direktvermarktungspflicht; sonstige Direktvermarktung/PPA jederzeit möglich; Mieterstromzuschlag § 48a nur in Liefermodellen</t>
  </si>
  <si>
    <t>Für alle 25 Modelle gleichermaßen zu berücksichtigen (in den Zeilen deshalb nur als Kürzel): § 51/§ 51a – anzulegender Wert null in Viertelstunden mit negativem Spotpreis, Nachholung mit Faktor 0,5 · § 9 – bei fester Einspeisevergütung ohne intelligentes Messsystem Begrenzung der Einspeisung auf 60 %, in der Direktvermarktung keine Kappung · § 25 – Bestandsschutz bei Inbetriebnahme bis 31.12.2026 [4].</t>
  </si>
  <si>
    <t>Modell</t>
  </si>
  <si>
    <t>Konstellation</t>
  </si>
  <si>
    <t>Stromverwertung</t>
  </si>
  <si>
    <t>Vergütungsweg (IBN 08/2026)</t>
  </si>
  <si>
    <t>Erlöse je Akteur</t>
  </si>
  <si>
    <t>Kosten je Akteur</t>
  </si>
  <si>
    <t>Rechtliche Trigger / Aufmerksamkeitspunkte</t>
  </si>
  <si>
    <t>Familie PV-Netz-Einspeisung</t>
  </si>
  <si>
    <t>PV-Netz-Einspeisung 1  → Blatt „Projektvergleich“</t>
  </si>
  <si>
    <t>I = B = G, 1 Partei</t>
  </si>
  <si>
    <t>100 % Netzeinspeisung; kein Eigenverbrauch, keine Lieferung</t>
  </si>
  <si>
    <t>I=B=G: gesamte Einspeisevergütung einschließlich Zuschlag § 48 Abs. 2a</t>
  </si>
  <si>
    <t>I=B=G: Investition + Betriebskosten (Kostenträger I oder B wählbar); kein Flächenentgelt, da eigene Fläche</t>
  </si>
  <si>
    <t>Zuschlag § 48 Abs. 2a: nur Gebäude, Meldung vor IBN; kein Mieterstromzuschlag (keine Lieferung); § 51/§ 51a; § 9; Vergleichsmaßstab sind die Stromgestehungskosten</t>
  </si>
  <si>
    <t>I = B  |  G, 2 Parteien</t>
  </si>
  <si>
    <t>I=B: gesamte Einspeisevergütung einschließlich Zuschlag; G: Entgelt für die Flächengestattung – modellabhängig konfigurierbar (Dachmiete/Pacht)</t>
  </si>
  <si>
    <t>I=B: Investition + Betriebskosten + Flächenentgelt an G; G: keine</t>
  </si>
  <si>
    <t>wie Modell 1; zusätzlich Gestattungs-/Dachmietvertrag (DGS-Typ 4a/4b), Dachmiete standardmäßig nicht umsatzsteuerbar; Laufzeitkongruenz Pachtvertrag ↔ 20-jährige Vergütungsdauer</t>
  </si>
  <si>
    <t>Familie PV-Überschuss-Einspeisung</t>
  </si>
  <si>
    <t>PV-Überschuss-Einspeisung 1  → Blatt „Projektvergleich“</t>
  </si>
  <si>
    <t>I = B = G = V_G, 1 Partei</t>
  </si>
  <si>
    <t>Eigenverbrauch vorrangig, Überschuss ins Netz</t>
  </si>
  <si>
    <t>I=B=G=V_G: Einspeisevergütung für den Überschuss + vermiedener Netzbezug (Netzstrompreis × Eigenverbrauchsmenge)</t>
  </si>
  <si>
    <t>I=B=G=V_G: Investition + Betriebskosten + Reststrombezug vom Energieversorger</t>
  </si>
  <si>
    <t>Eigenverbrauch ist keine Lieferung → keine Versorgerpflichten, kein Mieterstromzuschlag; § 51/§ 51a; § 9 (60 % bei fester EV ohne iMSys); Umsatzsteuerwahl (Nullsteuersatz ≤ 30 kWp) verändert Investition und Bewertung des Eigenverbrauchs</t>
  </si>
  <si>
    <t>I = B = V_M  |  G, 2 Parteien</t>
  </si>
  <si>
    <t>Eigenverbrauch des mietenden Betreibers, Überschuss ins Netz</t>
  </si>
  <si>
    <t>I=B=V_M: Einspeisevergütung für den Überschuss + vermiedener Netzbezug; G: Entgelt für die Flächengestattung – modellabhängig konfigurierbar</t>
  </si>
  <si>
    <t>I=B=V_M: Investition + Betriebskosten + Dachmiete an G + Reststrombezug; G: keine</t>
  </si>
  <si>
    <t>wie Modell 1; zusätzlich Dachmietvertrag; Laufzeitrisiko: Mietverhältnis im Gebäude gegenüber 20-jähriger Vergütungsdauer</t>
  </si>
  <si>
    <t>Familie PV-Stromlieferung</t>
  </si>
  <si>
    <t>I = B = G  |  V_M, 2 Parteien</t>
  </si>
  <si>
    <t>Lieferung an einen/mehrere Verbraucher (Mieter im Gebäude oder Nachbar), Überschuss ins Netz; kein Eigenverbrauch des Betreibers</t>
  </si>
  <si>
    <t>I=B=G: Lieferentgelt zu den vereinbarten Konditionen (Hilfsrechner Lieferpreis) + Einspeisevergütung für den Überschuss + ggf. Mieterstromzuschlag</t>
  </si>
  <si>
    <t>I=B=G: Investition + Betriebskosten + Mess-/Abrechnungsaufwand; V_M: Lieferpreis an B + Reststrom vom Energieversorger (bei Ergänzungsversorgung)</t>
  </si>
  <si>
    <t>Lieferung = Versorgerpflichten + Umsatzsteuer auf die Lieferung; § 42a Mieterstrom (Vollversorgungsgebot, 90-%-Deckel) gegenüber § 42b GGV (kein Zuschlag, reduzierte Pflichten) gegenüber § 42c Energy Sharing; bei Nachbarbelieferung Netzdurchleitung prüfen (Zuschlag entfällt) und BGH 13.05.2025 zur Kundenanlage beachten; § 51/§ 51a; § 9</t>
  </si>
  <si>
    <t>I = B = G = V_G  |  V_M, 2 Parteien</t>
  </si>
  <si>
    <t>Eigenverbrauch und Lieferung an Dritte, Überschuss ins Netz</t>
  </si>
  <si>
    <t>I=B=G=V_G: vermiedener Netzbezug + Lieferentgelt + Einspeisevergütung + ggf. Mieterstromzuschlag; V_M: keine</t>
  </si>
  <si>
    <t>I=B=G=V_G: Investition + Betriebskosten + Reststrom; V_M: Lieferpreis + Reststrom</t>
  </si>
  <si>
    <t>wie Modell 1; zusätzlich saubere messtechnische Trennung von Eigenverbrauch und Lieferung (der Zuschlag gilt nur für die gelieferte Menge)</t>
  </si>
  <si>
    <t>I = B  |  G = V_G, 2 Parteien</t>
  </si>
  <si>
    <t>Lieferung an den Grund-/Gebäudeeigentümer als Verbraucher, Überschuss ins Netz</t>
  </si>
  <si>
    <t>I=B: Lieferentgelt + Einspeisevergütung + ggf. Mieterstromzuschlag; G=V_G: Entgelt für die Flächengestattung – modellabhängig konfigurierbar</t>
  </si>
  <si>
    <t>I=B: Investition + Betriebskosten + Flächenentgelt; G=V_G: Lieferpreis an B + Reststrom</t>
  </si>
  <si>
    <t>wie Modell 1; klassische Contracting-Konstellation (Lieferung an den Eigentümer der Fläche); Verrechnung Dachmiete ↔ Lieferpreis vertraglich sauber trennen</t>
  </si>
  <si>
    <t>I = B  |  G  |  V_M, 3 Parteien</t>
  </si>
  <si>
    <t>Lieferung an einen/mehrere Verbraucher (Mieter/Nachbar), Überschuss ins Netz</t>
  </si>
  <si>
    <t>I=B: Lieferentgelt + Einspeisevergütung + ggf. Mieterstromzuschlag; G: Flächenentgelt – modellabhängig konfigurierbar; V_M: keine</t>
  </si>
  <si>
    <t>I=B: Investition + Betriebskosten + Flächenentgelt an G; V_M: Lieferpreis + Reststrom</t>
  </si>
  <si>
    <t>wie Modell 1; drei Parteien – Gebäudeeigentümer und belieferter Mieter fallen auseinander, daher zwei getrennte Vertragsebenen (Dachmiete und Stromlieferung)</t>
  </si>
  <si>
    <t>I = B  |  G = V_G  |  V_M, 3 Parteien</t>
  </si>
  <si>
    <t>Lieferung an zwei Verbrauchergruppen (Gebäudeeigentümer und Mieter/Nachbar), Überschuss ins Netz</t>
  </si>
  <si>
    <t>I=B: Lieferentgelte beider Abnehmer + Einspeisevergütung + ggf. Mieterstromzuschlag; G=V_G: Flächenentgelt – modellabhängig konfigurierbar</t>
  </si>
  <si>
    <t>I=B: Investition + Betriebskosten + Flächenentgelt; G=V_G und V_M: jeweils Lieferpreis + Reststrom</t>
  </si>
  <si>
    <t>wie Modell 1; höchster Abrechnungsaufwand der Familie: mehrere Abnehmer mit je eigenem Tarif (Ergänzungs- oder Vollversorgung, getrennte Tarife oder Mischtarif)</t>
  </si>
  <si>
    <t>Familie PV-Mieten</t>
  </si>
  <si>
    <t>I  |  B = G = V_G, 2 Parteien</t>
  </si>
  <si>
    <t>I: Anlagenmiete (Hilfsrechner PV-Miete, DGS-Vorschlagswert); B=G=V_G: Einspeisevergütung + vermiedener Netzbezug</t>
  </si>
  <si>
    <t>I: Investition; B=G=V_G: Anlagenmiete an I + Betriebskosten (Kostenträger wählbar) + Reststrom; Flächengestattung durch B=G selbst</t>
  </si>
  <si>
    <t>Kernvorteil: Eigenverbrauch statt Lieferung – keine Versorgerpflichten, kein Mieterstromregime, kein Zuschlag; Betreibereigenschaft des Mieters muss tatsächlich vorliegen (Verfügungsgewalt über die Fahrweise, Betreiberrisiko, Abrechnung mit dem Netzbetreiber); § 51/§ 51a; § 9</t>
  </si>
  <si>
    <t>I  |  G  |  B = V_M, 3 Parteien</t>
  </si>
  <si>
    <t>Eigenverbrauch des mietenden Betreibers (Mieter im Gebäude), Überschuss ins Netz</t>
  </si>
  <si>
    <t>I: Anlagenmiete; G: Flächenentgelt – modellabhängig konfigurierbar; B=V_M: Einspeisevergütung + vermiedener Netzbezug</t>
  </si>
  <si>
    <t>I: Investition; B=V_M: Anlagenmiete + Betriebskosten + Reststrom; Flächenentgelt trägt vertraglich I oder B (modellabhängig konfigurierbar)</t>
  </si>
  <si>
    <t>wie Modell 1; drei Parteien: Gebäudeeigentümer stellt nur die Fläche; Laufzeitrisiko des Wohnungs-/Gewerbemietvertrags</t>
  </si>
  <si>
    <t>I = G  |  B = V_M, 2 Parteien</t>
  </si>
  <si>
    <t>I=G: Anlagenmiete (Fläche ist eigen, kein separates Flächenentgelt); B=V_M: Einspeisevergütung + vermiedener Netzbezug</t>
  </si>
  <si>
    <t>I=G: Investition; B=V_M: Anlagenmiete + Betriebskosten + Reststrom</t>
  </si>
  <si>
    <t>wie Modell 1; typische Vermieter-Mieter-Konstellation (DGS-Vertragstypen 2c–2f); Abgrenzung zur Stromlieferung ist der entscheidende Prüfpunkt</t>
  </si>
  <si>
    <t>I  |  B = G  |  V_M, 3 Parteien</t>
  </si>
  <si>
    <t>Lieferung an einen/mehrere Verbraucher durch den mietenden Betreiber, Überschuss ins Netz</t>
  </si>
  <si>
    <t>I: Anlagenmiete; B=G: Lieferentgelt + Einspeisevergütung + ggf. Mieterstromzuschlag; V_M: keine</t>
  </si>
  <si>
    <t>I: Investition; B=G: Anlagenmiete + Betriebskosten; V_M: Lieferpreis + Reststrom</t>
  </si>
  <si>
    <t>Hier liegt eine Lieferung vor – anders als in den Modellen 1–3: Versorgerpflichten, Umsatzsteuer auf die Lieferung, § 42a/§ 42b-Wahl; § 51/§ 51a; § 9</t>
  </si>
  <si>
    <t>I  |  B_Haupt = G  |  V_M = B_Mit, 3 Parteien</t>
  </si>
  <si>
    <t>Anteiliger Eigenverbrauch des Mitbetreibers (Teilvermietung), Überschuss ins Netz durch den Hauptbetreiber</t>
  </si>
  <si>
    <t>I: Anlagenmiete; B_Haupt=G: Teilmietentgelt vom Mitbetreiber + Einspeisevergütung; B_Mit=V_M: vermiedener Netzbezug</t>
  </si>
  <si>
    <t>I: Investition; B_Haupt: Anlagenmiete + Betriebskosten; B_Mit: Teilmiete + Reststrom</t>
  </si>
  <si>
    <t>Eigenverbrauch statt Lieferung auch für den Mitbetreiber; Anteilszuordnung erfordert ein tragfähiges Zählerkonzept; Betreiberrisiken des Mitbetreibers werden im Innenverhältnis auf den Hauptbetreiber übertragen; § 51/§ 51a; § 9</t>
  </si>
  <si>
    <t>I = G  |  B_Haupt = V_M  |  V_W = B_Mit, 3 Parteien</t>
  </si>
  <si>
    <t>Eigenverbrauch des Hauptbetreibers und anteiliger Eigenverbrauch des Mitbetreibers, Überschuss ins Netz durch den Hauptbetreiber</t>
  </si>
  <si>
    <t>I=G: Anlagenmiete; B_Haupt=V_M: vermiedener Netzbezug + Teilmietentgelt + Einspeisevergütung; B_Mit=V_W: vermiedener Netzbezug</t>
  </si>
  <si>
    <t>I=G: Investition; B_Haupt: Anlagenmiete + Betriebskosten + Reststrom; B_Mit: Teilmiete + Reststrom</t>
  </si>
  <si>
    <t>wie Modell 5; zusätzlich: der Hauptbetreiber ist selbst Mieter im Gebäude des Investors – doppelte Vertragsbeziehung (Raummiete und Anlagenmiete)</t>
  </si>
  <si>
    <t>I = G  |  B = V_M  |  V_W, 3 Parteien</t>
  </si>
  <si>
    <t>Eigenverbrauch des mietenden Betreibers und Lieferung an weitere Verbraucher, Überschuss ins Netz</t>
  </si>
  <si>
    <t>I=G: Anlagenmiete; B=V_M: vermiedener Netzbezug + Lieferentgelt + Einspeisevergütung + ggf. Mieterstromzuschlag; V_W: keine</t>
  </si>
  <si>
    <t>I=G: Investition; B=V_M: Anlagenmiete + Betriebskosten + Reststrom; V_W: Lieferpreis + Reststrom</t>
  </si>
  <si>
    <t>Mischform: Eigenverbrauch (keine Lieferung) und Belieferung Dritter (volle Versorgerpflichten) im selben Modell – messtechnische Trennung zwingend; § 42a/§ 42b-Wahl; § 51/§ 51a; § 9</t>
  </si>
  <si>
    <t>I  |  B_Haupt = G = V_G  |  B_Mit = V_M, 3 Parteien</t>
  </si>
  <si>
    <t>Eigenverbrauch des Hauptbetreibers und anteiliger Eigenverbrauch des Mitbetreibers, Überschuss ins Netz</t>
  </si>
  <si>
    <t>I: Anlagenmiete; B_Haupt=G=V_G: vermiedener Netzbezug + Teilmietentgelt + Einspeisevergütung; B_Mit=V_M: vermiedener Netzbezug</t>
  </si>
  <si>
    <t>I: Investition; B_Haupt: Anlagenmiete + Betriebskosten + Reststrom; B_Mit: Teilmiete + Reststrom</t>
  </si>
  <si>
    <t>wie Modell 5; der Hauptbetreiber ist zugleich Gebäudeeigentümer – Flächenfrage entfällt, Anteilsabgrenzung bleibt</t>
  </si>
  <si>
    <t>I  |  B = G = V_G  |  V_M, 3 Parteien</t>
  </si>
  <si>
    <t>Eigenverbrauch des mietenden Betreibers und Lieferung an Dritte, Überschuss ins Netz</t>
  </si>
  <si>
    <t>I: Anlagenmiete; B=G=V_G: vermiedener Netzbezug + Lieferentgelt + Einspeisevergütung + ggf. Mieterstromzuschlag; V_M: keine</t>
  </si>
  <si>
    <t>I: Investition; B=G=V_G: Anlagenmiete + Betriebskosten + Reststrom; V_M: Lieferpreis + Reststrom</t>
  </si>
  <si>
    <t>wie Modell 7; klassische Konstellation „Eigentümer mietet die Anlage und beliefert seine Mieter“</t>
  </si>
  <si>
    <t>I  |  G  |  B_Haupt = V_M  |  V_W = B_Mit, 4 Parteien</t>
  </si>
  <si>
    <t>I: Anlagenmiete; G: Flächenentgelt – modellabhängig konfigurierbar; B_Haupt=V_M: vermiedener Netzbezug + Teilmietentgelt + Einspeisevergütung; B_Mit=V_W: vermiedener Netzbezug</t>
  </si>
  <si>
    <t>wie Modell 5; maximale Aufspaltung der Familie auf vier Parteien – jede Rolle liegt bei einer anderen Partei; Kennzahlen je Akteur besonders wichtig</t>
  </si>
  <si>
    <t>I  |  G  |  B = V_M  |  V_W, 4 Parteien</t>
  </si>
  <si>
    <t>I: Anlagenmiete; G: Flächenentgelt – modellabhängig konfigurierbar; B=V_M: vermiedener Netzbezug + Lieferentgelt + Einspeisevergütung + ggf. Mieterstromzuschlag; V_W: keine</t>
  </si>
  <si>
    <t>I: Investition; B=V_M: Anlagenmiete + Betriebskosten + Reststrom; V_W: Lieferpreis + Reststrom</t>
  </si>
  <si>
    <t>wie Modell 7; vier Parteien, zwei Vertragsebenen plus Flächenvertrag – höchster Koordinationsaufwand der Familie</t>
  </si>
  <si>
    <t>Familie PV-Teil-Mieten</t>
  </si>
  <si>
    <t>I = B_Haupt  |  G = V_G = B_Mit, 2 Parteien</t>
  </si>
  <si>
    <t>Anteiliger Eigenverbrauch des Mitbetreibers, Überschuss ins Netz durch den Investor als Hauptbetreiber</t>
  </si>
  <si>
    <t>I=B_Haupt: Teilmietentgelt + Einspeisevergütung für den Überschuss; B_Mit=G=V_G: vermiedener Netzbezug (+ Entgelt für die Flächengestattung, modellabhängig konfigurierbar)</t>
  </si>
  <si>
    <t>I=B_Haupt: Investition + Betriebskosten; B_Mit: Teilmiete + Reststrom</t>
  </si>
  <si>
    <t>Der Verbrauch des Mitbetreibers ist Eigenverbrauch, keine Lieferung – der Kernvorteil der Teilmiete; Bruchteilslogik erfordert eindeutige Zählerkonzepte; Betreiberrisiken des Teilmieters werden im Innenverhältnis auf den Hauptbetreiber übertragen; BGH 13.05.2025 zur Kundenanlage beachten; § 51/§ 51a; § 9</t>
  </si>
  <si>
    <t>I = B_Haupt  |  G  |  V_M = B_Mit, 3 Parteien</t>
  </si>
  <si>
    <t>Anteiliger Eigenverbrauch des Mitbetreibers (Mieter/Nachbar), Überschuss ins Netz</t>
  </si>
  <si>
    <t>I=B_Haupt: Teilmietentgelt + Einspeisevergütung; G: Flächenentgelt – modellabhängig konfigurierbar; B_Mit=V_M: vermiedener Netzbezug</t>
  </si>
  <si>
    <t>I=B_Haupt: Investition + Betriebskosten + Flächenentgelt an G; B_Mit: Teilmiete + Reststrom</t>
  </si>
  <si>
    <t>wie Modell 1; drei Parteien; bei Belieferung eines Nachbargebäudes zusätzlich Netzdurchleitung und Kundenanlagenfrage prüfen</t>
  </si>
  <si>
    <t>I = B_Haupt = G  |  V_M = B_Mit, 2 Parteien</t>
  </si>
  <si>
    <t>Anteiliger Eigenverbrauch des Mitbetreibers, Überschuss ins Netz</t>
  </si>
  <si>
    <t>I=B_Haupt=G: Teilmietentgelt + Einspeisevergütung; B_Mit=V_M: vermiedener Netzbezug</t>
  </si>
  <si>
    <t>I=B_Haupt=G: Investition + Betriebskosten; B_Mit: Teilmiete + Reststrom</t>
  </si>
  <si>
    <t>wie Modell 1; Investor stellt die eigene Fläche – schlankste Variante der Familie</t>
  </si>
  <si>
    <t>I = B_Haupt = G = V_G  |  V_M = B_Mit, 2 Parteien</t>
  </si>
  <si>
    <t>Eigenverbrauch des Investors und anteiliger Eigenverbrauch des Mitbetreibers, Überschuss ins Netz</t>
  </si>
  <si>
    <t>I=B_Haupt=G=V_G: vermiedener Netzbezug + Teilmietentgelt + Einspeisevergütung; B_Mit=V_M: vermiedener Netzbezug</t>
  </si>
  <si>
    <t>I=B_Haupt=G=V_G: Investition + Betriebskosten + Reststrom; B_Mit: Teilmiete + Reststrom</t>
  </si>
  <si>
    <t>wie Modell 1; zwei Eigenverbrauchsströme aus einer Anlage – die Aufteilung in Schritt 2 der Rechenlogik ist hier der kritische Punkt</t>
  </si>
  <si>
    <t>I = B_Haupt  |  G = V_G = B_Mit  |  V_M = B_Mit, 3 Parteien mit zwei Mitbetreibern</t>
  </si>
  <si>
    <t>Anteiliger Eigenverbrauch zweier Mitbetreiber, Überschuss ins Netz durch den Hauptbetreiber</t>
  </si>
  <si>
    <t>I=B_Haupt: Teilmietentgelte beider Mitbetreiber + Einspeisevergütung; beide B_Mit: jeweils vermiedener Netzbezug; G=V_G zusätzlich Flächengestattung – modellabhängig konfigurierbar</t>
  </si>
  <si>
    <t>I=B_Haupt: Investition + Betriebskosten; beide B_Mit: jeweils Teilmiete + Reststrom</t>
  </si>
  <si>
    <t>wie Modell 1; komplexeste Konstellation des Katalogs: drei Anteilsgruppen an einer Anlage, entsprechend anspruchsvolles Messkonzept (virtuelle Zählpunkte, Kaskade oder virtuelles Summenzählermodell)</t>
  </si>
  <si>
    <t>Die Spalten „Stromverwertung“, „Erlöse je Akteur“ und „Kosten je Akteur“ sind streng aus den wörtlichen Modellbeschreibungen des Blattes „Betreibermodelle“ abgeleitet; wo eine Beschreibung einen Aspekt offenlässt, steht „modellabhängig konfigurierbar“. Die Vergütungs- und Rechtsangaben stammen aus den Blättern „Vergütungssätze“ und „Erlöswege“ [1][2][4][29].</t>
  </si>
  <si>
    <t>M1 – Die Rechenlogik in sechs Schritten</t>
  </si>
  <si>
    <t>Schema: kWp × spezifischer Jahresertrag → Strommenge je Jahr (mit Leistungsminderung) → Aufteilung auf die Verwertungswege → je Weg ein Satz oder Preis → Erlöse; parallel Investition + Betriebskosten + Finanzierung + Steuern → Kosten; beides monatsgenau je Akteur zusammengeführt → Kennzahlen je Akteur. — Entscheidend ist, dass die Schritte 1, 3 und 4 modellunabhängig gleich sind und erst die Schritte 2, 5 und 6 das Betreibermodell abbilden: Das Modell bestimmt, wohin der Strom fließt und zwischen wem das Geld fließt – nicht, wie viel Strom erzeugt wird [22][29].</t>
  </si>
  <si>
    <t>Schritt</t>
  </si>
  <si>
    <t>Bezeichnung</t>
  </si>
  <si>
    <t>Modellabhängigkeit</t>
  </si>
  <si>
    <t>Ertragsermittlung</t>
  </si>
  <si>
    <t>modellunabhängig</t>
  </si>
  <si>
    <t>Nennleistung in kWp × spezifischer Jahresertrag in kWh/kWp = Jahresstrommenge; der spezifische Ertrag stammt aus dem PVGIS-Hilfsrechner (Standort, Modultechnik, Performance Ratio, Ausrichtung, Neigung) oder aus eigener Eingabe. Darauf wird die Leistungsminderung über die Betrachtungsdauer angewendet; diese entspricht standardmäßig dem EEG-Vergütungszeitraum (20 Jahre zzgl. Inbetriebnahmemonate des ersten Jahres), ist aber frei setzbar. Fallbeispiel: 30,00 kWp × 1.078 kWh/kWp = 32.340 kWh/a, Leistungsminderung 5,00 %.</t>
  </si>
  <si>
    <t>PV-Stromaufteilung</t>
  </si>
  <si>
    <t>modellabhängiger Kern</t>
  </si>
  <si>
    <t>Die Jahresstrommenge wird je Zeitabschnitt auf die Verwertungskategorien aufgeteilt: Eigenverbrauch des Betreibers (bei Speicher zzgl. Speicherverluste), EEG-vergütete Netzeinspeisung, geförderte Direktvermarktung im Marktprämienmodell, Ausschreibungsmodell, EEG-vergütete Ausnahmefälle, sonstige Direktvermarktung und freier Vergütungssatz – per Lastprofilsimulation oder manuell in Prozent. Genau hier wirkt das Betreibermodell: Volleinspeisung kennt nur die Netzeinspeisung, ein Überschussmodell teilt zwischen Eigenverbrauch und Einspeisung, ein Liefermodell führt zusätzlich die gelieferte Menge, ein Teilmietmodell verteilt den Eigenverbrauchsanteil auf mehrere Mitbetreiber.</t>
  </si>
  <si>
    <t>Erlösrechnung je Kategorie</t>
  </si>
  <si>
    <t>modellunabhängige Sätze, modellabhängige Mengen</t>
  </si>
  <si>
    <t>Je Kategorie wird ein Satz angesetzt: EEG-Sätze aus der hinterlegten Vergütungstabelle (abhängig von Inbetriebnahmedatum, Anlagenart und Größenklassenmischung nach § 23c EEG – siehe Blatt „Vergütungssätze“); editierbare Sätze für sonstige Direktvermarktung, freien Vergütungssatz, Marktwert Solar und Mieterstromzuschlag; bei Stromlieferung der Lieferpreis aus dem Hilfsrechner × gelieferte Menge. Beim Verbraucher tritt an die Stelle eines Erlöses der vermiedene Netzbezug: Netzstrompreis inkl. Steigerungsrate × Eigenverbrauchsmenge – in Eigenverbrauchs- und Mietmodellen regelmäßig der größte Ergebnisbeitrag.</t>
  </si>
  <si>
    <t>Kostenrechnung</t>
  </si>
  <si>
    <t>modellunabhängig, Kostenträger modellabhängig</t>
  </si>
  <si>
    <t>Investition netto oder brutto je Umsatzsteuerstatus (Nullsteuersatz § 12 Abs. 3 UStG bei Kauf ≤ 30 kWp gegenüber Regelbesteuerung mit 19 % und Vorsteuerabzug). Betriebskosten nach Posten (Wartung, Überwachung, Mess- und Abrechnungskosten, Versicherung, Verwaltung, Sonstiges), wahlweise €/a oder Prozent der Investition, mit eigenen Steigerungsraten; entscheidend ist die Kostenträgerwahl Investor oder Betreiber. Hinzu kommen Finanzierung (Eigenkapital, bis zu zwei Kredite, Kalkulationszinssatz), Rückbaukosten, Restwert und die Steuern je Akteur (Ertragsteuereinbezug, AfA, Investitionsabzugsbetrag, Sonderabschreibung, Umsatzsteuerveranlagung, Kleinunternehmerregelung).</t>
  </si>
  <si>
    <t>Zahlungsstromrechnung</t>
  </si>
  <si>
    <t>modellabhängig – monatsgenau je Akteur</t>
  </si>
  <si>
    <t>Alle Zahlungen werden monatsgenau über die Betrachtungsdauer den bis zu vier Akteuren zugeordnet. Modellabhängig fließen zwischen den Akteuren: Anlagenmiete und Teilmiete vom Betreiber zum Investor, Dachmiete oder Flächenpacht vom Betreiber zum Grund-/Gebäudeeigentümer (standardmäßig nicht umsatzsteuerbar, seit Version 9.2.0), Stromlieferungsentgelte vom Verbraucher zum Betreiber sowie der Reststrombezug vom Verbraucher zum Energieversorger. Diese vier Zahlungsarten sind das eigentliche Unterscheidungsmerkmal der 25 Modelle.</t>
  </si>
  <si>
    <t>Kennzahlen je Akteur</t>
  </si>
  <si>
    <t>modellabhängige Verteilung</t>
  </si>
  <si>
    <t>Ermittelt werden interner Zinsfuß, IRR nach Baldwin, Kapitalwert (mit Kalkulationszinssatz), Liquiditätsüberschuss, Discounted Cash Flow, statische und dynamische Amortisation, PV-Stromgestehungskosten mit und ohne Kalkulationszins, Eigenverbrauchs- und Autarkiequote sowie – als zentrale Beraterkennzahl – der „Vorteil/Nachteil durch PV“: die Differenz der gesamten Zahlungs- und Stromkostensituation mit PV gegenüber dem Basisszenario ohne PV. Weil diese Kennzahl je Akteur berechnet wird, lässt sich in Modellen mit mehreren Parteien zeigen, ob eine Konstruktion für alle Beteiligten vorteilhaft ist.</t>
  </si>
  <si>
    <t>Modellwechsel als methodisches Instrument: Je Plan lassen sich bis zu vier Betreibermodelle zeitlich nacheinander abbilden – ersetzend oder zeitlich vor- beziehungsweise nachgelagert. Der Hilfetext des Werkzeugs nennt den steuerlich motivierten Standardfall: Bei der Kombination der PV-Miete mit Investitionsabzugsbetrag und Sonderabschreibung beginnt man üblicherweise mit dem Betreibermodell Volleinspeisung und wechselt zu Beginn des dritten Kalenderjahres in das Modell PV-Miete. Methodisch bedeutet ein Modellwechsel, dass die Schritte 2, 5 und 6 abschnittsweise mit unterschiedlichen Regeln gerechnet werden, während die Anlagendaten aus Schritt 1 unverändert bleiben [29].</t>
  </si>
  <si>
    <t>K – Kennzahlen-Herleitung: lebendes Rechenblatt für beide Pläne</t>
  </si>
  <si>
    <t>Jede Zahl dieses Blattes ist eine Formel aus dem Eingabeblock – der Berater kann jeden Parameter variieren, die Kennzahlen rechnen mit. Grundlage: Teil K des Master-Dokuments · Stand 25.08.2026 · alle Beträge netto</t>
  </si>
  <si>
    <t>1  Eingabeblock – nur die hell hinterlegten Zellen mit blauer Schrift ändern (alle übrigen Zellen sind Formeln)</t>
  </si>
  <si>
    <t>Vorbelegt mit den Werten des Projekts „INEKON Schulung 01“ (Teil C1–C3). Ändert man eine Eingabezelle, rechnen die Jahrestabellen und der Kennzahlenblock automatisch neu. Die Spalte „Tool-Wert (pv@now)“ im Kennzahlenblock bleibt dabei unverändert – sie ist der dokumentierte Referenzwert des Werkzeugs und gilt nur für die hier vorbelegten Eingaben.</t>
  </si>
  <si>
    <t>Parameter (Anlage und Rechenrahmen, für beide Pläne)</t>
  </si>
  <si>
    <t>Einheit</t>
  </si>
  <si>
    <t>Wert</t>
  </si>
  <si>
    <t>Erläuterung / Herkunft des Vorgabewerts</t>
  </si>
  <si>
    <t>Nennleistung</t>
  </si>
  <si>
    <t>kWp</t>
  </si>
  <si>
    <t>Projektwert C1 · Anlage auf Gebäude, Aufdach, Süd 30°</t>
  </si>
  <si>
    <t>Spezifischer Jahresertrag</t>
  </si>
  <si>
    <t>kWh/(kWp·a)</t>
  </si>
  <si>
    <t>PVGIS-Hilfsrechner Stuttgart, Performance Ratio 86 % (C1)</t>
  </si>
  <si>
    <t>Leistungsminderung gesamt</t>
  </si>
  <si>
    <t>%</t>
  </si>
  <si>
    <t>über die gesamte Betrachtungsdauer, verteilt in gleichen Jahresstufen (K3.3)</t>
  </si>
  <si>
    <t>Investition je kWp</t>
  </si>
  <si>
    <t>€/kWp</t>
  </si>
  <si>
    <t>netto, 100 % Eigenkapital, kein Speicher, kein Rückbau, kein Restwert (C1)</t>
  </si>
  <si>
    <t>Investition gesamt</t>
  </si>
  <si>
    <t>€</t>
  </si>
  <si>
    <t>Formel: = Nennleistung × Investition je kWp = 30,00 kWp × 1.800 €/kWp = 54.000 € (C1) ✓</t>
  </si>
  <si>
    <t>Kalkulationszinssatz (KZS)</t>
  </si>
  <si>
    <t>Opportunitätskosten des Eigenkapitals; zugleich Diskontierungszins von Kapitalwert und Stromgestehungskosten (C1)</t>
  </si>
  <si>
    <t>Laufzeit (volle Betriebsjahre)</t>
  </si>
  <si>
    <t>Jahre</t>
  </si>
  <si>
    <t>EEG-Vergütungszeitraum ohne die Monate des Inbetriebnahmejahres</t>
  </si>
  <si>
    <t>zzgl. Inbetriebnahmemonate</t>
  </si>
  <si>
    <t>Monate</t>
  </si>
  <si>
    <t>§ 25 Abs. 1 EEG: 20 Jahre zuzüglich der Inbetriebnahmemonate; IBN 3/2023 → 10 Monate. Auf 0 setzen für eine reine 20-Jahres-Rechnung</t>
  </si>
  <si>
    <t>Gesamtdauer der Betrachtung</t>
  </si>
  <si>
    <t>Gesamtstrombedarf ohne PV</t>
  </si>
  <si>
    <t>kWh/a</t>
  </si>
  <si>
    <t>Lastprofil G4 (C2); Bezugsgröße des Autarkiegrads</t>
  </si>
  <si>
    <t>1b  Planspezifische Eingaben – je Plan eine eigene Spalte</t>
  </si>
  <si>
    <t>Parameter (je Plan)</t>
  </si>
  <si>
    <t>Plan „Überschuss“
(PV-Überschuss-Einspeisung 1)</t>
  </si>
  <si>
    <t>Plan „Volleinspeisung“
(PV-Netz-Einspeisung 1)</t>
  </si>
  <si>
    <t>Eigenverbrauchsquote</t>
  </si>
  <si>
    <t>⚠ Bei Änderung der Nennleistung (E7) manuell anpassen – die Quote rechnet NICHT automatisch mit. Ergebnis der Lastprofilsimulation: 26.962 von 32.340 kWh = 83,4 % (C2); Volleinspeisung hat keinen Eigenverbrauch</t>
  </si>
  <si>
    <t>Einspeisequote (= 1 − Eigenverbrauchsquote)</t>
  </si>
  <si>
    <t>Formel: = 1 − Eigenverbrauchsquote. Überschuss 16,6 % (5.378 kWh), Volleinspeisung 100 % (32.340 kWh) (C2)</t>
  </si>
  <si>
    <t>Einspeisesatz (feste EEG-Einspeisevergütung)</t>
  </si>
  <si>
    <t>ct/kWh</t>
  </si>
  <si>
    <t>⚠ Bei Änderung der Nennleistung (E7) manuell anpassen – der Mischsatz nach § 23c EEG hängt von der Leistung ab; Rechner dafür im Blatt „Vergütungssätze“, Block 6. Mischsätze 30 kWp, IBN 3/2023 (C3): Teileinspeisung 7,47 · Volleinspeisung 7,47 + 4,13 Zuschlag § 48 Abs. 2a = 11,60. Bei IBN 08/2026 wären es 7,01 bzw. 10,90 ct/kWh (B2)</t>
  </si>
  <si>
    <t>Betriebskosten</t>
  </si>
  <si>
    <t>€/a</t>
  </si>
  <si>
    <t>Formel, damit die Herkunft sichtbar ist und die Wartung bei einer Änderung von E7 oder E10 mitrechnet. Überschuss: 1 % der Nettoinvestition (= 540 €) + Versicherung 500 + Verwaltung 1.000 = 2.040 €. Volleinspeisung: Messung 100 + Versicherung 500 + Verwaltung 1.000 = 1.600 € (C2). Kostenträger Betreiber, keine Steigerungsrate. Für ein reales Projekt darf die Formel durch einen Festwert ersetzt werden</t>
  </si>
  <si>
    <t>Netzstrompreis im Startjahr</t>
  </si>
  <si>
    <t>Verbrauchssituation vor PV (C2). Im Plan „Volleinspeisung“ ohne Wirkung, weil die Eigenverbrauchsquote null ist</t>
  </si>
  <si>
    <t>Preissteigerung Netzstrom</t>
  </si>
  <si>
    <t>%/a</t>
  </si>
  <si>
    <t>Sprung zu jedem Jahreswechsel; Laufzeitmittel im Werkzeug 45,83 ct/kWh (C4)</t>
  </si>
  <si>
    <t>Kontrolle: Cashflow eines vollen Referenzjahres zu Startkonditionen</t>
  </si>
  <si>
    <t>Formel: = Erzeugung × Einspeisequote × Einspeisesatz + Erzeugung × Eigenverbrauchsquote × Netzstrompreis − Betriebskosten. Soll nach K3.2: 6.450,34 € (Überschuss) und 2.151,44 € (Volleinspeisung). Das Blatt liefert 6.452,49 € bzw. 2.151,44 € ✓; die Differenz von 2,15 € im Plan „Überschuss“ stammt allein aus der auf 83,4 % gerundeten Eigenverbrauchsquote (exakt 26.962 / 32.340 = 83,37 %) und ist kein Rechenfehler</t>
  </si>
  <si>
    <t>2  Jahrestabelle Plan „Überschuss“ – Betreibermodell PV-Überschuss-Einspeisung 1 (I = B = G = V_G, alle Rollen bei einem Akteur)</t>
  </si>
  <si>
    <t>Alle Zellen sind Formeln aus dem Eingabeblock. Zeile t = 0 trägt die Investition. Der Zeitanteil eines Jahres ergibt sich aus der Gesamtdauer (Zelle E15): volle Jahre = 1,00, das letzte angebrochene Jahr anteilig – Zeile t = 21 bildet damit die 10 Inbetriebnahmemonate ab. Erzeugung = kWp × spez. Ertrag × Leistungsminderungsfaktor × Zeitanteil.</t>
  </si>
  <si>
    <t>Jahr t</t>
  </si>
  <si>
    <t>Erzeugung
(kWh)</t>
  </si>
  <si>
    <t>Eigenverbrauch
(kWh)</t>
  </si>
  <si>
    <t>Einspeisung
(kWh)</t>
  </si>
  <si>
    <t>Erlös Einspeisung
(€)</t>
  </si>
  <si>
    <t>vermiedener
Netzbezug (€)</t>
  </si>
  <si>
    <t>Betriebskosten
(€)</t>
  </si>
  <si>
    <t>Cashflow
(€)</t>
  </si>
  <si>
    <t>kumuliert
(€)</t>
  </si>
  <si>
    <t>Diskont-
faktor</t>
  </si>
  <si>
    <t>Barwert
(€)</t>
  </si>
  <si>
    <t>kumulierter
Barwert (€)</t>
  </si>
  <si>
    <t>Zeitanteil
des Jahres</t>
  </si>
  <si>
    <t>Netzstrompreis
(ct/kWh)</t>
  </si>
  <si>
    <t>Σ</t>
  </si>
  <si>
    <t>Lesehilfe der Summenzeile: Spalte H = Liquiditätsüberschuss (Σ aller Cashflows einschließlich der Investition) · Spalte K = Kapitalwert (Σ aller Barwerte) · Spalte M = Gesamtdauer in Jahren · Spalte N = mit dem Zeitanteil gewichteter mittlerer Netzstrompreis.</t>
  </si>
  <si>
    <t>3  Jahrestabelle Plan „Volleinspeisung“ – Betreibermodell PV-Netz-Einspeisung 1 (I = B = G, keine Verbrauchsrolle)</t>
  </si>
  <si>
    <t>4  Kennzahlen je Plan – vom Blatt berechnet, dem dokumentierten Tool-Wert gegenübergestellt</t>
  </si>
  <si>
    <t>Die Spalten „Blatt“ sind Excel-Formeln auf die beiden Jahrestabellen (Formeln in der Spalte „Rechenweg“ genannt). Die Spalten „Tool“ enthalten die in Teil C4/K3.5 dokumentierten Werte aus pv@now [29] und sind feste Vergleichswerte. Zur Einordnung der Abweichung siehe Abschnitt 5 unter der Tabelle.</t>
  </si>
  <si>
    <t>Kennzahl</t>
  </si>
  <si>
    <t>Blatt:
Überschuss</t>
  </si>
  <si>
    <t>Tool:
Überschuss</t>
  </si>
  <si>
    <t>Abweichung
Überschuss</t>
  </si>
  <si>
    <t>Blatt:
Volleinspeisung</t>
  </si>
  <si>
    <t>Tool:
Volleinspeisung</t>
  </si>
  <si>
    <t>Abweichung
Volleinspeisung</t>
  </si>
  <si>
    <t>Rechenweg im Blatt</t>
  </si>
  <si>
    <t>Liquiditätsüberschuss</t>
  </si>
  <si>
    <t>Formel: = SUMME aller Cashflows einschließlich der Investition (Spalte H, Zeilen t = 0…21)</t>
  </si>
  <si>
    <t>Kapitalwert (NBW / NPV)</t>
  </si>
  <si>
    <t>Formel: = NBW(KZS; Cashflows t = 1…21) + Cashflow t = 0; Gegenprobe: Summe der Barwerte in Spalte K</t>
  </si>
  <si>
    <t>Interner Zinsfuß (IKV / IRR)</t>
  </si>
  <si>
    <t>Formel: = IKV(Cashflows t = 0…21); der Zinssatz, bei dem der Kapitalwert null wird</t>
  </si>
  <si>
    <t>Statische Amortisation</t>
  </si>
  <si>
    <t>keine</t>
  </si>
  <si>
    <t>Formel: = VERGLEICH(0; kumulierte Cashflows; 1) – die Position des letzten negativen Saldos ist zugleich das erste Jahr mit kumuliert ≥ 0</t>
  </si>
  <si>
    <t>Dynamische Amortisation</t>
  </si>
  <si>
    <t>Formel: = VERGLEICH(0; kumulierte Barwerte; 1) – dieselbe Logik auf der diskontierten Reihe</t>
  </si>
  <si>
    <t>PV-Stromgestehungskosten (mit KZS)</t>
  </si>
  <si>
    <t>Formel: = (Investition + Σ diskontierte Betriebskosten) / Σ diskontierte Erzeugung × 100; Ausgaben UND Strommenge diskontiert (pv@now-Definition)</t>
  </si>
  <si>
    <t>PV-Stromgestehungskosten (KZS = 0 %)</t>
  </si>
  <si>
    <t>Formel: = (Investition + Σ Betriebskosten) / Σ Erzeugung × 100, beides undiskontiert – der für den Vergleich mit einem Vergütungssatz geeignete Wert</t>
  </si>
  <si>
    <t>Formel: = Σ Eigenverbrauch / Σ Erzeugung – Anteil an der ERZEUGUNG</t>
  </si>
  <si>
    <t>Solare Deckung (Autarkiegrad)</t>
  </si>
  <si>
    <t>nicht anwendbar</t>
  </si>
  <si>
    <t>Formel: = Σ Eigenverbrauch / (Gesamtstrombedarf × Gesamtdauer) – Anteil am VERBRAUCH; beantwortet eine andere Frage als die Eigenverbrauchsquote</t>
  </si>
  <si>
    <t>Vorteil durch PV, je Jahr</t>
  </si>
  <si>
    <t>nicht ausgewiesen</t>
  </si>
  <si>
    <t>Formel: = Liquiditätsüberschuss / Gesamtdauer. Bei Personalunion I = B = G = V_G entspricht der Liquiditätsüberschuss dem Vorteil gegenüber „ohne PV“</t>
  </si>
  <si>
    <t>Netz-Strompreis Ø netto über die Laufzeit</t>
  </si>
  <si>
    <t>Formel: = mit dem Zeitanteil gewichteter Mittelwert der Spalte N (Summenzeile)</t>
  </si>
  <si>
    <t>Erzeugung über die Laufzeit</t>
  </si>
  <si>
    <t>kWh</t>
  </si>
  <si>
    <t>Formel: = SUMME der Spalte B. Tool-Wert nicht direkt ausgewiesen, sondern aus drei Tool-Kennzahlen zurückgerechnet (K3.1)</t>
  </si>
  <si>
    <t>Cashflow des ersten Jahres</t>
  </si>
  <si>
    <t>Formel: = Zeile t = 1 der Jahrestabelle; Soll nach K3.2 (Referenzjahr zu Startkonditionen)</t>
  </si>
  <si>
    <t>Betrachtungsdauer</t>
  </si>
  <si>
    <t>Formel: = Laufzeit + Inbetriebnahmemonate / 12; Werkzeug: 250 Monate = 20,8333 Jahre</t>
  </si>
  <si>
    <t>Kontrolle des Blattes</t>
  </si>
  <si>
    <t>Prüfung</t>
  </si>
  <si>
    <t>5  Fußnote: warum dieses Blatt vom Werkzeug abweicht</t>
  </si>
  <si>
    <t>Dieses Blatt rechnet JAHRESWEISE und damit bewusst vereinfacht; pv@now rechnet MONATSGENAU über 250 Monate. Die Abweichungen in der Tabelle oben sind die Folge dieser Vereinfachung und keine Fehler.</t>
  </si>
  <si>
    <t>Drei Vereinfachungen erklären den Abstand: (1) Zeitraster – hier ein Cashflow je Jahr zum Jahresende, im Werkzeug 250 Monatswerte mit monatlicher Diskontierung; (2) Rumpfjahr – das Werkzeug verteilt den Ertrag der zehn Inbetriebnahmemonate 3–12/2023 saisonal (92,07 % eines vollen Jahres), dieses Blatt bildet die Monate als anteiliges Jahr am Ende der Reihe ab; (3) Eigenverbrauchsquote – im Werkzeug schwankt sie über das Jahr (Winter nahe 100 %, Sommer deutlich niedriger), hier ist sie konstant.</t>
  </si>
  <si>
    <t>Brücke zur Word- und HTML-Fassung: Deren Teil K3.5 weist die MONATSGENAU gerechneten Werte aus – für den Plan „Überschuss“ einen Liquiditätsüberschuss von 162.255 €, einen Kapitalwert von 92.572 € und einen internen Zinsfuß von 16,15 %. Dieses Blatt rechnet bewusst jahresweise vereinfacht und liefert deshalb 160.075 € / 88.487 € / 14,74 %; der Abstand ist die Vereinfachung, nicht ein Fehler.</t>
  </si>
  <si>
    <t>Das monatsgenaue Vergleichsmodell zu Teil K3 erreicht gegenüber den Tool-Werten eine mittlere Abweichung von 0,20 % über zwanzig Kennzahlen; die vollständige Verifikationstabelle mit der Ursachenanalyse steht in Teil K3.5 der Word- und HTML-Fassung. Dieses Blatt liegt naturgemäß darüber – Vorzeichen, Größenordnung und beide Amortisationsaussagen stimmen jedoch überein.</t>
  </si>
  <si>
    <t>Was das Blatt NICHT abbildet: Umsatzsteuer und Ertragsteuereffekte (E9, E10), Kapitaldienst (A4), Rückbau und Restwert (A5), Speicher, Direktvermarktung sowie eine Steigerungsrate der Betriebskosten. Für das Fallbeispiel sind alle diese Bausteine null (C1, C2); für ein reales Projekt sind sie in pv@now zu erfassen. — Wird die Nennleistung (E7) geändert, sind Eigenverbrauchsquote (E20) und Einspeisesatz (E22 – Mischsatz nach § 23c EEG, siehe Blatt „Vergütungssätze“, Block 6) neu zu bestimmen; sie rechnen nicht automatisch mit. Die Betriebskosten (E23/F23) rechnen dagegen mit, weil dort die Wartung als 1 % der Nettoinvestition hinterlegt ist.</t>
  </si>
  <si>
    <t>Vergleichbarkeitsregel: Kennzahlen sind nur zwischen Plänen DESSELBEN Akteurs und DERSELBEN Betrachtungsdauer vergleichbar (K2). Der Kapitalwert ist keine Eigenschaft des Projekts, sondern eines Akteurs im Projekt.</t>
  </si>
  <si>
    <t>Keine Steuer- oder Rechtsberatung. Die Vorbelegung ist ein Schulungsbeispiel mit Inbetriebnahme 3/2023 und keine Angebotskalkulation. Datenstand 25.08.2026.</t>
  </si>
  <si>
    <t>K1 – Kennzahlen-Bausteine: von der Modellwahl zum Zahlungsstrom</t>
  </si>
  <si>
    <t>Das Betreibermodell entscheidet, WELCHE Zahlungsstrom-Bausteine auftreten und bei WELCHEM Akteur sie mit welchem Vorzeichen gebucht werden. Fünfzehn Bausteine genügen für alle 25 Modelle des Katalogs. · Stand 25.08.2026</t>
  </si>
  <si>
    <t>1  Bausteinkatalog – zehn Einnahmenbausteine (E) und fünf Ausgabenbausteine (A)</t>
  </si>
  <si>
    <t>Code</t>
  </si>
  <si>
    <t>Baustein</t>
  </si>
  <si>
    <t>Richtung / Vorzeichen</t>
  </si>
  <si>
    <t>Bei welchem Akteur</t>
  </si>
  <si>
    <t>Bemessungsgrundlage</t>
  </si>
  <si>
    <t>Fundstelle / Grundlage</t>
  </si>
  <si>
    <t>E1</t>
  </si>
  <si>
    <t>EEG-Einspeisevergütung</t>
  </si>
  <si>
    <t>+ Einnahme</t>
  </si>
  <si>
    <t>Betreiber B</t>
  </si>
  <si>
    <t>eingespeiste Menge × fester Satz (§ 48), zuzüglich Zuschlag § 48 Abs. 2a bei Volleinspeisung</t>
  </si>
  <si>
    <t>§ 21 Abs. 1 Nr. 1, § 48, § 53 Abs. 1 Nr. 2 EEG</t>
  </si>
  <si>
    <t>E2</t>
  </si>
  <si>
    <t>Marktprämie und Spotvermarktung</t>
  </si>
  <si>
    <t>+ Einnahme; Vermarktungspauschale − Ausgabe</t>
  </si>
  <si>
    <t>eingespeiste Menge × (anzulegender Wert − Jahresmarktwert Solar) zuzüglich Spoterlös, abzüglich Vermarktungspauschale</t>
  </si>
  <si>
    <t>§ 20, § 23a i. V. m. Anlage 1 EEG</t>
  </si>
  <si>
    <t>E3</t>
  </si>
  <si>
    <t>Betreiber B – nur Anlagen über 100 kW</t>
  </si>
  <si>
    <t>eingespeiste Menge × 80 % des anzulegenden Wertes; höchstens 3 aufeinanderfolgende und 6 Monate je Kalenderjahr</t>
  </si>
  <si>
    <t>E4</t>
  </si>
  <si>
    <t>Betreiber B – nur bei Lieferung</t>
  </si>
  <si>
    <t>gelieferte Menge × Zuschlagssatz (Leistungsklassen bis 10 / 40 / 1.000 kW, anteilig gemischt)</t>
  </si>
  <si>
    <t>§ 19 Abs. 1 Nr. 3, § 21 Abs. 3, § 48a EEG</t>
  </si>
  <si>
    <t>E5</t>
  </si>
  <si>
    <t>Stromlieferentgelt</t>
  </si>
  <si>
    <t>+ beim B · − beim V</t>
  </si>
  <si>
    <t>Betreiber B (+), Verbraucher V (−)</t>
  </si>
  <si>
    <t>gelieferte Menge × vereinbarter Lieferpreis</t>
  </si>
  <si>
    <t>Liefervertrag; bei Mieterstrom Preisdeckel § 42a EnWG</t>
  </si>
  <si>
    <t>E6</t>
  </si>
  <si>
    <t>vermiedener Netzbezug (kalkulatorisch)</t>
  </si>
  <si>
    <t>+ Einnahme (vermiedene Zahlung)</t>
  </si>
  <si>
    <t>Verbraucher V – wirkt nur bei Personenidentität mit B bzw. B_Mit</t>
  </si>
  <si>
    <t>Eigenverbrauchsmenge × Netzstrompreis des jeweiligen Jahres</t>
  </si>
  <si>
    <t>keine EEG-Zahlung, sondern kalkulatorische Größe</t>
  </si>
  <si>
    <t>E7</t>
  </si>
  <si>
    <t>Anlagenmiete / Teilmiete</t>
  </si>
  <si>
    <t>+ beim I (Teilmiete: + beim B_Haupt) · − beim B bzw. B_Mit</t>
  </si>
  <si>
    <t>Investor I (+), Betreiber B (−)</t>
  </si>
  <si>
    <t>vereinbarte Miete je Monat oder Jahr (Hilfsrechner PV-Miete im Werkzeug)</t>
  </si>
  <si>
    <t>Mietvertrag; DGS-Vertragssystematik „PV-Mieten Plus“ (A3)</t>
  </si>
  <si>
    <t>E8</t>
  </si>
  <si>
    <t>Dach- / Flächenpacht</t>
  </si>
  <si>
    <t>+ beim G · − beim I oder B</t>
  </si>
  <si>
    <t>Gebäude- bzw. Flächeneigentümer G (+)</t>
  </si>
  <si>
    <t>vereinbartes Gestattungsentgelt</t>
  </si>
  <si>
    <t>Gestattungs- bzw. Pachtvertrag</t>
  </si>
  <si>
    <t>E9</t>
  </si>
  <si>
    <t>Umsatzsteuer</t>
  </si>
  <si>
    <t>± je Akteur nach dessen Umsatzsteuerstatus</t>
  </si>
  <si>
    <t>alle Akteure</t>
  </si>
  <si>
    <t>Vorsteuer auf Investition und Betriebskosten, Umsatzsteuer auf Lieferung und Einspeisung</t>
  </si>
  <si>
    <t>UStG; Nullsteuersatz § 12 Abs. 3 UStG</t>
  </si>
  <si>
    <t>E10</t>
  </si>
  <si>
    <t>Ertragsteuereffekte</t>
  </si>
  <si>
    <t>± beim I – nur bei aktiviertem Ertragsteuereinbezug</t>
  </si>
  <si>
    <t>Investor I</t>
  </si>
  <si>
    <t>Abschreibung, Investitionsabzugsbetrag, Sonderabschreibung, Ertragsteuer auf das Betriebsergebnis</t>
  </si>
  <si>
    <t>§§ 7, 7g EStG</t>
  </si>
  <si>
    <t>A1</t>
  </si>
  <si>
    <t>Investition</t>
  </si>
  <si>
    <t>− Ausgabe in t = 0</t>
  </si>
  <si>
    <t>Anschaffungs- und Errichtungskosten, netto oder brutto</t>
  </si>
  <si>
    <t>Angebot / Kalkulation (pv@now-Eingabe)</t>
  </si>
  <si>
    <t>A2</t>
  </si>
  <si>
    <t>− Ausgabe</t>
  </si>
  <si>
    <t>Investor I ODER Betreiber B – Kostenträgerwahl im Werkzeug</t>
  </si>
  <si>
    <t>Wartung, Überwachung, Mess- und Abrechnungskosten, Versicherung, Verwaltung, Sonstiges</t>
  </si>
  <si>
    <t>Kalkulation (pv@now-Eingabe); im Fallbeispiel Kostenträger Betreiber</t>
  </si>
  <si>
    <t>A3</t>
  </si>
  <si>
    <t>Reststrombezug</t>
  </si>
  <si>
    <t>Verbraucher V</t>
  </si>
  <si>
    <t>(Gesamtbedarf − Eigenverbrauch − gelieferte Menge) × Netzstrompreis</t>
  </si>
  <si>
    <t>Stromliefervertrag</t>
  </si>
  <si>
    <t>A4</t>
  </si>
  <si>
    <t>Kapitaldienst</t>
  </si>
  <si>
    <t>Zins und Tilgung, bis zu zwei Kredite je Plan</t>
  </si>
  <si>
    <t>Darlehensvertrag</t>
  </si>
  <si>
    <t>A5</t>
  </si>
  <si>
    <t>Rückbau und Restwert</t>
  </si>
  <si>
    <t>− bzw. +</t>
  </si>
  <si>
    <t>Investor I oder Betreiber B</t>
  </si>
  <si>
    <t>Endwert am Ende der Betrachtungsdauer</t>
  </si>
  <si>
    <t>Kalkulation (pv@now-Eingabe)</t>
  </si>
  <si>
    <t>Der Kernsatz zur Akteursbezogenheit: Kapitalwert, interner Zinsfuß, Amortisation und Vorteil durch PV sind keine Eigenschaften des PROJEKTS, sondern Eigenschaften eines AKTEURS im Projekt. Dasselbe Vorhaben trägt in einem Modell mit vier Parteien vier verschiedene Kennzahlensätze – der Investor sieht E7 als Einnahme, der Betreiber dieselbe Zahlung als Ausgabe. Nur bei Personalunion aller Rollen (I = B = G = V_G) ist „die Rendite des Projekts“ eine sinnvolle Formulierung.</t>
  </si>
  <si>
    <t>2  Matrix: welcher Baustein tritt in welcher Modellfamilie auf</t>
  </si>
  <si>
    <t>Abgeleitet aus den Zeilen „Stromverwertung“, „Erlöse je Akteur“ und „Kosten je Akteur“ der Methodik-Matrix M2 (Blatt „Methodik“). Legende: ✓ = tritt regelmäßig auf · ○ = optional oder nur in einzelnen Modellen der Familie · – = tritt nicht auf.</t>
  </si>
  <si>
    <t>PV-Netz-Einspeisung
(Modelle 1–2)</t>
  </si>
  <si>
    <t>PV-Überschuss-Einspeisung
(Modelle 1–2)</t>
  </si>
  <si>
    <t>PV-Stromlieferung
(Modelle 1–5)</t>
  </si>
  <si>
    <t>PV-Mieten
(Modelle 1–11)</t>
  </si>
  <si>
    <t>PV-Teil-Mieten
(Modelle 1–5)</t>
  </si>
  <si>
    <t>✓ (gesamte Menge, Pfad V)</t>
  </si>
  <si>
    <t>✓ (nur Überschuss, Pfad Ü)</t>
  </si>
  <si>
    <t>✓ (nur Überschuss)</t>
  </si>
  <si>
    <t>✓ (nur Überschuss, beim B_Haupt)</t>
  </si>
  <si>
    <t>Marktprämie / Spotvermarktung (ab 100 kWp Pflicht)</t>
  </si>
  <si>
    <t>○</t>
  </si>
  <si>
    <t>Ausfallvergütung (nur Anlagen über 100 kW)</t>
  </si>
  <si>
    <t>○ (Kernoption der Familie)</t>
  </si>
  <si>
    <t>○ (nur Modelle 4, 7, 9, 11)</t>
  </si>
  <si>
    <t>vermiedener Netzbezug</t>
  </si>
  <si>
    <t>✓ (der Ergebnisträger)</t>
  </si>
  <si>
    <t>○ (nur Modell 2)</t>
  </si>
  <si>
    <t>✓ (außer Modell 4)</t>
  </si>
  <si>
    <t>✓ (beim B_Mit, in Modell 4 zusätzlich beim B_Haupt)</t>
  </si>
  <si>
    <t>✓ (Teilmiete zusätzlich in 5, 6, 8, 10)</t>
  </si>
  <si>
    <t>✓ (als Teilmiete)</t>
  </si>
  <si>
    <t>○ (Modelle 3, 4, 5)</t>
  </si>
  <si>
    <t>○ (Modelle 2, 10, 11)</t>
  </si>
  <si>
    <t>○ (Modelle 1, 2, 5)</t>
  </si>
  <si>
    <t>✓ (zusätzlich auf die Lieferung)</t>
  </si>
  <si>
    <t>○ (Kernmotiv bei IAB / Sonder-AfA)</t>
  </si>
  <si>
    <t>✓ (beim I, getrennt vom Betreiber)</t>
  </si>
  <si>
    <t>✓ (zuzüglich Abrechnungsaufwand)</t>
  </si>
  <si>
    <t>– (keine Verbrauchsrolle)</t>
  </si>
  <si>
    <t>✓ (beim belieferten V)</t>
  </si>
  <si>
    <t>Rückbau / Restwert</t>
  </si>
  <si>
    <t>Die Matrix erklärt das Fallbeispiel in einer Zeile: Zwischen PV-Netz-Einspeisung 1 und PV-Überschuss-Einspeisung 1 unterscheidet sich genau EIN Baustein – E6. Er ist im Fallbeispiel rund sechsmal so viel wert wie der Einspeisesatz, den er teilweise ersetzt (45,80 gegenüber 7,47 ct/kWh im Laufzeitmittel, Verhältnis 6,1 : 1). Die gerechneten Folgen stehen im Blatt „Kennzahlen-Herleitung“.</t>
  </si>
  <si>
    <t>3  Wirkung eines Modellwechsels auf die Kennzahlen (K4)</t>
  </si>
  <si>
    <t>⚠ Qualitative Wirkungsrichtungen, keine gerechneten Ergebnisse. Jeder Wechsel erfordert eine eigene Plan-Rechnung im Werkzeug. Ausnahme ist die erste Zeile: Sie ist im Fallbeispiel tatsächlich durchgerechnet.</t>
  </si>
  <si>
    <t>Modellwechsel</t>
  </si>
  <si>
    <t>Bausteine, die hinzukommen</t>
  </si>
  <si>
    <t>Bausteine, die entfallen oder schrumpfen</t>
  </si>
  <si>
    <t>Wirkungsrichtung je Akteur</t>
  </si>
  <si>
    <t>1</t>
  </si>
  <si>
    <t>Volleinspeisung → Überschuss
(PV-Netz-Einspeisung 1 → PV-Überschuss-Einspeisung 1)</t>
  </si>
  <si>
    <t>E6 (vermiedener Netzbezug), A3 (Reststrombezug)</t>
  </si>
  <si>
    <t>E1 schrumpft: Satz 11,60 → 7,47 ct/kWh UND Menge 32.340 → 5.378 kWh</t>
  </si>
  <si>
    <t>I = B = G = V_G: der größte Hebel des gesamten Katalogs. Im Fallbeispiel gerechnet: Kapitalwert −22.979 € → +92.568 €, IRR −2,10 % → 15,99 %, aus „keine Amortisation“ werden 8 Jahre (Blatt „Projektvergleich“)</t>
  </si>
  <si>
    <t>2</t>
  </si>
  <si>
    <t>Überschuss → Stromlieferung
(→ PV-Stromlieferung 1, I = B = G | V_M)</t>
  </si>
  <si>
    <t>E5 (Lieferentgelt), optional E4 (Mieterstromzuschlag); A2 steigt um Mess- und Abrechnungsaufwand</t>
  </si>
  <si>
    <t>E6 entfällt beim Betreiber – er verbraucht nicht mehr selbst</t>
  </si>
  <si>
    <t>I = B = G: E5 liegt in aller Regel UNTER dem vollen Netzstrompreis, den E6 wert war → Kennzahlen sinken gegenüber dem Eigenverbrauchsfall, bleiben aber deutlich über der Volleinspeisung. V_M erhält erstmals eigene Kennzahlen. Zusätzlich: Versorgerpflichten, Umsatzsteuer auf die Lieferung, bei § 42a EnWG Vollversorgungsgebot und 90-%-Deckel</t>
  </si>
  <si>
    <t>3</t>
  </si>
  <si>
    <t>Überschuss → PV-Miete
(→ PV-Mieten 1, I | B = G = V_G)</t>
  </si>
  <si>
    <t>E7 (Anlagenmiete) – beim I als Einnahme, beim B als Ausgabe</t>
  </si>
  <si>
    <t>beim I entfallen E1 und E6 vollständig</t>
  </si>
  <si>
    <t>Aufspaltung eines Kennzahlensatzes in ZWEI. I: Kennzahlen hängen allein an der Miete – planbar, aber gedeckelt. B = G = V_G behält E1 und E6, zahlt E7. Die Summe beider Vorteile bleibt näherungsweise konstant – die Miete verteilt sie nur. Kernvorteil: keine Versorgerpflichten</t>
  </si>
  <si>
    <t>4</t>
  </si>
  <si>
    <t>Überschuss → PV-Teilmiete
(→ PV-Teil-Mieten 1, I = B_Haupt | G = V_G = B_Mit)</t>
  </si>
  <si>
    <t>E7 als Teilmiete beim B_Haupt; E6 anteilig beim B_Mit</t>
  </si>
  <si>
    <t>E6 entfällt beim B_Haupt in Höhe des vermieteten Anteils</t>
  </si>
  <si>
    <t>Wie die PV-Miete, aber teilbar: Der Hauptbetreiber behält Einspeisung und Teilmietentgelt, der Mitbetreiber erhält anteiligen Eigenverbrauch. Voraussetzung ist ein tragfähiges Zählerkonzept</t>
  </si>
  <si>
    <t>5</t>
  </si>
  <si>
    <t>feste Vergütung → geförderte Direktvermarktung
(Erlösmodell, kein Betreibermodellwechsel)</t>
  </si>
  <si>
    <t>E2 statt E1; A2 steigt um die Vermarktungspauschale</t>
  </si>
  <si>
    <t>E1 entfällt; die 60-%-Kappung nach § 9 Abs. 2 EEG entfällt ebenfalls</t>
  </si>
  <si>
    <t>Der anzulegende Wert liegt mit 7,87 ct/kWh um genau die gesetzliche Vermarktungspauschale von 0,40 ct/kWh über der festen Teileinspeisevergütung von 7,47 ct/kWh. Ob der Wechsel trägt, entscheidet deshalb allein, ob das TATSÄCHLICH vereinbarte Vermarktungsentgelt darunter bleibt. Ab 100 kWp ohnehin Pflicht</t>
  </si>
  <si>
    <t>Wirkung der heutigen Sätze auf dieselbe Rechnung: Für eine Inbetriebnahme im August 2026 gelten für 30 kWp die Mischsätze nach § 23c EEG – feste Einspeisevergütung 7,01 ct/kWh (Teileinspeisung) und 10,90 ct/kWh (Volleinspeisung), anzulegende Werte 7,41 bzw. 11,30 ct/kWh. Der Plan „Überschuss“ verändert sich kaum (Kapitalwert −360 € auf rund 92.210 €, weil E1 dort nur 3 % des Ergebnisses trägt), der Plan „Volleinspeisung“ fällt von −22.930 € auf rund −26.238 €: Die Deckungslücke zwischen Volleinspeisevergütung und Stromgestehungskosten (KZS = 0) weitet sich von 1,64 auf 2,34 ct/kWh. Modelle, die auf E6 aufbauen, sind gegen sinkende Vergütungssätze weitgehend immun – Modelle, die allein auf E1 stehen, nicht.</t>
  </si>
  <si>
    <t>B2 / B5 – Vergütungssätze, Mischsatz-Rechner und historische Referenz</t>
  </si>
  <si>
    <t>Alle Werte in ct/kWh netto · gegen die Vergütungssatzdateien der Bundesnetzagentur verifiziert ✓ [1][2][3] · Stand: 25.08.2026</t>
  </si>
  <si>
    <t>1  Feste Einspeisevergütung (§ 21 Abs. 1 Nr. 1 i. V. m. § 53 Abs. 1 Nr. 2 EEG) – nur Anlagen ≤ 100 kW; entspricht dem anzulegenden Wert minus 0,40 ct/kWh</t>
  </si>
  <si>
    <t>Anlagentyp</t>
  </si>
  <si>
    <t>bis kW</t>
  </si>
  <si>
    <t>IBN 01.08.2026–31.01.2027
Teileinspeisung (ct/kWh)</t>
  </si>
  <si>
    <t>IBN 01.08.2026–31.01.2027
Volleinspeisung (ct/kWh)</t>
  </si>
  <si>
    <t>IBN 01.02.2026–31.07.2026
Teileinspeisung (ct/kWh)</t>
  </si>
  <si>
    <t>IBN 01.02.2026–31.07.2026
Volleinspeisung (ct/kWh)</t>
  </si>
  <si>
    <t>Gebäude / Lärmschutzwand</t>
  </si>
  <si>
    <t>[1][2][3]</t>
  </si>
  <si>
    <t>Gebäude</t>
  </si>
  <si>
    <t>Sonstige (§ 48 Abs. 1)</t>
  </si>
  <si>
    <t>2  Anzulegende Werte für die Direktvermarktung / Marktprämie (§ 20 EEG)</t>
  </si>
  <si>
    <t>IBN 08/2026–01/2027
Teileinspeisung (ct/kWh)</t>
  </si>
  <si>
    <t>IBN 08/2026–01/2027
Volleinspeisung (ct/kWh)</t>
  </si>
  <si>
    <t>IBN 02–07/2026
Teileinspeisung (ct/kWh)</t>
  </si>
  <si>
    <t>IBN 02–07/2026
Volleinspeisung (ct/kWh)</t>
  </si>
  <si>
    <t>Sonstige</t>
  </si>
  <si>
    <t>3  Unrundete Werte der Bundesnetzagentur, feste Einspeisevergütung IBN 01.02.2026–31.07.2026</t>
  </si>
  <si>
    <t>Teileinspeisung unrundet (ct/kWh)</t>
  </si>
  <si>
    <t>Volleinspeisung unrundet (ct/kWh)</t>
  </si>
  <si>
    <t>gerundet Teil / Voll (ct/kWh)</t>
  </si>
  <si>
    <t>7,78 / 12,34</t>
  </si>
  <si>
    <t>[3]</t>
  </si>
  <si>
    <t>6,73 / 10,35</t>
  </si>
  <si>
    <t>5,50 / 10,35</t>
  </si>
  <si>
    <t>6,26 / 6,26</t>
  </si>
  <si>
    <t>4  Anlagen über 1 MW ohne Ausschreibung (§ 48 Abs. 1a EEG), Inbetriebnahme 2026</t>
  </si>
  <si>
    <t>Segment</t>
  </si>
  <si>
    <t>Anzulegender Wert (ct/kWh)</t>
  </si>
  <si>
    <t>Bemerkung</t>
  </si>
  <si>
    <t>1. Segment</t>
  </si>
  <si>
    <t>Entspricht dem Durchschnitt der höchsten bezuschlagten Gebote der Vorjahresrunden; kalenderjahresbezogen, keine Degression nach § 49 EEG.</t>
  </si>
  <si>
    <t>[1][4]</t>
  </si>
  <si>
    <t>2. Segment (Gebäude)</t>
  </si>
  <si>
    <t>5  Mieterstromzuschlag (§ 48a EEG)</t>
  </si>
  <si>
    <t>Inbetriebnahme</t>
  </si>
  <si>
    <t>≤ 10 kW (ct/kWh)</t>
  </si>
  <si>
    <t>≤ 40 kW (ct/kWh)</t>
  </si>
  <si>
    <t>≤ 1.000 kW (ct/kWh)</t>
  </si>
  <si>
    <t>01.08.2026–31.01.2027</t>
  </si>
  <si>
    <t>aktuelle Periode</t>
  </si>
  <si>
    <t>01.02.2026–31.07.2026</t>
  </si>
  <si>
    <t>Vorperiode</t>
  </si>
  <si>
    <t>Inbetriebnahme 2023</t>
  </si>
  <si>
    <t>Referenz für Bestandsanlagen (keine aktuellen Sätze); unrundet 2,66925 / 2,47909 / 1,66916</t>
  </si>
  <si>
    <t>6  Mischsatz-Rechner nach dem Stufenmodell § 23c EEG – Gebäudeanlage, Inbetriebnahme 01.08.2026–31.01.2027</t>
  </si>
  <si>
    <t>Anlagen werden nicht nach ihrer Gesamtleistung einer Klasse zugeordnet, sondern anteilig gemischt. Nur die gelbe Zelle ist eine Eingabe – alle grünen Zellen sind Formeln und werden automatisch neu berechnet. Die Sätze der Stufentabelle sind verknüpft mit Block 2 dieses Blattes.</t>
  </si>
  <si>
    <t>Anlagenleistung (Eingabe)</t>
  </si>
  <si>
    <t>Stufe (§ 23c EEG)</t>
  </si>
  <si>
    <t>von kW</t>
  </si>
  <si>
    <t>Anteil der Anlage (kW)</t>
  </si>
  <si>
    <t>Anzulegender Wert Teileinspeisung (ct/kWh)</t>
  </si>
  <si>
    <t>Anzulegender Wert Volleinspeisung (ct/kWh)</t>
  </si>
  <si>
    <t>Gewichtet Teil (kW × ct)</t>
  </si>
  <si>
    <t>Gewichtet Voll (kW × ct)</t>
  </si>
  <si>
    <t>Stufe 1: bis 10 kW</t>
  </si>
  <si>
    <t>Stufe 2: über 10 bis 40 kW</t>
  </si>
  <si>
    <t>Stufe 3: über 40 bis 100 kW</t>
  </si>
  <si>
    <t>Stufe 4: über 100 bis 400 kW</t>
  </si>
  <si>
    <t>Stufe 5: über 400 bis 1.000 kW</t>
  </si>
  <si>
    <t>Summe / berücksichtigte Leistung</t>
  </si>
  <si>
    <t>Ergebnis des Rechners</t>
  </si>
  <si>
    <t>Wert (ct/kWh)</t>
  </si>
  <si>
    <t>Rechenweg</t>
  </si>
  <si>
    <t>Vorgerechnetes Beispiel 30 kWp (Master B2)</t>
  </si>
  <si>
    <t>Vorgerechnetes Beispiel 100 kWp (BNetzA)</t>
  </si>
  <si>
    <t>Anzulegender Wert, Teileinspeisung</t>
  </si>
  <si>
    <t>Summe (Anteil × Satz) ÷ berücksichtigte Leistung, auf 2 Nachkommastellen gerundet</t>
  </si>
  <si>
    <t>Feste Einspeisevergütung, Teileinspeisung</t>
  </si>
  <si>
    <t>anzulegender Wert (gerundet) minus 0,40 ct/kWh Vermarktungspauschale; nur Anlagen ≤ 100 kW</t>
  </si>
  <si>
    <t>Anzulegender Wert, Volleinspeisung</t>
  </si>
  <si>
    <t>Summe (Anteil × Satz Voll) ÷ berücksichtigte Leistung; Volleinspeisungszuschlag nach § 48 Abs. 2a EEG ist in den Sätzen enthalten (Meldepflicht beachten)</t>
  </si>
  <si>
    <t>im Master nicht ausgewiesen</t>
  </si>
  <si>
    <t>Feste Einspeisevergütung, Volleinspeisung</t>
  </si>
  <si>
    <t>anzulegender Wert Voll (gerundet) minus 0,40 ct/kWh; nur Anlagen ≤ 100 kW</t>
  </si>
  <si>
    <t>Kontrolle des Rechners</t>
  </si>
  <si>
    <t>Rechenweg der vorgerechneten Beispiele: 30 kWp → (10 × 8,10 + 20 × 7,06) / 30 = 222,20 / 30 = 7,4067 → 7,41 ct/kWh; feste Einspeisevergütung 7,41 − 0,40 = 7,01 ct/kWh. Volleinspeisung: (10 × 12,62 + 20 × 10,64) / 30 = 11,30 ct/kWh bzw. 10,90 ct/kWh feste Einspeisevergütung. · 100 kWp (Beispiel der Bundesnetzagentur): 10/100 × 8,10 + 30/100 × 7,06 + 60/100 × 5,84 = 6,43 ct/kWh; feste Einspeisevergütung 6,03 ct/kWh [1][2].</t>
  </si>
  <si>
    <t>7  Verbindliche Hinweise zu den Sätzen</t>
  </si>
  <si>
    <t>§ 101 EEG – Solarpaket-I-Aufschlag NICHT anwendbar: Der Aufschlag von +1,5 ct/kWh für Gebäudeanlagen von 40 kW bis 1 MW (§ 48 Abs. 2 Nr. 3 EEG → 7,64 ct/kWh) ist gesetzlich vorgesehen, aber nach § 101 EEG mangels beihilferechtlicher Genehmigung der EU-Kommission NICHT anwendbar (Stand 25.08.2026). Die Bundesnetzagentur rechnet unverändert mit den Basiswerten 8,60 / 7,50 / 6,20 ct/kWh. Der Hinweis im Tool auf Werte „ab 16.05.2024 inklusive +1,5 ct“ ist deshalb beratungsrelevant zu relativieren [4][14][20][29].</t>
  </si>
  <si>
    <t>EEG-Novelle 2027 – Regierungsentwurf (Kabinett 29.07.2026), kein geltendes Recht: Vorgesehen sind der Wegfall der festen Einspeisevergütung für Neuanlagen, eine Direktvermarktungspflicht, ein einheitlicher anzulegender Wert von 6,2 ct/kWh, eine Übergangszahlung über 36 Monate mit sinkenden Leistungsschwellen (2027 unter 50 kW, 2028 unter 25 kW, 2029/30 unter 7 kW, ab 2031 keine mehr), ein Direktvermarktungsbonus von bis zu 1,5 ct/kWh für maximal 48 Monate bei Anlagen unter 25 kW, eine dauerhafte Einspeisekappung von 50 % bei Dachanlagen und 70 % beim Netzanschluss von Freiflächenanlagen sowie Differenzverträge (CfD) für große Anlagen. Parlamentarische Beratung ab 09/2026, geplantes Inkrafttreten 01.01.2027 unter Vorbehalt der EU-Beihilfegenehmigung. Beratungshinweis Bestandsschutz: Anlagen mit Inbetriebnahme bis 31.12.2026 behalten nach § 25 EEG ihre Vergütung über die volle Förderdauer [15][16][17].</t>
  </si>
  <si>
    <t>Degression nach § 49 EEG: Seit 01.02.2024 sinken die anzulegenden Werte alle sechs Monate um 1 %. Basis der Berechnung ist stets der unrundete Ausgangswert, die Rundung erfolgt erst am Ende auf zwei Nachkommastellen. Die nächste Absenkung erfolgt zum 01.02.2027, vorbehaltlich der Novelle. Gegenprobe: 8,60 × 0,99⁶ = 8,0967 → 8,10 ct/kWh ✓ [1][4].</t>
  </si>
  <si>
    <t>8  B5 – Referenz für Bestandsanlagen (keine aktuellen Sätze): die beiden EEG-Tabellen im Tool (Dialog „EEG-Vergütungen als Tabellen“) für Inbetriebnahme 2023 bzw. 02–05/2024</t>
  </si>
  <si>
    <t>⚠ DIES SIND KEINE AKTUELLEN SÄTZE. Die folgende Tabelle gilt ausschließlich für Anlagen mit Inbetriebnahme 01.01.2023–31.01.2024 bzw. 01.02.2024–15.05.2024 und ist nur relevant, wenn eine BESTANDSANLAGE mit diesem Inbetriebnahmedatum bewertet wird – etwa das Fallbeispiel im Blatt „Projektvergleich“ (Inbetriebnahme 3/2023). Für jedes heutige Projekt gelten allein die Sätze in den Blöcken 1 und 2 dieses Blattes.   ·   Rechenlogik im Tool: A = anzulegender Wert (§ 48 Abs. 2), B = Vermarktungspauschale (§ 53 Abs. 1 Nr. 2), C = Zuschlag Volleinspeisung (§ 48 Abs. 2a). Feste Einspeisevergütung (≤ 100 kWp): Teileinspeisung = A − B, Volleinspeisung = A − B + C. Geförderte Direktvermarktung: Teileinspeisung = A, Volleinspeisung = A + C [29].</t>
  </si>
  <si>
    <t>Periode (Inbetriebnahme)
– Referenz für Bestandsanlagen –</t>
  </si>
  <si>
    <t>bis kWp</t>
  </si>
  <si>
    <t>A: anzulegender Wert (ct/kWh)</t>
  </si>
  <si>
    <t>B: Vermarktungspauschale (ct/kWh)</t>
  </si>
  <si>
    <t>C: Zuschlag Volleinspeisung (ct/kWh)</t>
  </si>
  <si>
    <t>Feste EV Teil (ct/kWh)</t>
  </si>
  <si>
    <t>Feste EV Voll (ct/kWh)</t>
  </si>
  <si>
    <t>Direktvermarktung Teil (ct/kWh)</t>
  </si>
  <si>
    <t>Direktvermarktung Voll (ct/kWh)</t>
  </si>
  <si>
    <t>01.01.2023–31.01.2024</t>
  </si>
  <si>
    <t>[1][2][3][29]</t>
  </si>
  <si>
    <t>01.02.2024–15.05.2024</t>
  </si>
  <si>
    <t>„–“ bedeutet: keine feste Einspeisevergütung, weil der Anspruch nur für Anlagen bis 100 kW besteht (§ 53 Abs. 1 Nr. 2 EEG). Nochmals zur Klarstellung: Beide Perioden dieser Tabelle sind Referenz für Bestandsanlagen und KEINE aktuellen Sätze – aktuelle Sätze stehen in den Blöcken 1 und 2 oben. Alle Werte gegen die Vergütungssatzdateien der Bundesnetzagentur verifiziert ✓ [1][2][3].</t>
  </si>
  <si>
    <t>B3 / B4 – Ausschreibungsergebnisse und Marktdaten</t>
  </si>
  <si>
    <t>Bundesnetzagentur (pay-as-bid), Marktwerte und Strompreise · alle ct/kWh netto · Stand: 25.08.2026</t>
  </si>
  <si>
    <t>1  Ausschreibungsergebnisse 2025 und 2026 (§ 22 Abs. 3 EEG)</t>
  </si>
  <si>
    <t>Termin / Runde</t>
  </si>
  <si>
    <t>Ø Zuschlagswert (ct/kWh)</t>
  </si>
  <si>
    <t>Höchstwert (ct/kWh)</t>
  </si>
  <si>
    <t>Spanne von (ct/kWh)</t>
  </si>
  <si>
    <t>Spanne bis (ct/kWh)</t>
  </si>
  <si>
    <t>1. Segment (Freifläche)</t>
  </si>
  <si>
    <t>01.03.2026</t>
  </si>
  <si>
    <t>201 % überzeichnet</t>
  </si>
  <si>
    <t>[5]</t>
  </si>
  <si>
    <t>01.07.2026</t>
  </si>
  <si>
    <t>2025, Runde 1</t>
  </si>
  <si>
    <t>2025, Runde 2</t>
  </si>
  <si>
    <t>2025, Runde 3</t>
  </si>
  <si>
    <t>01.02.2026</t>
  </si>
  <si>
    <t>unterzeichnet: 177 von 283 MW</t>
  </si>
  <si>
    <t>[6]</t>
  </si>
  <si>
    <t>01.06.2026</t>
  </si>
  <si>
    <t>unterzeichnet</t>
  </si>
  <si>
    <t>Höchstwert 10,40 ct/kWh ist nur als Gruppenangabe für die drei Runden 2025 überliefert – keine Zuordnung zur einzelnen Runde möglich</t>
  </si>
  <si>
    <t>Höchstwert: siehe Gruppenangabe bei Runde 1</t>
  </si>
  <si>
    <t>Termine: 1. Segment jeweils 1.3., 1.7. und 1.12.; 2. Segment jeweils 1.2., 1.6. und 1.10. Maximale Gebotsgröße 20 MW, pay-as-bid; der Zuschlagswert wird zum anzulegenden Wert. Bemerkenswert ist die anhaltende Unterzeichnung des 2. Segments – die Gebäudeausschreibung findet nicht genügend wettbewerbsfähige Projekte [5][6].</t>
  </si>
  <si>
    <t>2  Monatsmarktwerte Solar 2026 (ct/kWh)</t>
  </si>
  <si>
    <t>Monat</t>
  </si>
  <si>
    <t>Jan</t>
  </si>
  <si>
    <t>Feb</t>
  </si>
  <si>
    <t>Mär</t>
  </si>
  <si>
    <t>Apr</t>
  </si>
  <si>
    <t>Mai</t>
  </si>
  <si>
    <t>Jun</t>
  </si>
  <si>
    <t>Jul</t>
  </si>
  <si>
    <t>Monatsmarktwert Solar</t>
  </si>
  <si>
    <t>Der Wert für August 2026 lag zum Datenstand noch nicht vor. Der Monatsmarktwert ist nicht mit dem „Marktwert Solar(a)“ nach § 33 EEG 2012 zu verwechseln (2025: 6,17 ct/kWh). Der Aprilwert von 1,317 ct/kWh (hervorgehoben) zeigt, wie stark die solare Kannibalisierung den Erlös in ertragsstarken Monaten drückt [7][9].</t>
  </si>
  <si>
    <t>3  Jahresmarktwerte, Strompreise und PPA-Referenz</t>
  </si>
  <si>
    <t>Kennwert</t>
  </si>
  <si>
    <t>Jahresmarktwert Solar 2025</t>
  </si>
  <si>
    <t>Maßgeblich für die Marktprämie bei Inbetriebnahme ab 01.01.2023 (MP = anzulegender Wert − Jahresmarktwert Solar)</t>
  </si>
  <si>
    <t>[7][8]</t>
  </si>
  <si>
    <t>Jahresmarktwert Solar 2024</t>
  </si>
  <si>
    <t>Jahresmarktwert Basis („Basiswert“) 2025</t>
  </si>
  <si>
    <t>[7]</t>
  </si>
  <si>
    <t>Marktwert Solar(a) nach § 33 EEG 2012, 2025</t>
  </si>
  <si>
    <t>Nicht mit dem Monatsmarktwert verwechseln</t>
  </si>
  <si>
    <t>PPA Solar Deutschland 2025, untere Grenze</t>
  </si>
  <si>
    <t>Abschlüsse 35–45 €/MWh, Volumen 0,61 GW</t>
  </si>
  <si>
    <t>[10]</t>
  </si>
  <si>
    <t>PPA Solar Deutschland 2025, obere Grenze</t>
  </si>
  <si>
    <t>BDEW-Strompreisanalyse 08/2026, Haushalte</t>
  </si>
  <si>
    <t>⚠ In der Quellenauswertung ohne ausdrückliche Netto-/Brutto-Kennzeichnung</t>
  </si>
  <si>
    <t>[11]</t>
  </si>
  <si>
    <t>BDEW-Strompreisanalyse 08/2026, Industrie/Gewerbe Mittelspannung (160 MWh–20 GWh)</t>
  </si>
  <si>
    <t>ct/kWh netto</t>
  </si>
  <si>
    <t>Beschaffung/Netz/Vertrieb 14,695 + Umlagen/Abgaben/Stromsteuer rund 2,48; ohne Umsatzsteuer</t>
  </si>
  <si>
    <t>4  Einordnung für die Beratung</t>
  </si>
  <si>
    <t>Der Jahresmarktwert Solar von 4,508 ct/kWh und das PPA-Preisniveau von 3,5 bis 4,5 ct/kWh liegen deutlich unter den Stromgestehungskosten kleiner Dachanlagen – im Fallbeispiel 13,25 bis 17,85 ct/kWh. Auch die geförderten Sätze für Neuanlagen (7,70 ct/kWh Teileinspeisung, 12,22 ct/kWh Volleinspeisung bis 10 kW) bewegen sich in der Größenordnung der Gestehungskosten oder darunter. Zentrale Beratungsaussage: Die Wirtschaftlichkeit kleiner und mittlerer Dachanlagen entsteht heute über die Vermeidung von Netzbezug (Haushalte 37,0 ct/kWh, Gewerbe/Industrie 17,2 ct/kWh netto), nicht über die Vermarktung. Eigenverbrauchs-, Liefer- und Mietmodelle dominieren deshalb gegenüber der reinen Einspeisung [7][8][10][11][29].</t>
  </si>
  <si>
    <t>Offene Datenpunkte zum Datenstand: Die Ausschreibungsrunden Oktober und Dezember 2026 stehen noch aus; der Monatsmarktwert Solar für August 2026 war noch nicht veröffentlicht; PPA-Reihen für 2026 sind nicht belastbar; die maximale Gebotsgröße von 50 MW steht unter Beihilfevorbehalt [5][6][7][10].</t>
  </si>
  <si>
    <t>C – Fallbeispiel pv@now: Projekt „INEKON Schulung 01“</t>
  </si>
  <si>
    <t>Schulungsbeispiel (Inbetriebnahme 3/2023), ausgelesen am 25.08.2026 aus pv@now manager 10.0.0 [29] · Plan „Überschuss“ (PV-Überschuss-Einspeisung 1) gegen Plan „Volleinspeisung“ (PV-Netz-Einspeisung 1) · Stand: 25.08.2026</t>
  </si>
  <si>
    <t>Block</t>
  </si>
  <si>
    <t>Kennzahl / Eingabefeld</t>
  </si>
  <si>
    <t>Plan „Überschuss“</t>
  </si>
  <si>
    <t>Plan „Volleinspeisung“</t>
  </si>
  <si>
    <t>Delta (Überschuss − Volleinspeisung)</t>
  </si>
  <si>
    <t>Hinweis</t>
  </si>
  <si>
    <t>A Anlagensteckbrief</t>
  </si>
  <si>
    <t>Anlagenart</t>
  </si>
  <si>
    <t>Text</t>
  </si>
  <si>
    <t>Anlage auf Gebäude</t>
  </si>
  <si>
    <t>in beiden Plänen identisch</t>
  </si>
  <si>
    <t>01.03.2023</t>
  </si>
  <si>
    <t>Gültigkeitsbereich EEG 2023</t>
  </si>
  <si>
    <t>Betrachtungszeitraum</t>
  </si>
  <si>
    <t>3/2023–12/2043</t>
  </si>
  <si>
    <t>EEG-Vergütungszeitraum: 20 Jahre zzgl. Inbetriebnahmemonate</t>
  </si>
  <si>
    <t>Standort (PVGIS-Hilfsrechner)</t>
  </si>
  <si>
    <t>Stuttgart, 48,72° N / 9,13° O</t>
  </si>
  <si>
    <t>Modultechnik / Performance Ratio</t>
  </si>
  <si>
    <t>kristallin, PR 86 %</t>
  </si>
  <si>
    <t>Aufständerung</t>
  </si>
  <si>
    <t>1 Generator, Aufdach, 180° (Süd), Neigung 30°</t>
  </si>
  <si>
    <t>kWh/kWp</t>
  </si>
  <si>
    <t>Jahresertrag</t>
  </si>
  <si>
    <t>1.078 kWh/kWp × 30 kWp</t>
  </si>
  <si>
    <t>Leistungsminderung über die Betrachtungsdauer</t>
  </si>
  <si>
    <t>Speicher</t>
  </si>
  <si>
    <t>nein</t>
  </si>
  <si>
    <t>Spezifische Investition</t>
  </si>
  <si>
    <t>Speicher 0 €/kWh; Rückbau 0 €; Restwert 0 €</t>
  </si>
  <si>
    <t>Finanzierung</t>
  </si>
  <si>
    <t>100 % Eigenkapital (54.000 €), keine Kredite</t>
  </si>
  <si>
    <t>Kalkulationszinssatz</t>
  </si>
  <si>
    <t>Abschreibung</t>
  </si>
  <si>
    <t>deaktiviert (kein Ertragsteuereinbezug)</t>
  </si>
  <si>
    <t>Voreinstellungen: kein Investitionsabzugsbetrag (Maximum 27.000 € = 50 %), linear über 20 Jahre, keine Sonderabschreibung (Satz 20 %, zu verteilen 10.800 €, 100 % im ersten Jahr)</t>
  </si>
  <si>
    <t>B Eingaben</t>
  </si>
  <si>
    <t>Betreibermodell</t>
  </si>
  <si>
    <t>PV-Überschuss-Einspeisung 1 (I = B = G = V)</t>
  </si>
  <si>
    <t>PV-Netz-Einspeisung 1 (I = B = G)</t>
  </si>
  <si>
    <t>vier Akteure angelegt (DGS-Akteur 1 bis 4); in beiden Plänen übernimmt DGS-Akteur 1 sämtliche Rollen</t>
  </si>
  <si>
    <t>Ertragsteuereinbezug</t>
  </si>
  <si>
    <t>nein (Satz 20 % hinterlegt)</t>
  </si>
  <si>
    <t>Umsatzsteuer außerhalb PV</t>
  </si>
  <si>
    <t>pflichtig, vorsteuerabzugsberechtigt</t>
  </si>
  <si>
    <t>nicht pflichtig, kein Vorsteuerabzug</t>
  </si>
  <si>
    <t>Für die dargestellten Nettokennzahlen ohne Ergebniswirkung, für eine Übertragung auf einen realen Kunden aber zu prüfen</t>
  </si>
  <si>
    <t>Umsatzsteuer im PV-Bereich</t>
  </si>
  <si>
    <t>Wechsel zur Kleinunternehmerregelung</t>
  </si>
  <si>
    <t>USt-Satz Komponenten und Installation</t>
  </si>
  <si>
    <t>0 % wählbar (Nullsteuersatz)</t>
  </si>
  <si>
    <t>Netzstrompreis vor PV</t>
  </si>
  <si>
    <t>Plan „Volleinspeisung“: keine Verbrauchssituation (kein Verbrauch)</t>
  </si>
  <si>
    <t>Strompreissteigerung</t>
  </si>
  <si>
    <t>Mess-/Abrechnungskosten (Verbrauchssituation)</t>
  </si>
  <si>
    <t>im Plan „Volleinspeisung“ den Betriebskosten zugeordnet</t>
  </si>
  <si>
    <t>Gesamtstrombedarf</t>
  </si>
  <si>
    <t>Lastprofil</t>
  </si>
  <si>
    <t>G4 (Laden mit regulären Öffnungszeiten)</t>
  </si>
  <si>
    <t>PV-Stromaufteilung: Eigenverbrauch</t>
  </si>
  <si>
    <t>PV-Stromaufteilung: Eigenverbrauch (Anteil)</t>
  </si>
  <si>
    <t>PV-Stromaufteilung: EEG-vergütete Netzeinspeisung</t>
  </si>
  <si>
    <t>PV-Stromaufteilung: EEG-vergütete Netzeinspeisung (Anteil)</t>
  </si>
  <si>
    <t>Speicherverluste, geförderte DV, sonstige DV und freier Satz je 0; Summe 32.340 kWh</t>
  </si>
  <si>
    <t>Netz-Strombedarf mit PV</t>
  </si>
  <si>
    <t>Betriebskosten (Kostenträger Betreiber)</t>
  </si>
  <si>
    <t>Unterschied durch den Wartungsansatz und die Zuordnung der Mess-/Abrechnungskosten</t>
  </si>
  <si>
    <t>davon Wartung</t>
  </si>
  <si>
    <t>Plan „Überschuss“: 1,00 % der Nettoinvestition</t>
  </si>
  <si>
    <t>davon Versicherung</t>
  </si>
  <si>
    <t>davon Verwaltung</t>
  </si>
  <si>
    <t>davon Mess-/Abrechnungskosten</t>
  </si>
  <si>
    <t>im Plan „Überschuss“ der Verbrauchssituation zugeordnet</t>
  </si>
  <si>
    <t>Betriebskosten je kWp und Jahr</t>
  </si>
  <si>
    <t>€/(kWp·a)</t>
  </si>
  <si>
    <t>Betriebskosten gesamt über die Laufzeit</t>
  </si>
  <si>
    <t>Optionale Zahlungen</t>
  </si>
  <si>
    <t>C Kennzahlen</t>
  </si>
  <si>
    <t>Eigenkapital</t>
  </si>
  <si>
    <t>100 % Eigenkapitalanteil</t>
  </si>
  <si>
    <t>Kapitalwert</t>
  </si>
  <si>
    <t>Kernkennzahl: der Plan „Volleinspeisung“ ist defizitär</t>
  </si>
  <si>
    <t>Interner Zinsfuß (IRR)</t>
  </si>
  <si>
    <t>Delta in Prozentpunkten</t>
  </si>
  <si>
    <t>IRR nach Baldwin</t>
  </si>
  <si>
    <t>nicht bestimmbar</t>
  </si>
  <si>
    <t>Stromgestehungskosten (mit Kalkulationszinssatz 3,5 %)</t>
  </si>
  <si>
    <t>Reine Kostenkennzahl – höhere Gestehungskosten sind hier kein Nachteil</t>
  </si>
  <si>
    <t>Stromgestehungskosten (Kalkulationszinssatz = 0)</t>
  </si>
  <si>
    <t>Differenz erklärt sich aus den um 9.167 € höheren Betriebskosten</t>
  </si>
  <si>
    <t>EEG-Einspeisevergütung im Plan</t>
  </si>
  <si>
    <t>11,60 ct/kWh liegen unter den Gestehungskosten von 13,25 ct/kWh</t>
  </si>
  <si>
    <t>Autarkiegrad</t>
  </si>
  <si>
    <t>Tool-Wert über die Laufzeit (mit Leistungsminderung); Startjahreswert 26.962 / 100.000 = 26,96 %</t>
  </si>
  <si>
    <t>Vorteil durch PV, gesamt</t>
  </si>
  <si>
    <t>vom Tool nicht ausgewiesen (kein Referenzfall ohne PV, da kein Verbrauch)</t>
  </si>
  <si>
    <t>Maßgeblich ist der Liquiditätsüberschuss von −10.867 €; die Differenz von +173.717 € steht in der Zeile „Liquiditätsüberschuss“</t>
  </si>
  <si>
    <t>Konsistenzprüfung: 162.850 € über 250 Monate (3/2023–12/2043) ergeben 7.816,80 €/a ✓</t>
  </si>
  <si>
    <t>30,00 ct/kWh mit 4,00 %/a Steigerung; rund das Sechsfache der Einspeisevergütung</t>
  </si>
  <si>
    <t>D  Vergütungssätze im Projekt (vom Tool aus Anlagenwerten, Inbetriebnahmedatum und Betreibermodell berechnet)</t>
  </si>
  <si>
    <t>Erlösmodell</t>
  </si>
  <si>
    <t>Satz (ct/kWh)</t>
  </si>
  <si>
    <t>Art</t>
  </si>
  <si>
    <t>Herleitung</t>
  </si>
  <si>
    <t>Feste EEG-Einspeisevergütung, Teileinspeisung/Direktverbrauch</t>
  </si>
  <si>
    <t>vom Tool berechnet</t>
  </si>
  <si>
    <t>Mischsatz 30 kWp: (10 × 8,20 + 20 × 7,10) / 30 = 224,00 / 30 = 7,4667 → 7,47 ✓</t>
  </si>
  <si>
    <t>EEG-Zuschlag bei Volleinspeisung</t>
  </si>
  <si>
    <t>Mischsatz aus den anzulegenden Werten Voll minus Teil: 12,00 − 7,87 = 4,13 ✓</t>
  </si>
  <si>
    <t>Feste EEG-Einspeisevergütung, Volleinspeisung</t>
  </si>
  <si>
    <t>Mischsatz 30 kWp: (10 × 13,00 + 20 × 10,90) / 30 = 348,00 / 30 = 11,60 ✓ (exakt); Gegenprobe 7,47 + 4,13 = 11,60 ✓</t>
  </si>
  <si>
    <t>Anzulegender Wert (geförderte Direktvermarktung)</t>
  </si>
  <si>
    <t>Mischsatz 30 kWp: (10 × 8,60 + 20 × 7,50) / 30 = 236,00 / 30 = 7,8667 → 7,87 ✓</t>
  </si>
  <si>
    <t>80 % des anzulegenden Wertes: 0,80 × 7,87 = 6,296 → 6,30 ✓ (aus dem bereits gerundeten Wert; aus dem unrundeten 7,8667 ergäbe sich 6,29)</t>
  </si>
  <si>
    <t>⚠ Der Anspruch nach § 21 Abs. 1 S. 1 Nr. 3 i. V. m. § 53 Abs. 3 EEG besteht nur für Anlagen über 100 kW – bei 30 kWp ein rechnerischer Vergleichswert, keine verfügbare Option [4]</t>
  </si>
  <si>
    <t>EEG-Mieterstromzuschlag, Plan „Überschuss“</t>
  </si>
  <si>
    <t>editierbare Eingabe mit Voreinstellung</t>
  </si>
  <si>
    <t>aus den erfassten Daten nicht herleitbar</t>
  </si>
  <si>
    <t>⚠ Vor Verwendung prüfen; der rechnerische Mischwert für 30 kWp wäre 2,54 ct/kWh</t>
  </si>
  <si>
    <t>EEG-Mieterstromzuschlag, Plan „Volleinspeisung“</t>
  </si>
  <si>
    <t>Mischwert 30 kWp aus 2,67 / 2,48: (10 × 2,67 + 20 × 2,48) / 30 = 2,5433 → 2,54 ✓</t>
  </si>
  <si>
    <t>Vermarktungspauschale geförderte Direktvermarktung</t>
  </si>
  <si>
    <t>Managementprämie ausgegraut</t>
  </si>
  <si>
    <t>Sonstige Direktvermarktung</t>
  </si>
  <si>
    <t>frei wählbar; zugehörige Vermarktungspauschale 0,40 ct/kWh</t>
  </si>
  <si>
    <t>für Betrachtungen nach dem Förderende</t>
  </si>
  <si>
    <t>Prognosewert; zum Vergleich Jahresmarktwert Solar 2025: 4,508 ct/kWh [7][8]</t>
  </si>
  <si>
    <t>E  Wirtschaftliche Interpretation</t>
  </si>
  <si>
    <t>1 – Die Volleinspeisung ist hier strukturell defizitär. Die Volleinspeisevergütung von 11,60 ct/kWh liegt unterhalb der Stromgestehungskosten von 13,25 ct/kWh (ohne Kalkulationszins) und deutlich unterhalb von 16,47 ct/kWh (mit 3,5 % Kalkulationszins). Jede eingespeiste Kilowattstunde erwirtschaftet weniger, als sie kostet.</t>
  </si>
  <si>
    <t>2 – Der Wert des Eigenverbrauchs schlägt jede Vergütung. Jede selbst verbrauchte Kilowattstunde ersetzt Netzbezug zu 30,00 ct/kWh mit 4,00 % Steigerung pro Jahr, im Laufzeitmittel 45,83 ct/kWh – rund das Sechsfache der Einspeisevergütung von 7,47 ct/kWh. Bemerkenswert ist die Asymmetrie: 83 % Eigenverbrauchsquote stehen nur 26 % Autarkie gegenüber. Beide Kennzahlen sind gemeinsam zu zeigen, sonst entsteht ein falscher Eindruck von der Versorgungswirkung der Anlage.</t>
  </si>
  <si>
    <t>3 – Die höheren Gestehungskosten des Überschussplans sind kein Nachteil. Die Ursache ist rein kostenseitig: Die Betriebskosten liegen über die Laufzeit um 9.167 € höher (Wartungsansatz von 1,00 % der Investition). Die Gestehungskosten sind eine reine Kostenkennzahl; über die Wirtschaftlichkeit entscheidet, mit welchem Erlös bzw. welcher Ersparnis sie verglichen werden.</t>
  </si>
  <si>
    <t>4 – Didaktikhinweis zum historischen Inbetriebnahmedatum. Das Beispiel rechnet mit Inbetriebnahme 3/2023 und damit mit den Sätzen des EEG 2023. Für eine Inbetriebnahme ab 01.08.2026 lägen die Sätze niedriger: 7,70 / 12,22 ct/kWh bis 10 kW, für 30 kWp im Mischsatz 7,01 ct/kWh (Teil) bzw. 10,90 ct/kWh (Voll) – siehe Blatt „Vergütungssätze“, Block 6. Die qualitative Aussage bleibt nicht nur gültig, sie verschärft sich.</t>
  </si>
  <si>
    <t>Die Werte dieses Blattes sind ein Schulungsbeispiel (Inbetriebnahme 3/2023) und keine Angebotskalkulation. Für aktuelle Angebote sind Inbetriebnahmedatum, Vergütungssätze, Investitionskosten und Verbrauchsdaten neu zu erfassen. Die Delta-Spalte ist eine eigene Berechnung aus den in [29] erfassten Kennzahlen.</t>
  </si>
  <si>
    <t>F  Dieselbe Anlage bei Inbetriebnahme heute (08/2026) – was das Beispiel unter aktuellem Recht bekäme</t>
  </si>
  <si>
    <t>Das Fallbeispiel rechnet mit Inbetriebnahme 3/2023 und damit mit den Sätzen des EEG 2023 (Block D oben). Für eine Inbetriebnahme im August 2026 ergeben sich für dieselbe 30-kWp-Gebäudeanlage nach dem Stufenmodell § 23c EEG die folgenden Mischsätze (eigene Rechnung aus den Werten des Blattes „Vergütungssätze“, Blöcke 1 und 2; nachrechenbar mit dem Mischsatz-Rechner dort) [1][2].</t>
  </si>
  <si>
    <t>Erlösmodell (Mischsatz 30 kWp, Gebäudeanlage)</t>
  </si>
  <si>
    <t>Beispiel: IBN 3/2023</t>
  </si>
  <si>
    <t>Heute: IBN 08/2026</t>
  </si>
  <si>
    <t>Differenz</t>
  </si>
  <si>
    <t>Herleitung des heutigen Satzes</t>
  </si>
  <si>
    <t>F IBN 08/2026</t>
  </si>
  <si>
    <t>Feste EEG-Einspeisevergütung, Teileinspeisung</t>
  </si>
  <si>
    <t>(10 × 7,70 + 20 × 6,66) / 30 = 210,20 / 30 = 7,0067 → 7,01 ✓</t>
  </si>
  <si>
    <t>(10 × 12,22 + 20 × 10,24) / 30 = 327,00 / 30 = 10,90 ✓ (enthält den Zuschlag § 48 Abs. 2a)</t>
  </si>
  <si>
    <t>Anzulegender Wert (geförderte Direktvermarktung), Teileinspeisung</t>
  </si>
  <si>
    <t>(10 × 8,10 + 20 × 7,06) / 30 = 222,20 / 30 = 7,4067 → 7,41 ✓</t>
  </si>
  <si>
    <t>Anzulegender Wert (geförderte Direktvermarktung), Volleinspeisung</t>
  </si>
  <si>
    <t>(10 × 12,62 + 20 × 10,64) / 30 = 339,00 / 30 = 11,30 ✓</t>
  </si>
  <si>
    <t>Wirkung auf die Kennzahlen: Setzt man allein diese Sätze in dieselbe Rechnung ein, verändert sich der Plan „Überschuss“ kaum – sein Kapitalwert sinkt um rund 360 € auf etwa 92.210 €, weil die Einspeisevergütung dort nur rund 3 % des Ergebnisses trägt. Der Plan „Volleinspeisung“ dagegen fällt von −22.930 € auf rund −26.238 €: Die Deckungslücke zwischen Volleinspeisevergütung und Stromgestehungskosten (KZS = 0) weitet sich von 1,64 auf 2,34 ct/kWh [36].</t>
  </si>
  <si>
    <t>Die qualitative Aussage des Beispiels bleibt damit nicht nur gültig, sie VERSCHÄRFT sich – und zwar asymmetrisch: Modelle, die auf dem vermiedenen Netzbezug (Baustein E6) aufbauen, sind gegen sinkende Vergütungssätze weitgehend immun; Modelle, die allein auf der EEG-Vergütung (E1) stehen, nicht. Zugleich liegt der Netzstrompreis nach der BDEW-Strompreisanalyse 08/2026 mit 37,0 ct/kWh für Haushalte über dem hier angesetzten Ausgangswert von 30,00 ct/kWh [11]. Bausteine und Wirkungsrichtungen: Blatt „Kennzahlen-Bausteine“.</t>
  </si>
  <si>
    <t>Für eine Kundenpräsentation ist das historische Inbetriebnahmedatum offenzulegen und die Rechnung – sofern das Ergebnis zu einem konkreten Angebot passen muss – mit aktuellem Inbetriebnahmedatum und aktuellen Investitionskosten neu aufzusetzen. Das lebende Rechenblatt dafür ist „Kennzahlen-Herleitung“: dort die Eingabezellen Einspeisesatz auf 7,01 bzw. 10,90 ct/kWh setzen.</t>
  </si>
  <si>
    <t>D5 – Glossar: Fachbegriffe aus pv@now, geprüft und auf Stand 08/2026 gebracht</t>
  </si>
  <si>
    <t>Alle 27 am 25.08.2026 aus dem Werkzeug ausgelesenen Glossareinträge [29][32] in geprüfter Fassung. Rechtsstand der Definitionen: 25.08.2026 (EEG 2023 i. d. F. der 15. Änderung). · Alphabetisch sortiert</t>
  </si>
  <si>
    <t>Prüfbilanz und Lesehinweis</t>
  </si>
  <si>
    <t>Die Glossartexte des Werkzeugs sind fachlich sorgfältig, inhaltlich aber teilweise auf den Stand des EEG 2017/2021 eingefroren. Von den 27 Einträgen weisen 11 eine Abweichung vom geltenden Recht auf – sie stehen in der Spalte „⚠ Korrektur gegenüber dem Tool-Text“. Wo die Formulierung des Werkzeugs weiterhin zutrifft, ist sie kurz wörtlich übernommen und als Zitat gekennzeichnet; die überholte Rechtslage wird nicht ausgebreitet. Bilanz der 21 im Ergänzungslauf erfassten Begriffe: elf gelten unverändert, vier mit Einschränkung, sechs sind veraltet; hinzu kommt der Eintrag zum Ausschreibungsmodell aus dem ersten Erfassungslauf.</t>
  </si>
  <si>
    <t>Begriff</t>
  </si>
  <si>
    <t>Definition – Stand 08/2026</t>
  </si>
  <si>
    <t>⚠ Korrektur gegenüber dem Tool-Text</t>
  </si>
  <si>
    <t>Fundstelle / §</t>
  </si>
  <si>
    <t>Anzulegender Wert</t>
  </si>
  <si>
    <t>Der gesetzlich bestimmte Vergütungsanker jeder EEG-Anlage; aus ihm werden sämtliche Zahlungsansprüche abgeleitet. In der geförderten Direktvermarktung ist er die auf 20 Jahre feste Erlösobergrenze des Marktprämienmodells (§ 20 EEG), bei der festen Einspeisevergütung wird er nach § 53 Abs. 1 Nr. 2 EEG um 0,40 ct/kWh gekürzt — die feste Vergütung liegt deshalb stets 0,40 ct/kWh unter dem anzulegenden Wert. Für Gebäudeanlagen ist er bis einschließlich 1.000 kW gesetzlich bestimmt (§ 48 Abs. 2 EEG) und wird über mehrere Leistungsklassen hinweg nach dem Stufenmodell des § 23c EEG anteilig gemischt; darüber wird er in der Ausschreibung ermittelt. Aktuelle Werte in B2.</t>
  </si>
  <si>
    <t>Der Eintrag erklärt den Abstand von 0,40 ct/kWh als „integrierte Managementprämie" und begrenzt den anzulegenden Wert auf 750 kWp. Heute ist dieser Betrag ein gesetzlicher Abzug von der Einspeisevergütung (§ 53 Abs. 1 Nr. 2 EEG) und keine Prämie — die Managementprämie ist im Tool folgerichtig ausgegraut —, und gesetzlich bestimmte anzulegende Werte gibt es für Gebäudeanlagen bis 1.000 kW [4][35].</t>
  </si>
  <si>
    <t>§ 20, § 23c, § 48 Abs. 2, § 53 Abs. 1 Nr. 2 EEG · [4][35]</t>
  </si>
  <si>
    <t>Anzulegender Wert Ausfallvergütung</t>
  </si>
  <si>
    <t>Die Ausfallvergütung („Einspeisevergütung in Ausnahmefällen") erlaubt es, die geförderte Direktvermarktung vorübergehend zu verlassen und den Strom gegen 80 % des anzulegenden Wertes einzuspeisen; das Ergebnis ist auf zwei Nachkommastellen zu runden (§ 21 Abs. 1 S. 1 Nr. 3 i. V. m. § 53 Abs. 3 EEG). Sie steht nur Anlagen über 100 kW offen und ist auf höchstens drei aufeinanderfolgende Kalendermonate und insgesamt sechs Kalendermonate je Kalenderjahr begrenzt; wird eine der beiden Höchstdauern überschritten, sinkt der Anspruch für den gesamten Kalendermonat auf null. Die wirtschaftliche Einordnung des Werkzeugs gilt unverändert: Die Ausfallvergütung kann „besonders bei projektspezifischen hohen Direktverbrauchsquoten (z.B. 90 %) wirtschaftlich hinreichend attraktiv sein", weil Vermarktungspauschale, Bürokratie und Vertragsbindung entfallen.</t>
  </si>
  <si>
    <t>Der Eintrag stützt sich auf § 21 EEG 2021 und auf die Rechtslage seit dem EEG 2017. Maßgeblich ist heute § 21 Abs. 1 S. 1 Nr. 3 i. V. m. § 53 Abs. 3 EEG 2023; die Drei- und die Sechs-Monats-Grenze gelten unverändert fort, ausdrücklich geregelt ist zusätzlich die Nullstellung für den gesamten Kalendermonat bei Überschreitung [35].</t>
  </si>
  <si>
    <t>§ 21 Abs. 1 S. 1 Nr. 3 i. V. m. § 53 Abs. 3 EEG · [35]</t>
  </si>
  <si>
    <t>Der Anlagenbetreiber ist nach § 3 Nr. 2 EEG, wer die Anlage unabhängig vom Eigentum für die Stromerzeugung nutzt; er ist Inhaber des Vergütungsanspruchs und Adressat der Melde- und Steuerbarkeitspflichten. Die Glossardefinition trifft das unverändert: Betreiber ist, „welche[r] hinreichende Verfügungsgewalt über die ‚Fahrweise' der Anlage hat, ein hinreichendes technisches und wirtschaftliches Betreiberrisiko trägt und die Anlage ‚auf eigene Rechnung betreibt'". Für die Modelle PV-Miete und PV-Teilmiete ist das die tragende Voraussetzung: Der Mieter wird nur dann Betreiber, wenn er Einfluss auf die Fahrweise hat, das Betreiberrisiko trägt und die Abrechnung mit dem Netzbetreiber vornimmt. Auch der Teilmieter trägt Betreiberrisiken; sie werden im Innenverhältnis über den Teilmietvertrag zur Risikoabsicherung auf den Hauptbetreiber übertragen.</t>
  </si>
  <si>
    <t>– keine Abweichung festgestellt; der Tool-Text gilt unverändert</t>
  </si>
  <si>
    <t>§ 3 Nr. 2 EEG · pv@now-Glossar [32]</t>
  </si>
  <si>
    <t>Betreibermodell Auswahl</t>
  </si>
  <si>
    <t>Werkzeugfunktion ohne Rechtsbezug: „Hier wird das passende Betreiberkonzept ausgewählt: Eigenverbrauch mit Überschussnetzeinspeisung, PV-Stromlieferung an Dritte vor Ort mit Überschussnetzeinspeisung, PV-Miete, PV-Teilmiete, Mischformen, Volleinspeisung." Die vollständige Auswahlliste der App-Version 10.0.0 mit 25 Modellen steht in A2.</t>
  </si>
  <si>
    <t>Werkzeugfunktion ohne Rechtsbezug · pv@now-Glossar [32]; Modellkatalog in A2</t>
  </si>
  <si>
    <t>Betreibermodell einfügen</t>
  </si>
  <si>
    <t>Werkzeugfunktion: Je Plan lassen sich bis zu vier Betreibermodelle zeitlich nacheinander abbilden — „[e]ntweder an Stelle des bisherigen Betreibermodells oder zeitlich vor- oder nachgelagert". Als Standardfall nennt der Hilfetext die Kombination der PV-Miete mit Investitionsabzugsbetrag und Sonderabschreibung: Beginn mit Volleinspeisung, Wechsel zu Beginn des dritten Kalenderjahres in die PV-Miete. Methodisch bedeutet ein Modellwechsel, dass die Rechenschritte 2, 5 und 6 abschnittsweise mit unterschiedlichen Regeln laufen (siehe M1, M3).</t>
  </si>
  <si>
    <t>Werkzeugfunktion ohne Rechtsbezug · pv@now-Glossar [32]; Methodik M1, M3</t>
  </si>
  <si>
    <t>Direktvermarktungspreis</t>
  </si>
  <si>
    <t>Der je Kilowattstunde tatsächlich erzielte Erlös in der Direktvermarktung. In der geförderten Direktvermarktung setzt er sich aus dem Vermarktungserlös des Direktvermarkters und der Marktprämie zusammen und ist nach oben durch den anzulegenden Wert begrenzt; abzuziehen ist die vertraglich vereinbarte Vermarktungspauschale. In der sonstigen Direktvermarktung ist er das reine Verhandlungsergebnis ohne EEG-Anteil.</t>
  </si>
  <si>
    <t>Der Eintrag beschreibt Inbetriebnahmen bis 31.07.2014 und nennt für das EEG 2021 „die monatliche[…] Degression gemäß der Zielkorridorerreichung". Heute sinken die anzulegenden Werte nach § 49 EEG halbjährlich um 1 % — zuletzt zum 01.08.2026, nächste Absenkung 01.02.2027 —, ein zubauabhängiger atmender Deckel besteht nicht mehr; die Marktprämie wird für Inbetriebnahmen ab 01.01.2023 mit dem Jahresmarktwert Solar gebildet (Anlage 1 zu § 23a EEG) [1][4].</t>
  </si>
  <si>
    <t>§ 20, § 23a i. V. m. Anlage 1, § 49 EEG · [1][4]</t>
  </si>
  <si>
    <t>EEG-Mieterstromzuschlag</t>
  </si>
  <si>
    <t>Zusätzliche EEG-Zahlung für Solarstrom, der ohne Durchleitung durch ein Netz an Letztverbraucher im Gebäude, in dessen Nebenanlagen oder in Gebäuden desselben Quartiers geliefert und dort verbraucht wird (§ 19 Abs. 1 Nr. 3, § 21 Abs. 3, § 48a EEG). Er tritt neben die Vergütung des eingespeisten Überschusses, ist nach den Leistungsklassen bis 10, bis 40 und bis 1.000 kW gestaffelt und wird für die Gesamtanlage anteilig gemischt; bei Inbetriebnahme 08/2026–01/2027 beträgt er 2,51 / 2,33 / 1,57 ct/kWh. Der Bedienhinweis des Werkzeugs gilt unverändert: Der Systemwert kann überschrieben werden, und „möchte [man] aber wieder zum Systemwert zurück, so kann man das Eingabefeld leeren und speichern". Die formalen Voraussetzungen — insbesondere das Vollversorgungsgebot und der Preisdeckel von 90 % des Grundversorgungstarifs nach § 42a EnWG — prüft pv@now ausdrücklich nicht.</t>
  </si>
  <si>
    <t>Der Eintrag begrenzt die Förderfähigkeit auf Anlagen „kleiner gleich 100 kWp" und (in der EEG-2017-Passage) auf Wohngebäude. Heute reicht § 48a EEG bis einschließlich 1 Megawatt, und seit dem Solarpaket I sind alle Gebäudetypen erfasst — als Wohngebäude gilt dabei ein Gebäude, dessen Fläche zu mindestens 40 % dem Wohnen dient (§ 21 Abs. 3 S. 3 EEG i. V. m. § 3 Nr. 50 EEG); bei Gebäuden, die keine Wohngebäude sind, entfällt der Anspruch, wenn Lieferant und Letztverbraucher verbundene Unternehmen sind, und für Strom, der in einen Speicher eingespeist wird, besteht er nicht [35].</t>
  </si>
  <si>
    <t>§ 19 Abs. 1 Nr. 3, § 21 Abs. 3, § 48a EEG; § 42a EnWG · [35]</t>
  </si>
  <si>
    <t>EEG-Vergütung für Eigen-/Direktverbrauch</t>
  </si>
  <si>
    <t>Reines Bestandsanlagenfeld: Es betrifft ausschließlich Anlagen mit Inbetriebnahme vom 01.01.2009 bis 31.03.2012, für die das EEG 2009 bis EEG 2012/I den selbst oder durch Dritte vor Ort verbrauchten Strom gesondert vergütete. Für alle späteren Inbetriebnahmen gibt es diesen Anspruch nicht; Eigenverbrauch wirkt seither ausschließlich über den vermiedenen Netzbezug. Die letzten dieser Ansprüche laufen mit dem Ende des 20-jährigen Vergütungszeitraums bis Ende 2032 aus (§ 25 Abs. 1 EEG).</t>
  </si>
  <si>
    <t>§ 25 Abs. 1 EEG; EEG 2009–2012/I (Bestandsanlagen) · [4]</t>
  </si>
  <si>
    <t>EEG-Vergütung Netzeinspeisung</t>
  </si>
  <si>
    <t>Die staatlich festgelegte Vergütung für eingespeisten Strom aus erneuerbaren Energien auf Grundlage des EEG. Anwendungsbezogen ist es der in ct/kWh festgeschriebene Satz, der für 20 Jahre zuzüglich der Inbetriebnahmemonate des Anfangsjahres gilt (§ 25 Abs. 1 EEG) und im Werkzeug bei langfristig geplanten Projekten durch einen „freien Satz" ersetzt oder ergänzt werden kann. Für Neuanlagen ist er auf Anlagen bis 100 kW beschränkt (§ 21 Abs. 1 Nr. 1 EEG).</t>
  </si>
  <si>
    <t>§ 21 Abs. 1 Nr. 1, § 25 Abs. 1 EEG · pv@now-Glossar [32]</t>
  </si>
  <si>
    <t>Aufschlag auf den anzulegenden Wert für Gebäudeanlagen, die den erzeugten Strom vollständig einspeisen (§ 48 Abs. 2a EEG). Die Begründung des Werkzeugs trifft weiterhin zu: Der Zuschlag „soll Anlagen, die keinen Eigenverbrauch umsetzen können oder wollen, eine Aussicht auf einen wirtschaftlichen Betrieb ermöglichen"; seine Höhe „richtet sich nach Anlagengröße und Inbetriebnahmedatum und wird gesetzlich festgelegt". Zu ergänzen ist die praktisch entscheidende Formalie: Der Zuschlag setzt eine Meldung in Textform vor der Inbetriebnahme voraus, für Folgejahre jeweils vor dem 1. Dezember des Vorjahres. Für Gebäudeanlagen bis 10 kW mit Inbetriebnahme ab 01.08.2026 führt er von 7,70 auf 12,22 ct/kWh feste Einspeisevergütung.</t>
  </si>
  <si>
    <t>§ 48 Abs. 2a EEG · [1][2][32]</t>
  </si>
  <si>
    <t>Eigenverbrauch</t>
  </si>
  <si>
    <t>„Bezieht sich auf die prognostizierte oder tatsächliche Eigenverbrauchsquote, die der Anlagenbetreiber erzielt. Die Prozente beziehen sich auf den vollen Ertrag der Photovoltaikanlage (im jeweiligen Jahr). … Personenidentität als Voraussetzung zum Eigenverbrauch muss gewährleistet sein." Diese Definition gilt unverändert; die Personenidentität von Anlagenbetreiber und Verbraucher ist genau der Punkt, an dem sich Eigenverbrauch von einer Stromlieferung unterscheidet und den die Modelle PV-Miete und PV-Teilmiete gezielt herstellen. Wirtschaftlich ist der Eigenverbrauch keine Vergütung, sondern vermiedener Netzbezug zum vollen Arbeitspreis (im Fallbeispiel im Laufzeitmittel 45,83 ct/kWh gegenüber 7,47 ct/kWh Einspeisevergütung). Nicht zu verwechseln mit der solaren Deckung: Die Eigenverbrauchsquote misst den Anteil an der Erzeugung, der Autarkiegrad den Anteil am Verbrauch.</t>
  </si>
  <si>
    <t>kalkulatorische Größe ohne EEG-Anspruch · pv@now-Glossar [32]; siehe C4</t>
  </si>
  <si>
    <t>Frei eingebbarer Erlös je Kilowattstunde für eingespeisten Strom in Konstellationen ohne EEG-Vergütung oder abweichend von ihr: vertraglich vereinbarte Festsätze für ausgeförderte Ü20-Anlagen, eigene Annahmen zur Förderentwicklung oder Betrachtungen nach dem Förderende. Der im Eintrag genannte Sonderfall gilt fort: Werden auf demselben Grundstück oder Gebäude mehrere PV-Anlagen innerhalb von zwölf aufeinanderfolgenden Kalendermonaten in Betrieb genommen, gelten sie für die Ermittlung der Vergütungsklasse als eine Anlage (§ 24 Abs. 1 EEG) — die Teile oberhalb von 10 kW erhalten dann nicht mehr den höchsten Satz. Ergänzend gilt heute: Gebäudeanlagen hinter verschiedenen Netzverknüpfungspunkten werden nicht zusammengefasst, Steckersolargeräte bis 2 kW bleiben unberücksichtigt [35].</t>
  </si>
  <si>
    <t>§ 24 Abs. 1 EEG (Anlagenzusammenfassung) · [35]</t>
  </si>
  <si>
    <t>Geförderte Direktvermarktung (Ausschreibungsmodell)</t>
  </si>
  <si>
    <t>Für große Solaranlagen wird der anzulegende Wert nicht gesetzlich bestimmt, sondern in Ausschreibungen der Bundesnetzagentur ermittelt (§ 22 Abs. 3 EEG; pay-as-bid). Wie im Glossar beschrieben, werden „[s]eit dem EEG 2021 … Freiflächenanlagen und Gebäudeanlagen in getrennten ‚Segmenten' ausgeschrieben. Die Ausschreibungen finden dreimal pro Jahr statt und werden von der Bundesnetzagentur veröffentlicht." Die Ergebnisse der Runden 2026 stehen in B3.</t>
  </si>
  <si>
    <t>Der Eintrag nennt durchgängig die Schwelle 750 kWp (und eine freiwillige Teilnahme von Gebäudeanlagen ab 100 kWp). Maßgeblich sind heute das 1. Segment ab mehr als 1 MW und im 2. Segment die Mindestgebotsgröße der Bundesnetzagentur von 1.001 kWp; Gebäudeanlagen bis einschließlich 1.000 kW erhalten den gesetzlich bestimmten anzulegenden Wert [33]. Hinweis für Grenzfälle: § 22 Abs. 3 S. 2 Nr. 1a EEG nennt im Wortlaut weiterhin 750 kW und steht zudem unter dem Beihilfevorbehalt des § 101 EEG — für Gebäudeanlagen zwischen 750 und 1.000 kWp ist die Vergütungsform deshalb vor der Projektierung mit Netzbetreiber und Bundesnetzagentur zu klären [4][35] (siehe Q2).</t>
  </si>
  <si>
    <t>§ 22 Abs. 3, § 22 Abs. 3 S. 2 Nr. 1a, § 101 EEG · [4][33][35]</t>
  </si>
  <si>
    <t>Geförderte Direktvermarktung (Marktprämienmodell)</t>
  </si>
  <si>
    <t>Der Anlagenbetreiber verkauft den Strom über einen Direktvermarkter am Markt und erhält vom Netzbetreiber zusätzlich die Marktprämie; sie füllt die Differenz zwischen anzulegendem Wert und Marktwert auf (§ 20 EEG). Die Kernaussagen des Glossars gelten unverändert: „Seit dem EEG 2021 gilt die Direktvermarktung als Regelvermarktung für PV-Strom. Ausgenommen vom Zwang zur Direktvermarktung werden (bei Interesse des Anlagenbetreibers) nur PV-Anlagen mit einer Größe bis zu 100 kWp." Ebenso gilt fort, dass Strom, der „gar nicht erst durch das öffentliche Netz geht, … im Sinne des EEG nicht als direkt vermarkteter Strom angesehen [wird] sondern als Stromüberlassung an Dritte vor Ort", dass anteilige Direktvermarktung möglich ist und dass die wirtschaftlichste Konstellation meist im Vorrang des Direktverbrauchs mit Direktvermarktung nur des Überschusses liegt.</t>
  </si>
  <si>
    <t>Der Eintrag beschreibt den anzulegenden Wert als bestehend aus „monatsdurchschnittlichem Börsenpreis zuzüglich gleitender Marktprämie". Für Inbetriebnahmen ab 01.01.2023 ist die Marktprämie mit dem Jahresmarktwert Solar zu bilden (Anlage 1 zu § 23a EEG); der Monatsmarktwert gilt nur für frühere Inbetriebnahmen [4] (siehe B1 Zeile b).</t>
  </si>
  <si>
    <t>§ 20, § 23a i. V. m. Anlage 1 EEG · [4]</t>
  </si>
  <si>
    <t>Interner Zinsfuß (modifiziert nach Baldwin)</t>
  </si>
  <si>
    <t>Renditekennzahl, die die zu optimistische Wiederanlageprämisse der reinen Internen-Zinsfuß-Methode korrigiert: Die Einzahlungsüberschüsse werden „lediglich zum Kalkulationszinssatz, also dem Wunsch nach einer alternativen Mindestverzinsung (z.B. 4%) wiederangelegt". Der Baldwin-Wert liegt deshalb regelmäßig unter dem klassischen internen Zinsfuß (im Fallbeispiel 8,58 % gegenüber 15,99 %) und ist die belastbarere Beratungsgröße. Zwei Grenzen des Werkzeugs gelten unverändert: Mit steigendem Fremdkapitalanteil verliert die Kennzahl ihre Aussagekraft — bei 100 % Fremdkapital ist sie nicht definiert —, und ab 30 % Rendite weist die Ergebnispräsentation nur noch einen Strich aus.</t>
  </si>
  <si>
    <t>Finanzmathematik (Baldwin-Methode) · pv@now-Glossar [32]; Formel in K2</t>
  </si>
  <si>
    <t>Der Kapitalgeber der Anlage. Für die Betreibermodelle entscheidend ist der Satz des Glossars: „dass ein Investor zwar Anlagenbetreiber sein kann, aber nicht sein muss" — genau diese Trennung tragen die Familien PV-Mieten und PV-Teil-Mieten. Als Motive nennt der Eintrag Renditeerwartung, Amortisationszeit, Steuerersparnis, Stromkostenreduzierung und -planbarkeit, Teilautonomie vom Energieversorger sowie den Beitrag zu Energiewende und Klimaschutz.</t>
  </si>
  <si>
    <t>keine EEG-Rolle; Rollenmodell A1 · pv@now-Glossar [32]</t>
  </si>
  <si>
    <t>Der Zinssatz, „zu dem das Eigenkapital hätte opportun (alternativ) angelegt werden können" — also die Opportunitätskosten des Eigenkapitals bei gleichem Risiko und gleicher Laufzeit. Er ist zugleich der Diskontierungszins der Kapitalwertmethode (Kapitalwert &gt; 0 bedeutet: die Investition ist vorteilhafter als die Alternativanlage) und der Diskontierungszins der Stromgestehungskosten. Weil er beide Kennzahlen zugleich bewegt, ist er der sensibelste Eingabewert der gesamten Rechnung; im Fallbeispiel sind 3,50 % angesetzt.</t>
  </si>
  <si>
    <t>Finanzmathematik (Opportunitätskosten) · pv@now-Glossar [32]; Eingabezelle im Blatt „Kennzahlen-Herleitung“</t>
  </si>
  <si>
    <t>Der mengengewichtete Durchschnittspreis, den Solarstrom an der Strombörse erzielt; er wird monatlich ermittelt und veröffentlicht, der Jahresmarktwert nach Anlage 1 zu § 23a EEG. Für Neuanlagen ab 2023 ist der Jahresmarktwert die Rechengröße der Marktprämie (2025: 4,508 ct/kWh); die Monatswerte 2026 stehen in B4. Zweites Anwendungsfeld ist die Anschlussvergütung ausgeförderter Ü20-Anlagen: Nach § 23b EEG ist der Jahresmarktwert der anzulegende Wert, ab dem Kalenderjahr 2023 höchstens jedoch 10 ct/kWh; davon zieht § 53 Abs. 4 EEG den von den Übertragungsnetzbetreibern veröffentlichten Vermarktungskostenwert ab, der sich bei Ausstattung mit einem intelligenten Messsystem halbiert. Drittens dient er als Erlösansatz für die Monate, in denen eine Anlage über 100 kW die Ausfallvergütung nicht mehr in Anspruch nehmen kann — der Strom ist dann zu vermarkten.</t>
  </si>
  <si>
    <t>Drei Punkte. Erstens ist die Anschlussvergütung für ausgeförderte Anlagen nicht „bis Ende 2027" befristet — sie ist nach § 25 Abs. 2 EEG bis zum 31.12.2032 zu zahlen [35]. Zweitens trifft es nicht mehr zu, dass der Netzbetreiber in den übrigen Monaten „verpflichtend den Marktwert Solar … als Vergütung" zahlt: Wird eine der Höchstdauern der Ausfallvergütung überschritten, sinkt der Anspruch für den gesamten Kalendermonat auf null (§ 21 Abs. 1 S. 1 Nr. 3 EEG) [35]. Drittens ist die Voreinstellung von 3,50 ct/kWh ein reiner Eingabewert; sie liegt unter dem Jahresmarktwert Solar 2025 von 4,508 ct/kWh und ist vor jeder Kundenrechnung zu aktualisieren [7][8].</t>
  </si>
  <si>
    <t>§ 23a i. V. m. Anlage 1, § 23b, § 25 Abs. 2, § 53 Abs. 4 EEG · [7][8][35]</t>
  </si>
  <si>
    <t>PV-Miete</t>
  </si>
  <si>
    <t>Ein Anlageneigentümer (Investor) vermietet die gesamte PV-Anlage an den Gebäudeeigentümer oder -pächter; dieser wird dadurch Anlagenbetreiber, verbraucht den Solarstrom als Eigenverbrauch und erhält für den eingespeisten Überschuss die EEG-Vergütung, während der Investor eine feste Miete einnimmt. Der wirtschaftliche Kern ist dieser Rollentausch: Weil kein Lieferverhältnis entsteht, fallen weder Versorgerpflichten noch Mieterstromregime oder Preisdeckel an (siehe M3). Voraussetzung ist, dass die Betreibereigenschaft des Mieters tatsächlich vorliegt (siehe „Betreiber").</t>
  </si>
  <si>
    <t>Die gesamte Passage zur EEG-Umlage auf den Eigenverbrauch (Staffel 30/35/40 % ab 01.08.2014, vollständige Befreiung bis 30 kWp seit 2021) ist gegenstandslos. Die EEG-Umlage beträgt seit dem 01.07.2022 null und ist mit dem EEG 2023 zum 01.01.2023 vollständig entfallen; die Eigenversorgungsregelungen der §§ 3 Nr. 19 und 59 bis 69 EEG wurden gestrichen [34]. Das Eingabefeld „EEG-Umlage Eigenverbrauch" führt die App weiterhin — es ist für Neuanlagen mit null zu belegen.</t>
  </si>
  <si>
    <t>Mietvertrag; §§ 3 Nr. 19, 59–69 EEG gestrichen · [34]</t>
  </si>
  <si>
    <t>PV-Stromlieferung in kWh</t>
  </si>
  <si>
    <t>Die Menge an Solarstrom, die der Betreiber an einen Verbraucher vor Ort liefert, gemessen in Kilowattstunden. Sie ist die Abrechnungsbasis des PV-Stromlieferpreises und damit die Alternative zur mengenunabhängigen „PV-Miete": Bei der Lieferung wird nach tatsächlichem Verbrauch bezahlt, bei der Miete für die Nutzung der Anlage. Die Unterscheidung entscheidet zugleich über das Regime — Lieferung bedeutet Versorgerpflichten, Miete bedeutet Eigenverbrauch des Mieters.</t>
  </si>
  <si>
    <t>Liefervertrag; Abgrenzung Lieferung/Eigenverbrauch · pv@now-Glossar [32]</t>
  </si>
  <si>
    <t>PV Teilmiete</t>
  </si>
  <si>
    <t>(Teilanlagenmiete, PV-Anlagenmitbenutzung) Der Anlageneigentümer vermietet nur einen Teil der Anlage; der Umfang richtet sich nach dem kalkulierten Eigenverbrauch des Solarstromnutzers, der damit „lediglich stiller Mitbetreiber der Anlage" wird und seinen Anteil selbst verbraucht. Der überschüssige Strom wird vom Hauptbetreiber eingespeist und ihm nach EEG vergütet. Praktische Voraussetzung ist die messtechnische Trennung der Anteile — hier greifen die DGS-Messkonzepte (siehe A3, M3).</t>
  </si>
  <si>
    <t>Die Aussage, die Mitbetreiberschaft sei „(nur) für den Umfang der Teilmiete voll EEG-Umlagepflichtig", trifft nicht mehr zu: Die EEG-Umlage beträgt seit dem 01.07.2022 null und ist seit dem 01.01.2023 vollständig entfallen [34]. Die Abgrenzung selbst — Eigenverbrauch des Mitbetreibers gegenüber Überlassung an Dritte — bleibt für Messkonzept, Betreiberstellung und die umsatzsteuerliche Behandlung maßgeblich.</t>
  </si>
  <si>
    <t>Teilmietvertrag; DGS-Messkonzepte (A3, M3) · [34]</t>
  </si>
  <si>
    <t>Solare Deckung (Autarkie)</t>
  </si>
  <si>
    <t>„Der Anteil des Energiebedarfs, den man sich selbst zeitgleich bereitstellen kann (direkt aus PV-Anlage oder aus mit eigenem PV-Strom geladenem Speicher)", gerechnet als Eigenverbrauch (kWh/a) geteilt durch Verbrauch im Gebäude (kWh/a). Die Definition gilt unverändert, ebenso der Hinweis, dass 100 % in der Praxis kaum erreichbar sind und ein Speicher den Deckungsanteil deutlich erhöht. Für die Beratung wichtig ist die Abgrenzung zur Eigenverbrauchsquote: Im Fallbeispiel stehen 83 % Eigenverbrauchsquote nur 26 % Autarkie gegenüber — beide Kennzahlen sind stets gemeinsam zu zeigen (siehe C4).</t>
  </si>
  <si>
    <t>Kennzahl ohne Rechtsbezug · pv@now-Glossar [32]; siehe C4</t>
  </si>
  <si>
    <t>Verkauf des Stroms zu Marktpreisen ohne EEG-Förderung (§ 21a EEG). Jede Anlage kann diesen Weg wählen; ein EEG-Zahlungsanspruch besteht dann nicht, dafür verbleibt die Grünstromeigenschaft beim Betreiber. Die Einschätzung des Werkzeugs trifft weiter zu: Bei förderfähigen Anlagen wird dieser Weg „noch selten begangen, da die finanziellen Unterschiede zur entgangenen EEG-Vergütung bzw. zum ‚Anzulegenden Wert' … noch zu groß sind"; wirtschaftlich interessant ist er vor allem für ausgeförderte Ü20-Anlagen und für große PPA-Anlagen. Marktreferenz Solar Deutschland 2025: 3,5–4,5 ct/kWh (siehe B4).</t>
  </si>
  <si>
    <t>Der Eintrag zitiert „§ 21a EEG 2021"; die Vorschrift ist im EEG 2023 unter derselben Nummer fortgeführt und inhaltlich maßgeblich [4].</t>
  </si>
  <si>
    <t>§ 21a EEG · [4]; Marktreferenz B4</t>
  </si>
  <si>
    <t>Sonstige Direktvermarktung Wert</t>
  </si>
  <si>
    <t>Eingabefeld für den angenommenen oder vertraglich vereinbarten Erlös je Kilowattstunde aus sonstiger Direktvermarktung; die Voreinstellung von 4,00 ct/kWh ist überschreibbar.</t>
  </si>
  <si>
    <t>Die Begründung, der Wert „entspricht dem durchschnittlichen Börsenpreis für Solarstrom der letzten Jahre", trägt nur noch als grobe Näherung: Der Jahresmarktwert Solar lag 2024 bei 4,624 und 2025 bei 4,508 ct/kWh, die 2025 in Deutschland abgeschlossenen Solar-PPA bei 3,5–4,5 ct/kWh [7][8][10]. Der Default ist ein Eingabewert und projektbezogen zu setzen.</t>
  </si>
  <si>
    <t>Eingabefeld; Jahresmarktwerte · [7][8][10]</t>
  </si>
  <si>
    <t>Stromgestehungskosten</t>
  </si>
  <si>
    <t>Alle Ausgaben der Stromerzeugung — Investition, Fremdfinanzierung und Betriebskosten — werden mit dem Kalkulationszinssatz auf den Zeitpunkt der Inbetriebnahme abgezinst und durch die ebenfalls diskontierte Summe der Erträge in Kilowattstunden geteilt (Levelized Costs of Electricity). Die Methode erlaubt den Vergleich von Kraftwerken unterschiedlicher Kosten- und Erzeugungsstruktur; die Diskontierung technischer Erträge ist dabei „eine Abstraktion der Realität", die sich finanzmathematisch begründet. Der Praxishinweis des Werkzeugs gilt unverändert: Für den Vergleich mit der EEG-Einspeisevergütung ist der Wert „PV-Stromgestehungskosten (KZS = 0 %)" besser geeignet. Es handelt sich um eine reine Kostenkennzahl — über die Wirtschaftlichkeit entscheidet erst der Vergleich mit Vergütung oder vermiedenem Netzbezug (siehe C4, Interpretation 3). Der Listeneintrag „PV-Stromgestehungskosten" unter P öffnet keine Lightbox; der inhaltlich identische Text steht unter S [32].</t>
  </si>
  <si>
    <t>Finanzmathematik (LCOE) · pv@now-Glossar [32]; Formel in K2</t>
  </si>
  <si>
    <t>Vermarktungspauschale (GDV)/(SDV)</t>
  </si>
  <si>
    <t>Das vertraglich vereinbarte Dienstleistungsentgelt des Direktvermarkters, das der Anlagenbetreiber trägt — sowohl in der geförderten (GDV) als auch in der sonstigen Direktvermarktung (SDV). Art und Höhe variieren stark: je MWh vermarkteten Stroms, teils abhängig vom gleichzeitigen Direktverbrauch, teils als Grundgebühr in Euro je kWp und Jahr oder Monat, teils größenklassenabhängig. Sie ist gesetzlich nicht geregelt und deshalb in der Rechnung zusätzlich anzusetzen; nicht zu verwechseln mit dem gesetzlichen Abzug von 0,40 ct/kWh nach § 53 Abs. 1 Nr. 2 EEG, der ausschließlich die feste Einspeisevergütung betrifft (siehe M4). Voreinstellung im Werkzeug: 0,40 ct/kWh.</t>
  </si>
  <si>
    <t>vertraglich, gesetzlich NICHT geregelt; abzugrenzen von § 53 Abs. 1 Nr. 2 EEG · [32]</t>
  </si>
  <si>
    <t>Vorteil/Nachteil durch PV</t>
  </si>
  <si>
    <t>Die zentrale Beraterkennzahl: der kumulierte finanzielle Vorteil in Euro, den die Nutzung von PV-Strom gegenüber einer Situation ohne PV-Anlage bringt. Verglichen werden zwei vollständige Zahlungssituationen — ohne PV nur Netzstrom, mit PV sämtliche Einnahmen und Ausgaben aus der Anlage zuzüglich des verbleibenden Netzbezugs. Weil die Kennzahl je Akteur berechnet wird, zeigt sie in mehrparteiigen Modellen, ob eine Konstruktion für alle Beteiligten vorteilhaft ist. Sie setzt eine hinterlegte Verbrauchssituation voraus: In reinen Volleinspeisemodellen weist das Werkzeug sie folgerichtig nicht aus, dort ist der Liquiditätsüberschuss die maßgebliche Größe (siehe C4).</t>
  </si>
  <si>
    <t>Beraterkennzahl ohne Rechtsbezug · pv@now-Glossar [32]; Formel in K2</t>
  </si>
  <si>
    <t>Zur Verwendung: Die Definitionen dieser Spalte sind für die Weitergabe an Kundinnen und Kunden gedacht; die Spalte „⚠ Korrektur“ ist ein Hinweis für die Beraterin bzw. den Berater, weil der gleichnamige Hilfetext im Werkzeug noch die alte Rechtslage zeigt. Keine Steuer- oder Rechtsberatung. Datenstand 25.08.2026.</t>
  </si>
  <si>
    <t>Q1 – Quellenverzeichnis</t>
  </si>
  <si>
    <t>Nummerierte Quellen [1]–[31] · Stand: 25.08.2026 · URLs, soweit in der Quellenauswertung angegeben</t>
  </si>
  <si>
    <t>URL / Fundstelle</t>
  </si>
  <si>
    <t>Bundesnetzagentur, EEG-Fördersätze (Übersicht)</t>
  </si>
  <si>
    <t>https://www.bundesnetzagentur.de/DE/Fachthemen/ElektrizitaetundGas/ErneuerbareEnergien/EEG_Foerderung/start.html</t>
  </si>
  <si>
    <t>Bundesnetzagentur, Vergütungssätze für Inbetriebnahmen 08/2026–01/2027 (XLSX)</t>
  </si>
  <si>
    <t>https://www.bundesnetzagentur.de/DE/Fachthemen/ElektrizitaetundGas/ErneuerbareEnergien/EEG_Foerderung/Archiv_VergSaetze/_DL/VergSaetzeAug26bisJan27.xlsx</t>
  </si>
  <si>
    <t>Bundesnetzagentur, Vergütungssätze für Inbetriebnahmen 02/2026–07/2026 (XLSX)</t>
  </si>
  <si>
    <t>.../VergSaetzeFeb26bisJul26.xlsx (im Archiv der Vergütungssätze, vgl. [2])</t>
  </si>
  <si>
    <t>EEG 2023 in der Fassung der 15. Änderung (Gesetz vom 18.12.2025, BGBl. 2025 I Nr. 347), insbesondere §§ 9, 19, 20, 21, 21a, 21b, 22, 23a–23c, 25, 48, 48a, 49, 51, 51a, 53, 101 und Anlage 1 sowie die Bezüge zu §§ 42a–42c EnWG</t>
  </si>
  <si>
    <t>https://www.gesetze-im-internet.de/eeg_2014/</t>
  </si>
  <si>
    <t>Bundesnetzagentur, Beendete Ausschreibungen Solaranlagen 1. Segment (Freifläche) sowie Ausschreibungsverfahren</t>
  </si>
  <si>
    <t>bundesnetzagentur.de</t>
  </si>
  <si>
    <t>Bundesnetzagentur, Beendete Ausschreibungen Solaranlagen 2. Segment (Gebäude/Lärmschutzwand)</t>
  </si>
  <si>
    <t>netztransparenz.de, Marktwertübersicht (Monats- und Jahresmarktwerte)</t>
  </si>
  <si>
    <t>netztransparenz.de</t>
  </si>
  <si>
    <t>DGS, Jahresmarktwert Solar 2025</t>
  </si>
  <si>
    <t>dgs.de</t>
  </si>
  <si>
    <t>Solarserver, Monatsmarktwerte Solar 2026</t>
  </si>
  <si>
    <t>solarserver.de</t>
  </si>
  <si>
    <t>dena, PPA-Marktanalyse 2025 (veröffentlicht 04/2026)</t>
  </si>
  <si>
    <t>https://www.dena.de/fileadmin/dena/Publikationen/PDFs/2026/PPA_Marktanalyse_2025.pdf</t>
  </si>
  <si>
    <t>BDEW, Strompreisanalyse 08/2026</t>
  </si>
  <si>
    <t>https://www.bdew.de/media/documents/BDEW_Strompreisanalyse_082026.pdf</t>
  </si>
  <si>
    <t>Clearingstelle EEG | KWKG: EEG 2023; Gesetz Nr. 7055 (Solarspitzengesetz); Gesetz Nr. 6652 (Solarpaket I)</t>
  </si>
  <si>
    <t>clearingstelle-eeg-kwkg.de</t>
  </si>
  <si>
    <t>BMWK, „Mieterstrom und gemeinschaftliche Gebäudeversorgung“, 47. Fachgespräch der Clearingstelle</t>
  </si>
  <si>
    <t>https://www.clearingstelle-eeg-kwkg.de/sites/default/files/2024-06/BMWK_Mieterstrom-und-Gemeinschaftliche-Gebaeudeversorgung.pdf</t>
  </si>
  <si>
    <t>DGRV, Veröffentlichung vom 18.11.2025 zum ausstehenden Beihilfeverfahren Solarpaket I</t>
  </si>
  <si>
    <t>dgrv.de</t>
  </si>
  <si>
    <t>bundesregierung.de, Kabinettsbeschluss EEG-Novelle 2027 und Netzpaket vom 29.07.2026</t>
  </si>
  <si>
    <t>bundesregierung.de</t>
  </si>
  <si>
    <t>pv-magazine, Berichterstattung vom 29.07.2026 und 24.08.2026 zur EEG-Novelle 2027</t>
  </si>
  <si>
    <t>pv-magazine.de</t>
  </si>
  <si>
    <t>solaranlage-ratgeber, Übergangsregelungen der geplanten EEG-Novelle</t>
  </si>
  <si>
    <t>solaranlage-ratgeber.de</t>
  </si>
  <si>
    <t>GÖRG, Erläuterung zu § 42c EnWG (Energy Sharing)</t>
  </si>
  <si>
    <t>goerg.de</t>
  </si>
  <si>
    <t>pv-magazine, Berichterstattung zum Solarspitzengesetz</t>
  </si>
  <si>
    <t>zfk, Berichterstattung zum Agri-PV-Zuschlag (§ 48 Abs. 1b EEG, ausgesetzt)</t>
  </si>
  <si>
    <t>zfk.de</t>
  </si>
  <si>
    <t>Bundesgerichtshof, Beschluss vom 13.05.2025, EnVR 83/20 (Kundenanlage), zitiert nach [26]</t>
  </si>
  <si>
    <t>pv-now.de, Registrierungs- und Produktinformationsseiten: produktinfo-pvnowmanager, produktinfo-pvnoweasy, produktentwicklung (Changelog), zahlungsmodi, schulungen, info-zum-zugang, einblicke, gastzugang</t>
  </si>
  <si>
    <t>pv-now.de</t>
  </si>
  <si>
    <t>pv@now-Produktvergleich easy / manager (08/2025)</t>
  </si>
  <si>
    <t>pv-now.de/downloads/pvnow-vergleich.pdf</t>
  </si>
  <si>
    <t>Berechnungsgrundlagen pv@now easy (Stand 17.02.2026)</t>
  </si>
  <si>
    <t>pv-now-easy.de; pv-now-easy-ue20.de</t>
  </si>
  <si>
    <t>DGS Franken, dgs-franken.de/service/pvnow einschließlich Original-Screenshot „PV-Überschuss-Einspeisung 2“ (Uerberschusseinspeisung_2.jpg) und dgs-franken.de/sachverstand/pv-check</t>
  </si>
  <si>
    <t>dgs-franken.de</t>
  </si>
  <si>
    <t>mieterstrom-info.de: Broschüre „Neue Chancen für die Photovoltaik“ (11/2025, 28 S.), Betreiber- und Messkonzepte, Musterverträge</t>
  </si>
  <si>
    <t>mieterstrom-info.de</t>
  </si>
  <si>
    <t>solarakademie-franken.de, „pv@now Software-Schulung (Webinar)“, Kurs WP04-SODI</t>
  </si>
  <si>
    <t>solarakademie-franken.de</t>
  </si>
  <si>
    <t>pv-now.de, Impressum und Kontakt (Solare Dienstleistungen GbR, Nürnberg)</t>
  </si>
  <si>
    <t>pv@now manager, Projekt „INEKON Schulung 01“, ausgelesen 25.08.2026 (App-Version 10.0.0; Pläne „Überschuss“ und „Volleinspeisung“, Erlösmodelle-Seite, EEG-Tabellen im Tool, Betreibermodell-Auswahlliste, Kennzahlen)</t>
  </si>
  <si>
    <t>Primärerhebung in der Anwendung</t>
  </si>
  <si>
    <t>Protokoll der abgebrochenen In-App-Erfassung von Modellkatalog und Glossar vom 25.08.2026 (Sitzungsablauf, keine Inhalte erfasst)</t>
  </si>
  <si>
    <t>Externe Schulung WFB/energiekonsens Bremen, 19.06.2025</t>
  </si>
  <si>
    <t>ikhb.de/node/124724; energiekonsens.de</t>
  </si>
  <si>
    <t>Q2 – Offene Punkte zum Datenstand</t>
  </si>
  <si>
    <t>1. Modellkatalog: erledigt. Alle 25 Betreibermodelle wurden am 25.08.2026 in der App verifiziert (Rollenformeln, Subtypen, Parteiensystematik, wörtliche Beschreibungen); die frühere Arbeitshypothese zur Nummernlogik ist gegenstandslos und wurde ersetzt [29][30]. Offen bleibt die Erfassung der restlichen Glossarbegriffe – sechs Definitionen liegen vor, dreizehn weitere sind benannt; die Erfassung wurde durch einen Ausfall der Browser-Verbindung unterbrochen [30].</t>
  </si>
  <si>
    <t>2. Glossartexte gegenüber dem Rechtsstand: Der Glossareintrag zum Ausschreibungsmodell nennt die frühere Schwelle 750 kWp statt der heutigen Werte nach § 22 Abs. 3 EEG; der Eintrag zum Marktprämienmodell beschreibt den Monatsmarktwert, während für Inbetriebnahmen ab 2023 der Jahresmarktwert maßgeblich ist [4][29].</t>
  </si>
  <si>
    <t>3. Webinartermine: Die Uhrzeiten der Schulungstermine sind extern nicht bestätigt und daher nicht ausgewiesen; maßgeblich ist die Buchungsseite solarakademie-franken.de [27].</t>
  </si>
  <si>
    <t>4. Mieterstromzuschlag im Projekt: Der Wert 2,62 ct/kWh im Plan „Überschuss“ lässt sich aus den erfassten Ausgangswerten nicht herleiten (rechnerischer Mischwert wäre 2,54 ct/kWh) [29].</t>
  </si>
  <si>
    <t>5. Ausfallvergütung im Projekt: wird für 30 kWp ausgewiesen, obwohl der Anspruch nach § 21 Abs. 1 S. 1 Nr. 3 EEG nur Anlagen über 100 kW zusteht [4][29].</t>
  </si>
  <si>
    <t>6. Solarspitzengesetz im Werkzeug: kein namentlicher Changelog-Eintrag; die Umsetzung der §§ 51/51a EEG und der 60-%-Kappung nach § 9 Abs. 2 EEG ist beim Support zu erfragen [22].</t>
  </si>
  <si>
    <t>7. Modellzahl: App-Auswahlliste 25 Modelle gegenüber „ca. 30“ bzw. „über 20“ in der öffentlichen Produktinformation; die Familie „PV-Mieterstrom“ erscheint in der App nicht separat [22][29].</t>
  </si>
  <si>
    <t>8. BDEW-Wert Haushalte (37,0 ct/kWh): in der Quellenauswertung ohne ausdrückliche Netto-/Brutto-Kennzeichnung; der Gewerbe-/Industriewert von 17,2 ct/kWh ist als Nettowert ausgewiesen [11].</t>
  </si>
  <si>
    <t>9. Weitere offene Datenpunkte: Vergütungsrunden Oktober und Dezember 2026 noch offen; Monatsmarktwert Solar August 2026 noch nicht veröffentlicht; PPA-Reihen für 2026 nicht belastbar; Festlegung der Bundesnetzagentur zu Speichern (§ 19 Abs. 3b/3c EEG) unklar; die maximale Gebotsgröße von 50 MW steht unter Beihilfevorbehalt; das Kabinettsdatum der EEG-Novelle 2027 wird in den Quellen mit 29. oder 30.07.2026 angegeben – hier durchgängig 29.07.2026.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</si>
</sst>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407]#,##0"/>
    <numFmt numFmtId="165" formatCode="[$-407]00"/>
    <numFmt numFmtId="166" formatCode="[$-407]#,##0.00"/>
    <numFmt numFmtId="167" formatCode="[$-407]0.00%"/>
    <numFmt numFmtId="168" formatCode="[$-407]#,##0&quot; €&quot;"/>
    <numFmt numFmtId="169" formatCode="[$-407]#,##0.0000"/>
    <numFmt numFmtId="170" formatCode="[$-407]#,##0.00&quot; €&quot;"/>
    <numFmt numFmtId="171" formatCode="[$-407]#,##0;\-#,##0;\–"/>
    <numFmt numFmtId="172" formatCode="[$-407]#,##0&quot; €&quot;;\-#,##0&quot; €&quot;;\–"/>
    <numFmt numFmtId="173" formatCode="[$-407]#,##0.00;\-#,##0.00;\–"/>
    <numFmt numFmtId="174" formatCode="[$-407]\+0.00%;\-0.00%;0.00%"/>
    <numFmt numFmtId="175" formatCode="[$-407]\+0.00&quot; %-Pkt.&quot;;\-0.00&quot; %-Pkt.&quot;;0.00&quot; %-Pkt.&quot;"/>
    <numFmt numFmtId="176" formatCode="[$-407]0.0%"/>
    <numFmt numFmtId="177" formatCode="[$-407]#,##0.00000"/>
    <numFmt numFmtId="178" formatCode="[$-407]#,##0.000"/>
  </numFmts>
  <fonts count="16" x14ac:knownFonts="1">
    <font>
      <sz val="11"/>
      <color theme="1"/>
      <name val="Calibri"/>
      <family val="2"/>
      <charset val="1"/>
    </font>
    <font>
      <b/>
      <sz val="14"/>
      <color rgb="FF1F3864"/>
      <name val="Arial"/>
      <charset val="1"/>
    </font>
    <font>
      <i/>
      <sz val="10"/>
      <color rgb="FF404040"/>
      <name val="Arial"/>
      <charset val="1"/>
    </font>
    <font>
      <b/>
      <sz val="10"/>
      <color rgb="FF1F3864"/>
      <name val="Arial"/>
      <charset val="1"/>
    </font>
    <font>
      <sz val="10"/>
      <name val="Arial"/>
      <charset val="1"/>
    </font>
    <font>
      <b/>
      <sz val="10"/>
      <color rgb="FFFFFFFF"/>
      <name val="Arial"/>
      <charset val="1"/>
    </font>
    <font>
      <b/>
      <sz val="10"/>
      <color rgb="FF9C5700"/>
      <name val="Arial"/>
      <charset val="1"/>
    </font>
    <font>
      <b/>
      <sz val="10"/>
      <color rgb="FFC00000"/>
      <name val="Arial"/>
      <charset val="1"/>
    </font>
    <font>
      <b/>
      <sz val="10"/>
      <color rgb="FF1F6B2E"/>
      <name val="Arial"/>
      <charset val="1"/>
    </font>
    <font>
      <b/>
      <sz val="11"/>
      <color rgb="FF0000FF"/>
      <name val="Arial"/>
      <charset val="1"/>
    </font>
    <font>
      <b/>
      <sz val="10"/>
      <color rgb="FF000000"/>
      <name val="Arial"/>
      <charset val="1"/>
    </font>
    <font>
      <b/>
      <sz val="10"/>
      <name val="Arial"/>
      <charset val="1"/>
    </font>
    <font>
      <sz val="9"/>
      <color rgb="FF404040"/>
      <name val="Arial"/>
      <charset val="1"/>
    </font>
    <font>
      <b/>
      <sz val="10"/>
      <color rgb="FF0000FF"/>
      <name val="Arial"/>
      <charset val="1"/>
    </font>
    <font>
      <sz val="10"/>
      <color rgb="FF008000"/>
      <name val="Arial"/>
      <charset val="1"/>
    </font>
    <font>
      <u/>
      <sz val="9"/>
      <color rgb="FF0563C1"/>
      <name val="Arial"/>
      <charset val="1"/>
    </font>
  </fonts>
  <fills count="9">
    <fill>
      <patternFill patternType="none"/>
    </fill>
    <fill>
      <patternFill patternType="gray125"/>
    </fill>
    <fill>
      <patternFill patternType="solid">
        <fgColor rgb="FFD9E2F3"/>
        <bgColor rgb="FFE2EFDA"/>
      </patternFill>
    </fill>
    <fill>
      <patternFill patternType="solid">
        <fgColor rgb="FF1F3864"/>
        <bgColor rgb="FF333399"/>
      </patternFill>
    </fill>
    <fill>
      <patternFill patternType="solid">
        <fgColor rgb="FFFFF2CC"/>
        <bgColor rgb="FFFCE4D6"/>
      </patternFill>
    </fill>
    <fill>
      <patternFill patternType="solid">
        <fgColor rgb="FFFCE4D6"/>
        <bgColor rgb="FFFFF2CC"/>
      </patternFill>
    </fill>
    <fill>
      <patternFill patternType="solid">
        <fgColor rgb="FFFFFF00"/>
        <bgColor rgb="FFFFFF00"/>
      </patternFill>
    </fill>
    <fill>
      <patternFill patternType="solid">
        <fgColor rgb="FFE2EFDA"/>
        <bgColor rgb="FFF2F2F2"/>
      </patternFill>
    </fill>
    <fill>
      <patternFill patternType="solid">
        <fgColor rgb="FFF2F2F2"/>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7F7F7F"/>
      </left>
      <right style="medium">
        <color rgb="FF7F7F7F"/>
      </right>
      <top style="medium">
        <color rgb="FF7F7F7F"/>
      </top>
      <bottom style="medium">
        <color rgb="FF7F7F7F"/>
      </bottom>
      <diagonal/>
    </border>
  </borders>
  <cellStyleXfs count="1">
    <xf numFmtId="0" fontId="0" fillId="0" borderId="0"/>
  </cellStyleXfs>
  <cellXfs count="153">
    <xf numFmtId="0" fontId="0" fillId="0" borderId="0" xfId="0"/>
    <xf numFmtId="0" fontId="11" fillId="8" borderId="1" xfId="0" applyFont="1" applyFill="1" applyBorder="1" applyAlignment="1">
      <alignment vertical="top" wrapText="1"/>
    </xf>
    <xf numFmtId="0" fontId="12" fillId="0" borderId="1" xfId="0" applyFont="1" applyBorder="1" applyAlignment="1">
      <alignment vertical="top" wrapText="1"/>
    </xf>
    <xf numFmtId="166" fontId="13" fillId="4" borderId="2" xfId="0" applyNumberFormat="1" applyFont="1" applyFill="1" applyBorder="1" applyAlignment="1">
      <alignment horizontal="right" vertical="top"/>
    </xf>
    <xf numFmtId="0" fontId="11" fillId="0" borderId="1" xfId="0" applyFont="1" applyBorder="1" applyAlignment="1">
      <alignment vertical="top" wrapText="1"/>
    </xf>
    <xf numFmtId="0" fontId="3" fillId="2" borderId="1" xfId="0" applyFont="1" applyFill="1" applyBorder="1"/>
    <xf numFmtId="0" fontId="6" fillId="4" borderId="1" xfId="0" applyFont="1" applyFill="1" applyBorder="1" applyAlignment="1">
      <alignment vertical="top" wrapText="1"/>
    </xf>
    <xf numFmtId="0" fontId="4" fillId="8" borderId="1" xfId="0" applyFont="1" applyFill="1" applyBorder="1" applyAlignment="1">
      <alignment vertical="top" wrapText="1"/>
    </xf>
    <xf numFmtId="0" fontId="5" fillId="3" borderId="1" xfId="0" applyFont="1" applyFill="1" applyBorder="1" applyAlignment="1">
      <alignment horizontal="center" vertical="center" wrapText="1"/>
    </xf>
    <xf numFmtId="0" fontId="12" fillId="0" borderId="0" xfId="0" applyFont="1" applyAlignment="1">
      <alignment vertical="top" wrapText="1"/>
    </xf>
    <xf numFmtId="0" fontId="4" fillId="0" borderId="1" xfId="0" applyFont="1" applyBorder="1" applyAlignment="1">
      <alignment vertical="top" wrapText="1"/>
    </xf>
    <xf numFmtId="0" fontId="7" fillId="5" borderId="1" xfId="0" applyFont="1" applyFill="1" applyBorder="1" applyAlignment="1">
      <alignment vertical="top" wrapText="1"/>
    </xf>
    <xf numFmtId="0" fontId="4" fillId="0" borderId="0" xfId="0" applyFont="1" applyAlignment="1">
      <alignment vertical="top" wrapText="1"/>
    </xf>
    <xf numFmtId="0" fontId="2" fillId="0" borderId="0" xfId="0" applyFont="1"/>
    <xf numFmtId="0" fontId="1" fillId="0" borderId="0" xfId="0" applyFont="1"/>
    <xf numFmtId="0" fontId="3" fillId="2" borderId="1" xfId="0" applyFont="1" applyFill="1" applyBorder="1"/>
    <xf numFmtId="0" fontId="5" fillId="3" borderId="1" xfId="0" applyFont="1" applyFill="1" applyBorder="1" applyAlignment="1">
      <alignment horizontal="center" vertical="center" wrapText="1"/>
    </xf>
    <xf numFmtId="0" fontId="6" fillId="4" borderId="1" xfId="0" applyFont="1" applyFill="1" applyBorder="1" applyAlignment="1">
      <alignment vertical="top" wrapText="1"/>
    </xf>
    <xf numFmtId="0" fontId="4" fillId="0" borderId="1" xfId="0" applyFont="1" applyBorder="1" applyAlignment="1">
      <alignment vertical="top" wrapText="1"/>
    </xf>
    <xf numFmtId="0" fontId="7" fillId="5" borderId="1" xfId="0" applyFont="1" applyFill="1" applyBorder="1" applyAlignment="1">
      <alignment vertical="top" wrapText="1"/>
    </xf>
    <xf numFmtId="0" fontId="8" fillId="0" borderId="1" xfId="0" applyFont="1" applyBorder="1" applyAlignment="1">
      <alignment vertical="top" wrapText="1"/>
    </xf>
    <xf numFmtId="0" fontId="9" fillId="6" borderId="1" xfId="0" applyFont="1" applyFill="1" applyBorder="1" applyAlignment="1">
      <alignment vertical="top" wrapText="1"/>
    </xf>
    <xf numFmtId="0" fontId="10" fillId="7" borderId="1" xfId="0" applyFont="1" applyFill="1" applyBorder="1" applyAlignment="1">
      <alignment vertical="top" wrapText="1"/>
    </xf>
    <xf numFmtId="0" fontId="11" fillId="0" borderId="1" xfId="0" applyFont="1" applyBorder="1" applyAlignment="1">
      <alignment vertical="top" wrapText="1"/>
    </xf>
    <xf numFmtId="0" fontId="4" fillId="0" borderId="1" xfId="0" applyFont="1" applyBorder="1" applyAlignment="1">
      <alignment horizontal="center" vertical="center" wrapText="1"/>
    </xf>
    <xf numFmtId="164" fontId="11"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12" fillId="0" borderId="1" xfId="0" applyFont="1" applyBorder="1" applyAlignment="1">
      <alignment vertical="top" wrapText="1"/>
    </xf>
    <xf numFmtId="164" fontId="11" fillId="8" borderId="1" xfId="0" applyNumberFormat="1" applyFont="1" applyFill="1" applyBorder="1" applyAlignment="1">
      <alignment horizontal="center" vertical="center"/>
    </xf>
    <xf numFmtId="0" fontId="11" fillId="8" borderId="1" xfId="0" applyFont="1" applyFill="1" applyBorder="1" applyAlignment="1">
      <alignment vertical="top" wrapText="1"/>
    </xf>
    <xf numFmtId="165"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0" fontId="8" fillId="8" borderId="1" xfId="0" applyFont="1" applyFill="1" applyBorder="1" applyAlignment="1">
      <alignment vertical="top" wrapText="1"/>
    </xf>
    <xf numFmtId="0" fontId="4" fillId="8" borderId="1" xfId="0" applyFont="1" applyFill="1" applyBorder="1" applyAlignment="1">
      <alignment vertical="top" wrapText="1"/>
    </xf>
    <xf numFmtId="0" fontId="12" fillId="8" borderId="1" xfId="0" applyFont="1" applyFill="1" applyBorder="1" applyAlignment="1">
      <alignment vertical="top" wrapText="1"/>
    </xf>
    <xf numFmtId="0" fontId="11" fillId="0" borderId="1" xfId="0" applyFont="1" applyBorder="1" applyAlignment="1">
      <alignment horizontal="left" vertical="top"/>
    </xf>
    <xf numFmtId="0" fontId="11" fillId="0" borderId="1" xfId="0" applyFont="1" applyBorder="1" applyAlignment="1">
      <alignment horizontal="center" vertical="center"/>
    </xf>
    <xf numFmtId="0" fontId="11" fillId="8" borderId="1" xfId="0" applyFont="1" applyFill="1" applyBorder="1" applyAlignment="1">
      <alignment horizontal="center" vertical="center"/>
    </xf>
    <xf numFmtId="0" fontId="12" fillId="0" borderId="1" xfId="0" applyFont="1" applyBorder="1" applyAlignment="1">
      <alignment horizontal="left" vertical="top"/>
    </xf>
    <xf numFmtId="0" fontId="12" fillId="0" borderId="1" xfId="0" applyFont="1" applyBorder="1" applyAlignment="1">
      <alignment horizontal="center" vertical="center"/>
    </xf>
    <xf numFmtId="166" fontId="13" fillId="4" borderId="2" xfId="0" applyNumberFormat="1" applyFont="1" applyFill="1" applyBorder="1" applyAlignment="1">
      <alignment horizontal="right" vertical="top"/>
    </xf>
    <xf numFmtId="0" fontId="12" fillId="8" borderId="1" xfId="0" applyFont="1" applyFill="1" applyBorder="1" applyAlignment="1">
      <alignment horizontal="center" vertical="center"/>
    </xf>
    <xf numFmtId="167" fontId="13" fillId="4" borderId="2" xfId="0" applyNumberFormat="1" applyFont="1" applyFill="1" applyBorder="1" applyAlignment="1">
      <alignment horizontal="right" vertical="top"/>
    </xf>
    <xf numFmtId="168" fontId="10" fillId="7" borderId="1" xfId="0" applyNumberFormat="1" applyFont="1" applyFill="1" applyBorder="1" applyAlignment="1">
      <alignment horizontal="right" vertical="top"/>
    </xf>
    <xf numFmtId="169" fontId="10" fillId="7" borderId="1" xfId="0" applyNumberFormat="1" applyFont="1" applyFill="1" applyBorder="1" applyAlignment="1">
      <alignment horizontal="right" vertical="top"/>
    </xf>
    <xf numFmtId="167" fontId="10" fillId="7" borderId="1" xfId="0" applyNumberFormat="1" applyFont="1" applyFill="1" applyBorder="1" applyAlignment="1">
      <alignment horizontal="right" vertical="top"/>
    </xf>
    <xf numFmtId="170" fontId="10" fillId="7" borderId="1" xfId="0" applyNumberFormat="1" applyFont="1" applyFill="1" applyBorder="1" applyAlignment="1">
      <alignment horizontal="right" vertical="top"/>
    </xf>
    <xf numFmtId="164" fontId="11" fillId="2" borderId="1" xfId="0" applyNumberFormat="1" applyFont="1" applyFill="1" applyBorder="1" applyAlignment="1">
      <alignment horizontal="center" vertical="center"/>
    </xf>
    <xf numFmtId="171" fontId="4" fillId="2" borderId="1" xfId="0" applyNumberFormat="1" applyFont="1" applyFill="1" applyBorder="1" applyAlignment="1">
      <alignment horizontal="right" vertical="top"/>
    </xf>
    <xf numFmtId="172" fontId="4" fillId="2" borderId="1" xfId="0" applyNumberFormat="1" applyFont="1" applyFill="1" applyBorder="1" applyAlignment="1">
      <alignment horizontal="right" vertical="top"/>
    </xf>
    <xf numFmtId="172" fontId="11" fillId="2" borderId="1" xfId="0" applyNumberFormat="1" applyFont="1" applyFill="1" applyBorder="1" applyAlignment="1">
      <alignment horizontal="right" vertical="top"/>
    </xf>
    <xf numFmtId="169" fontId="4" fillId="2" borderId="1" xfId="0" applyNumberFormat="1" applyFont="1" applyFill="1" applyBorder="1" applyAlignment="1">
      <alignment horizontal="right" vertical="top"/>
    </xf>
    <xf numFmtId="173" fontId="4" fillId="2" borderId="1" xfId="0" applyNumberFormat="1" applyFont="1" applyFill="1" applyBorder="1" applyAlignment="1">
      <alignment horizontal="right" vertical="top"/>
    </xf>
    <xf numFmtId="171" fontId="4" fillId="8" borderId="1" xfId="0" applyNumberFormat="1" applyFont="1" applyFill="1" applyBorder="1" applyAlignment="1">
      <alignment horizontal="right" vertical="top"/>
    </xf>
    <xf numFmtId="172" fontId="4" fillId="8" borderId="1" xfId="0" applyNumberFormat="1" applyFont="1" applyFill="1" applyBorder="1" applyAlignment="1">
      <alignment horizontal="right" vertical="top"/>
    </xf>
    <xf numFmtId="172" fontId="11" fillId="8" borderId="1" xfId="0" applyNumberFormat="1" applyFont="1" applyFill="1" applyBorder="1" applyAlignment="1">
      <alignment horizontal="right" vertical="top"/>
    </xf>
    <xf numFmtId="169" fontId="4" fillId="8" borderId="1" xfId="0" applyNumberFormat="1" applyFont="1" applyFill="1" applyBorder="1" applyAlignment="1">
      <alignment horizontal="right" vertical="top"/>
    </xf>
    <xf numFmtId="173" fontId="4" fillId="8" borderId="1" xfId="0" applyNumberFormat="1" applyFont="1" applyFill="1" applyBorder="1" applyAlignment="1">
      <alignment horizontal="right" vertical="top"/>
    </xf>
    <xf numFmtId="171" fontId="4" fillId="0" borderId="1" xfId="0" applyNumberFormat="1" applyFont="1" applyBorder="1" applyAlignment="1">
      <alignment horizontal="right" vertical="top"/>
    </xf>
    <xf numFmtId="172" fontId="4" fillId="0" borderId="1" xfId="0" applyNumberFormat="1" applyFont="1" applyBorder="1" applyAlignment="1">
      <alignment horizontal="right" vertical="top"/>
    </xf>
    <xf numFmtId="172" fontId="11"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173" fontId="4" fillId="0" borderId="1" xfId="0" applyNumberFormat="1" applyFont="1" applyBorder="1" applyAlignment="1">
      <alignment horizontal="right" vertical="top"/>
    </xf>
    <xf numFmtId="171" fontId="10" fillId="7" borderId="1" xfId="0" applyNumberFormat="1" applyFont="1" applyFill="1" applyBorder="1" applyAlignment="1">
      <alignment horizontal="right" vertical="top"/>
    </xf>
    <xf numFmtId="172" fontId="10" fillId="7" borderId="1" xfId="0" applyNumberFormat="1" applyFont="1" applyFill="1" applyBorder="1" applyAlignment="1">
      <alignment horizontal="right" vertical="top"/>
    </xf>
    <xf numFmtId="0" fontId="0" fillId="7" borderId="1" xfId="0" applyFill="1" applyBorder="1"/>
    <xf numFmtId="173" fontId="10" fillId="7" borderId="1" xfId="0" applyNumberFormat="1" applyFont="1" applyFill="1" applyBorder="1" applyAlignment="1">
      <alignment horizontal="right" vertical="top"/>
    </xf>
    <xf numFmtId="168" fontId="4" fillId="0" borderId="1" xfId="0" applyNumberFormat="1" applyFont="1" applyBorder="1" applyAlignment="1">
      <alignment horizontal="right" vertical="top"/>
    </xf>
    <xf numFmtId="174" fontId="10" fillId="0" borderId="1" xfId="0" applyNumberFormat="1" applyFont="1" applyBorder="1" applyAlignment="1">
      <alignment horizontal="center" vertical="center"/>
    </xf>
    <xf numFmtId="168" fontId="4" fillId="8" borderId="1" xfId="0" applyNumberFormat="1" applyFont="1" applyFill="1" applyBorder="1" applyAlignment="1">
      <alignment horizontal="right" vertical="top"/>
    </xf>
    <xf numFmtId="174" fontId="10" fillId="8" borderId="1" xfId="0" applyNumberFormat="1" applyFont="1" applyFill="1" applyBorder="1" applyAlignment="1">
      <alignment horizontal="center" vertical="center"/>
    </xf>
    <xf numFmtId="167" fontId="4" fillId="0" borderId="1" xfId="0" applyNumberFormat="1" applyFont="1" applyBorder="1" applyAlignment="1">
      <alignment horizontal="right" vertical="top"/>
    </xf>
    <xf numFmtId="175" fontId="10" fillId="0" borderId="1" xfId="0" applyNumberFormat="1" applyFont="1" applyBorder="1" applyAlignment="1">
      <alignment horizontal="center" vertical="center"/>
    </xf>
    <xf numFmtId="164" fontId="10" fillId="7" borderId="1" xfId="0" applyNumberFormat="1" applyFont="1" applyFill="1" applyBorder="1" applyAlignment="1">
      <alignment horizontal="right" vertical="top"/>
    </xf>
    <xf numFmtId="164" fontId="4" fillId="8" borderId="1" xfId="0" applyNumberFormat="1" applyFont="1" applyFill="1" applyBorder="1" applyAlignment="1">
      <alignment horizontal="right" vertical="top"/>
    </xf>
    <xf numFmtId="164" fontId="10" fillId="8" borderId="1" xfId="0" applyNumberFormat="1" applyFont="1" applyFill="1" applyBorder="1" applyAlignment="1">
      <alignment horizontal="center" vertical="center"/>
    </xf>
    <xf numFmtId="164" fontId="12" fillId="8" borderId="1" xfId="0" applyNumberFormat="1" applyFont="1" applyFill="1" applyBorder="1" applyAlignment="1">
      <alignment horizontal="center" vertical="center"/>
    </xf>
    <xf numFmtId="164" fontId="4" fillId="0" borderId="1" xfId="0" applyNumberFormat="1" applyFont="1" applyBorder="1" applyAlignment="1">
      <alignment horizontal="right" vertical="top"/>
    </xf>
    <xf numFmtId="164" fontId="10" fillId="0" borderId="1" xfId="0" applyNumberFormat="1" applyFont="1" applyBorder="1" applyAlignment="1">
      <alignment horizontal="center" vertical="center"/>
    </xf>
    <xf numFmtId="164" fontId="12" fillId="0" borderId="1" xfId="0" applyNumberFormat="1" applyFont="1" applyBorder="1" applyAlignment="1">
      <alignment horizontal="center" vertical="center"/>
    </xf>
    <xf numFmtId="166" fontId="10" fillId="7" borderId="1" xfId="0" applyNumberFormat="1" applyFont="1" applyFill="1" applyBorder="1" applyAlignment="1">
      <alignment horizontal="right" vertical="top"/>
    </xf>
    <xf numFmtId="166" fontId="4" fillId="8" borderId="1" xfId="0" applyNumberFormat="1" applyFont="1" applyFill="1" applyBorder="1" applyAlignment="1">
      <alignment horizontal="right" vertical="top"/>
    </xf>
    <xf numFmtId="166" fontId="4" fillId="0" borderId="1" xfId="0" applyNumberFormat="1" applyFont="1" applyBorder="1" applyAlignment="1">
      <alignment horizontal="right" vertical="top"/>
    </xf>
    <xf numFmtId="176" fontId="10" fillId="7" borderId="1" xfId="0" applyNumberFormat="1" applyFont="1" applyFill="1" applyBorder="1" applyAlignment="1">
      <alignment horizontal="right" vertical="top"/>
    </xf>
    <xf numFmtId="176" fontId="4" fillId="8" borderId="1" xfId="0" applyNumberFormat="1" applyFont="1" applyFill="1" applyBorder="1" applyAlignment="1">
      <alignment horizontal="right" vertical="top"/>
    </xf>
    <xf numFmtId="175" fontId="10" fillId="8" borderId="1" xfId="0" applyNumberFormat="1" applyFont="1" applyFill="1" applyBorder="1" applyAlignment="1">
      <alignment horizontal="center" vertical="center"/>
    </xf>
    <xf numFmtId="176" fontId="4" fillId="0" borderId="1" xfId="0" applyNumberFormat="1" applyFont="1" applyBorder="1" applyAlignment="1">
      <alignment horizontal="right" vertical="top"/>
    </xf>
    <xf numFmtId="176" fontId="12" fillId="0" borderId="1" xfId="0" applyNumberFormat="1" applyFont="1" applyBorder="1" applyAlignment="1">
      <alignment vertical="top" wrapText="1"/>
    </xf>
    <xf numFmtId="168" fontId="12" fillId="8" borderId="1" xfId="0" applyNumberFormat="1" applyFont="1" applyFill="1" applyBorder="1" applyAlignment="1">
      <alignment vertical="top" wrapText="1"/>
    </xf>
    <xf numFmtId="166" fontId="12" fillId="0" borderId="1" xfId="0" applyNumberFormat="1" applyFont="1" applyBorder="1" applyAlignment="1">
      <alignment vertical="top" wrapText="1"/>
    </xf>
    <xf numFmtId="170" fontId="4" fillId="0" borderId="1" xfId="0" applyNumberFormat="1" applyFont="1" applyBorder="1" applyAlignment="1">
      <alignment horizontal="right" vertical="top"/>
    </xf>
    <xf numFmtId="0" fontId="4" fillId="8" borderId="1" xfId="0" applyFont="1" applyFill="1" applyBorder="1" applyAlignment="1">
      <alignment horizontal="center" vertical="center"/>
    </xf>
    <xf numFmtId="0" fontId="4" fillId="0" borderId="1" xfId="0" applyFont="1" applyBorder="1" applyAlignment="1">
      <alignment horizontal="center" vertical="center"/>
    </xf>
    <xf numFmtId="0" fontId="8" fillId="0" borderId="1" xfId="0" applyFont="1" applyBorder="1" applyAlignment="1">
      <alignment horizontal="center" vertical="center"/>
    </xf>
    <xf numFmtId="0" fontId="8" fillId="8" borderId="1" xfId="0" applyFont="1" applyFill="1" applyBorder="1" applyAlignment="1">
      <alignment horizontal="center" vertical="center"/>
    </xf>
    <xf numFmtId="166" fontId="11" fillId="0" borderId="1" xfId="0" applyNumberFormat="1" applyFont="1" applyBorder="1" applyAlignment="1">
      <alignment horizontal="right" vertical="top"/>
    </xf>
    <xf numFmtId="0" fontId="11" fillId="8" borderId="1" xfId="0" applyFont="1" applyFill="1" applyBorder="1" applyAlignment="1">
      <alignment horizontal="left" vertical="top"/>
    </xf>
    <xf numFmtId="0" fontId="12" fillId="8" borderId="1" xfId="0" applyFont="1" applyFill="1" applyBorder="1" applyAlignment="1">
      <alignment horizontal="left" vertical="top"/>
    </xf>
    <xf numFmtId="177" fontId="4" fillId="0" borderId="1" xfId="0" applyNumberFormat="1" applyFont="1" applyBorder="1" applyAlignment="1">
      <alignment horizontal="right" vertical="top"/>
    </xf>
    <xf numFmtId="177" fontId="4" fillId="8" borderId="1" xfId="0" applyNumberFormat="1" applyFont="1" applyFill="1" applyBorder="1" applyAlignment="1">
      <alignment horizontal="right" vertical="top"/>
    </xf>
    <xf numFmtId="166" fontId="11" fillId="8" borderId="1" xfId="0" applyNumberFormat="1" applyFont="1" applyFill="1" applyBorder="1" applyAlignment="1">
      <alignment horizontal="right" vertical="top"/>
    </xf>
    <xf numFmtId="166" fontId="9" fillId="6" borderId="1" xfId="0" applyNumberFormat="1" applyFont="1" applyFill="1" applyBorder="1" applyAlignment="1">
      <alignment horizontal="center" vertical="center"/>
    </xf>
    <xf numFmtId="0" fontId="6" fillId="0" borderId="1" xfId="0" applyFont="1" applyBorder="1" applyAlignment="1">
      <alignment vertical="top" wrapText="1"/>
    </xf>
    <xf numFmtId="166" fontId="14" fillId="0" borderId="1" xfId="0" applyNumberFormat="1" applyFont="1" applyBorder="1" applyAlignment="1">
      <alignment horizontal="right" vertical="top"/>
    </xf>
    <xf numFmtId="166" fontId="14" fillId="8" borderId="1" xfId="0" applyNumberFormat="1" applyFont="1" applyFill="1" applyBorder="1" applyAlignment="1">
      <alignment horizontal="right" vertical="top"/>
    </xf>
    <xf numFmtId="0" fontId="11" fillId="2" borderId="1" xfId="0" applyFont="1" applyFill="1" applyBorder="1" applyAlignment="1">
      <alignment horizontal="left" vertical="top"/>
    </xf>
    <xf numFmtId="0" fontId="4" fillId="2" borderId="1" xfId="0" applyFont="1" applyFill="1" applyBorder="1" applyAlignment="1">
      <alignment horizontal="left" vertical="top"/>
    </xf>
    <xf numFmtId="166" fontId="11" fillId="2" borderId="1" xfId="0" applyNumberFormat="1" applyFont="1" applyFill="1" applyBorder="1" applyAlignment="1">
      <alignment horizontal="right" vertical="top"/>
    </xf>
    <xf numFmtId="166" fontId="10" fillId="7" borderId="1" xfId="0" applyNumberFormat="1" applyFont="1" applyFill="1" applyBorder="1" applyAlignment="1">
      <alignment horizontal="center" vertical="center"/>
    </xf>
    <xf numFmtId="166" fontId="11"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4" fillId="0" borderId="1" xfId="0" applyFont="1" applyBorder="1" applyAlignment="1">
      <alignment horizontal="left" vertical="top"/>
    </xf>
    <xf numFmtId="0" fontId="4" fillId="8" borderId="1" xfId="0" applyFont="1" applyFill="1" applyBorder="1" applyAlignment="1">
      <alignment horizontal="left" vertical="top"/>
    </xf>
    <xf numFmtId="0" fontId="6" fillId="8" borderId="1" xfId="0" applyFont="1" applyFill="1" applyBorder="1" applyAlignment="1">
      <alignment vertical="top" wrapText="1"/>
    </xf>
    <xf numFmtId="178" fontId="4" fillId="8" borderId="1" xfId="0" applyNumberFormat="1" applyFont="1" applyFill="1" applyBorder="1" applyAlignment="1">
      <alignment horizontal="center" vertical="center"/>
    </xf>
    <xf numFmtId="178" fontId="6" fillId="8" borderId="1" xfId="0" applyNumberFormat="1" applyFont="1" applyFill="1" applyBorder="1" applyAlignment="1">
      <alignment horizontal="center" vertical="center"/>
    </xf>
    <xf numFmtId="178" fontId="11" fillId="0" borderId="1" xfId="0" applyNumberFormat="1" applyFont="1" applyBorder="1" applyAlignment="1">
      <alignment horizontal="right" vertical="top"/>
    </xf>
    <xf numFmtId="178" fontId="4" fillId="8" borderId="1" xfId="0" applyNumberFormat="1" applyFont="1" applyFill="1" applyBorder="1" applyAlignment="1">
      <alignment horizontal="right" vertical="top"/>
    </xf>
    <xf numFmtId="178" fontId="4" fillId="0" borderId="1" xfId="0" applyNumberFormat="1" applyFont="1" applyBorder="1" applyAlignment="1">
      <alignment horizontal="right" vertical="top"/>
    </xf>
    <xf numFmtId="0" fontId="11" fillId="4" borderId="1" xfId="0" applyFont="1" applyFill="1" applyBorder="1" applyAlignment="1">
      <alignment vertical="top" wrapText="1"/>
    </xf>
    <xf numFmtId="166" fontId="4" fillId="4" borderId="1" xfId="0" applyNumberFormat="1" applyFont="1" applyFill="1" applyBorder="1" applyAlignment="1">
      <alignment horizontal="right" vertical="top"/>
    </xf>
    <xf numFmtId="0" fontId="12" fillId="4" borderId="1" xfId="0" applyFont="1" applyFill="1" applyBorder="1" applyAlignment="1">
      <alignment horizontal="left" vertical="top"/>
    </xf>
    <xf numFmtId="166" fontId="10" fillId="0" borderId="1" xfId="0" applyNumberFormat="1" applyFont="1" applyBorder="1" applyAlignment="1">
      <alignment horizontal="right" vertical="top"/>
    </xf>
    <xf numFmtId="164" fontId="10" fillId="0" borderId="1" xfId="0" applyNumberFormat="1" applyFont="1" applyBorder="1" applyAlignment="1">
      <alignment horizontal="right" vertical="top"/>
    </xf>
    <xf numFmtId="167" fontId="10" fillId="0" borderId="1" xfId="0" applyNumberFormat="1" applyFont="1" applyBorder="1" applyAlignment="1">
      <alignment horizontal="right" vertical="top"/>
    </xf>
    <xf numFmtId="168" fontId="10" fillId="0" borderId="1" xfId="0" applyNumberFormat="1" applyFont="1" applyBorder="1" applyAlignment="1">
      <alignment horizontal="right" vertical="top"/>
    </xf>
    <xf numFmtId="167" fontId="4" fillId="8" borderId="1" xfId="0" applyNumberFormat="1" applyFont="1" applyFill="1" applyBorder="1" applyAlignment="1">
      <alignment horizontal="right" vertical="top"/>
    </xf>
    <xf numFmtId="167" fontId="10" fillId="8" borderId="1" xfId="0" applyNumberFormat="1" applyFont="1" applyFill="1" applyBorder="1" applyAlignment="1">
      <alignment horizontal="right" vertical="top"/>
    </xf>
    <xf numFmtId="164" fontId="10" fillId="8" borderId="1" xfId="0" applyNumberFormat="1" applyFont="1" applyFill="1" applyBorder="1" applyAlignment="1">
      <alignment horizontal="right" vertical="top"/>
    </xf>
    <xf numFmtId="168" fontId="10" fillId="8" borderId="1" xfId="0" applyNumberFormat="1" applyFont="1" applyFill="1" applyBorder="1" applyAlignment="1">
      <alignment horizontal="right" vertical="top"/>
    </xf>
    <xf numFmtId="170" fontId="4" fillId="8" borderId="1" xfId="0" applyNumberFormat="1" applyFont="1" applyFill="1" applyBorder="1" applyAlignment="1">
      <alignment horizontal="right" vertical="top"/>
    </xf>
    <xf numFmtId="170" fontId="10" fillId="8" borderId="1" xfId="0" applyNumberFormat="1" applyFont="1" applyFill="1" applyBorder="1" applyAlignment="1">
      <alignment horizontal="right" vertical="top"/>
    </xf>
    <xf numFmtId="168" fontId="11" fillId="0" borderId="1" xfId="0" applyNumberFormat="1" applyFont="1" applyBorder="1" applyAlignment="1">
      <alignment horizontal="right" vertical="top"/>
    </xf>
    <xf numFmtId="167" fontId="11" fillId="0" borderId="1" xfId="0" applyNumberFormat="1" applyFont="1" applyBorder="1" applyAlignment="1">
      <alignment horizontal="right" vertical="top"/>
    </xf>
    <xf numFmtId="166" fontId="11" fillId="4" borderId="1" xfId="0" applyNumberFormat="1" applyFont="1" applyFill="1" applyBorder="1" applyAlignment="1">
      <alignment horizontal="center" vertical="center"/>
    </xf>
    <xf numFmtId="0" fontId="12" fillId="4" borderId="1" xfId="0" applyFont="1" applyFill="1" applyBorder="1" applyAlignment="1">
      <alignment vertical="top" wrapText="1"/>
    </xf>
    <xf numFmtId="166" fontId="10" fillId="8" borderId="1" xfId="0" applyNumberFormat="1" applyFont="1" applyFill="1" applyBorder="1" applyAlignment="1">
      <alignment horizontal="right" vertical="top"/>
    </xf>
    <xf numFmtId="0" fontId="15" fillId="0" borderId="1" xfId="0" applyFont="1" applyBorder="1" applyAlignment="1">
      <alignment vertical="top" wrapText="1"/>
    </xf>
    <xf numFmtId="0" fontId="15" fillId="8" borderId="1" xfId="0" applyFont="1" applyFill="1" applyBorder="1" applyAlignment="1">
      <alignment vertical="top" wrapText="1"/>
    </xf>
    <xf numFmtId="164" fontId="13" fillId="4" borderId="2" xfId="0" applyNumberFormat="1" applyFont="1" applyFill="1" applyBorder="1" applyAlignment="1">
      <alignment horizontal="right" vertical="top"/>
    </xf>
    <xf numFmtId="0" fontId="12" fillId="8" borderId="1" xfId="0" applyFont="1" applyFill="1" applyBorder="1" applyAlignment="1">
      <alignment vertical="top" wrapText="1"/>
    </xf>
    <xf numFmtId="167" fontId="13" fillId="4" borderId="2" xfId="0" applyNumberFormat="1" applyFont="1" applyFill="1" applyBorder="1" applyAlignment="1">
      <alignment horizontal="right" vertical="top"/>
    </xf>
    <xf numFmtId="168" fontId="13" fillId="4" borderId="2" xfId="0" applyNumberFormat="1" applyFont="1" applyFill="1" applyBorder="1" applyAlignment="1">
      <alignment horizontal="right" vertical="top"/>
    </xf>
    <xf numFmtId="168" fontId="10" fillId="7" borderId="1" xfId="0" applyNumberFormat="1" applyFont="1" applyFill="1" applyBorder="1" applyAlignment="1">
      <alignment horizontal="right" vertical="top"/>
    </xf>
    <xf numFmtId="169" fontId="10" fillId="7" borderId="1" xfId="0" applyNumberFormat="1" applyFont="1" applyFill="1" applyBorder="1" applyAlignment="1">
      <alignment horizontal="right" vertical="top"/>
    </xf>
    <xf numFmtId="0" fontId="8" fillId="0" borderId="1" xfId="0" applyFont="1" applyBorder="1" applyAlignment="1">
      <alignment vertical="top" wrapText="1"/>
    </xf>
    <xf numFmtId="0" fontId="7" fillId="5" borderId="0" xfId="0" applyFont="1" applyFill="1" applyAlignment="1">
      <alignment vertical="top" wrapText="1"/>
    </xf>
    <xf numFmtId="0" fontId="4" fillId="0" borderId="1" xfId="0" applyFont="1" applyBorder="1" applyAlignment="1">
      <alignment horizontal="right" vertical="top"/>
    </xf>
    <xf numFmtId="0" fontId="4" fillId="8" borderId="1" xfId="0" applyFont="1" applyFill="1" applyBorder="1" applyAlignment="1">
      <alignment horizontal="right" vertical="top"/>
    </xf>
    <xf numFmtId="0" fontId="6" fillId="0" borderId="1" xfId="0" applyFont="1" applyBorder="1" applyAlignment="1">
      <alignment vertical="top" wrapText="1"/>
    </xf>
    <xf numFmtId="0" fontId="8" fillId="2" borderId="1" xfId="0" applyFont="1" applyFill="1" applyBorder="1" applyAlignment="1">
      <alignment vertical="top" wrapText="1"/>
    </xf>
    <xf numFmtId="0" fontId="4" fillId="4" borderId="1" xfId="0" applyFont="1" applyFill="1" applyBorder="1" applyAlignment="1">
      <alignment vertical="top" wrapText="1"/>
    </xf>
  </cellXfs>
  <cellStyles count="1">
    <cellStyle name="Standard"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6B2E"/>
      <rgbColor rgb="FFBFBFBF"/>
      <rgbColor rgb="FF7F7F7F"/>
      <rgbColor rgb="FF9999FF"/>
      <rgbColor rgb="FF993366"/>
      <rgbColor rgb="FFFFF2CC"/>
      <rgbColor rgb="FFF2F2F2"/>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3" Type="http://schemas.openxmlformats.org/officeDocument/2006/relationships/hyperlink" Target="https://www.gesetze-im-internet.de/eeg_2014/" TargetMode="External"/><Relationship Id="rId2" Type="http://schemas.openxmlformats.org/officeDocument/2006/relationships/hyperlink" Target="https://www.bundesnetzagentur.de/DE/Fachthemen/ElektrizitaetundGas/ErneuerbareEnergien/EEG_Foerderung/Archiv_VergSaetze/_DL/VergSaetzeAug26bisJan27.xlsx" TargetMode="External"/><Relationship Id="rId1" Type="http://schemas.openxmlformats.org/officeDocument/2006/relationships/hyperlink" Target="https://www.bundesnetzagentur.de/DE/Fachthemen/ElektrizitaetundGas/ErneuerbareEnergien/EEG_Foerderung/start.html" TargetMode="External"/><Relationship Id="rId6" Type="http://schemas.openxmlformats.org/officeDocument/2006/relationships/hyperlink" Target="https://www.clearingstelle-eeg-kwkg.de/sites/default/files/2024-06/BMWK_Mieterstrom-und-Gemeinschaftliche-Gebaeudeversorgung.pdf" TargetMode="External"/><Relationship Id="rId5" Type="http://schemas.openxmlformats.org/officeDocument/2006/relationships/hyperlink" Target="https://www.bdew.de/media/documents/BDEW_Strompreisanalyse_082026.pdf" TargetMode="External"/><Relationship Id="rId4" Type="http://schemas.openxmlformats.org/officeDocument/2006/relationships/hyperlink" Target="https://www.dena.de/fileadmin/dena/Publikationen/PDFs/2026/PPA_Marktanalyse_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8"/>
  <sheetViews>
    <sheetView zoomScaleNormal="100" workbookViewId="0">
      <pane ySplit="2" topLeftCell="A3" activePane="bottomLeft" state="frozen"/>
      <selection pane="bottomLeft" sqref="A1:D1"/>
    </sheetView>
  </sheetViews>
  <sheetFormatPr baseColWidth="10" defaultColWidth="8.6328125" defaultRowHeight="14.5" x14ac:dyDescent="0.35"/>
  <cols>
    <col min="1" max="1" width="46" customWidth="1"/>
    <col min="2" max="2" width="52" customWidth="1"/>
    <col min="3" max="3" width="40" customWidth="1"/>
    <col min="4" max="4" width="44" customWidth="1"/>
  </cols>
  <sheetData>
    <row r="1" spans="1:4" ht="19.5" customHeight="1" x14ac:dyDescent="0.4">
      <c r="A1" s="14" t="s">
        <v>0</v>
      </c>
      <c r="B1" s="14"/>
      <c r="C1" s="14"/>
      <c r="D1" s="14"/>
    </row>
    <row r="2" spans="1:4" ht="13.5" customHeight="1" x14ac:dyDescent="0.35">
      <c r="A2" s="13" t="s">
        <v>1</v>
      </c>
      <c r="B2" s="13"/>
      <c r="C2" s="13"/>
      <c r="D2" s="13"/>
    </row>
    <row r="4" spans="1:4" ht="18" customHeight="1" x14ac:dyDescent="0.35">
      <c r="A4" s="15" t="s">
        <v>2</v>
      </c>
      <c r="B4" s="15"/>
      <c r="C4" s="15"/>
      <c r="D4" s="15"/>
    </row>
    <row r="5" spans="1:4" ht="25.5" customHeight="1" x14ac:dyDescent="0.35">
      <c r="A5" s="12" t="s">
        <v>3</v>
      </c>
      <c r="B5" s="12"/>
      <c r="C5" s="12"/>
      <c r="D5" s="12"/>
    </row>
    <row r="6" spans="1:4" ht="25.5" customHeight="1" x14ac:dyDescent="0.35">
      <c r="A6" s="12" t="s">
        <v>4</v>
      </c>
      <c r="B6" s="12"/>
      <c r="C6" s="12"/>
      <c r="D6" s="12"/>
    </row>
    <row r="7" spans="1:4" ht="25.5" customHeight="1" x14ac:dyDescent="0.35">
      <c r="A7" s="12" t="s">
        <v>5</v>
      </c>
      <c r="B7" s="12"/>
      <c r="C7" s="12"/>
      <c r="D7" s="12"/>
    </row>
    <row r="9" spans="1:4" ht="18" customHeight="1" x14ac:dyDescent="0.35">
      <c r="A9" s="15" t="s">
        <v>6</v>
      </c>
      <c r="B9" s="15"/>
      <c r="C9" s="15"/>
      <c r="D9" s="15"/>
    </row>
    <row r="10" spans="1:4" ht="25.5" customHeight="1" x14ac:dyDescent="0.35">
      <c r="A10" s="12" t="s">
        <v>7</v>
      </c>
      <c r="B10" s="12"/>
      <c r="C10" s="12"/>
      <c r="D10" s="12"/>
    </row>
    <row r="11" spans="1:4" ht="25.5" customHeight="1" x14ac:dyDescent="0.35">
      <c r="A11" s="12" t="s">
        <v>8</v>
      </c>
      <c r="B11" s="12"/>
      <c r="C11" s="12"/>
      <c r="D11" s="12"/>
    </row>
    <row r="12" spans="1:4" ht="25.5" customHeight="1" x14ac:dyDescent="0.35">
      <c r="A12" s="12" t="s">
        <v>9</v>
      </c>
      <c r="B12" s="12"/>
      <c r="C12" s="12"/>
      <c r="D12" s="12"/>
    </row>
    <row r="13" spans="1:4" ht="25.5" customHeight="1" x14ac:dyDescent="0.35">
      <c r="A13" s="12" t="s">
        <v>10</v>
      </c>
      <c r="B13" s="12"/>
      <c r="C13" s="12"/>
      <c r="D13" s="12"/>
    </row>
    <row r="15" spans="1:4" ht="18" customHeight="1" x14ac:dyDescent="0.35">
      <c r="A15" s="15" t="s">
        <v>11</v>
      </c>
      <c r="B15" s="15"/>
      <c r="C15" s="15"/>
      <c r="D15" s="15"/>
    </row>
    <row r="16" spans="1:4" ht="25.5" customHeight="1" x14ac:dyDescent="0.35">
      <c r="A16" s="16" t="s">
        <v>12</v>
      </c>
      <c r="B16" s="16" t="s">
        <v>13</v>
      </c>
      <c r="C16" s="16" t="s">
        <v>14</v>
      </c>
      <c r="D16" s="16" t="s">
        <v>15</v>
      </c>
    </row>
    <row r="17" spans="1:4" ht="30" customHeight="1" x14ac:dyDescent="0.35">
      <c r="A17" s="17" t="s">
        <v>16</v>
      </c>
      <c r="B17" s="18" t="s">
        <v>17</v>
      </c>
      <c r="C17" s="18" t="s">
        <v>18</v>
      </c>
      <c r="D17" s="18" t="s">
        <v>19</v>
      </c>
    </row>
    <row r="18" spans="1:4" ht="30" customHeight="1" x14ac:dyDescent="0.35">
      <c r="A18" s="19" t="s">
        <v>20</v>
      </c>
      <c r="B18" s="18" t="s">
        <v>21</v>
      </c>
      <c r="C18" s="18" t="s">
        <v>22</v>
      </c>
      <c r="D18" s="18" t="s">
        <v>23</v>
      </c>
    </row>
    <row r="19" spans="1:4" ht="30" customHeight="1" x14ac:dyDescent="0.35">
      <c r="A19" s="20" t="s">
        <v>24</v>
      </c>
      <c r="B19" s="18" t="s">
        <v>25</v>
      </c>
      <c r="C19" s="18" t="s">
        <v>26</v>
      </c>
      <c r="D19" s="18" t="s">
        <v>27</v>
      </c>
    </row>
    <row r="20" spans="1:4" ht="30" customHeight="1" x14ac:dyDescent="0.35">
      <c r="A20" s="21" t="s">
        <v>28</v>
      </c>
      <c r="B20" s="18" t="s">
        <v>29</v>
      </c>
      <c r="C20" s="18" t="s">
        <v>30</v>
      </c>
      <c r="D20" s="18" t="s">
        <v>31</v>
      </c>
    </row>
    <row r="21" spans="1:4" ht="30" customHeight="1" x14ac:dyDescent="0.35">
      <c r="A21" s="22" t="s">
        <v>32</v>
      </c>
      <c r="B21" s="18" t="s">
        <v>33</v>
      </c>
      <c r="C21" s="18" t="s">
        <v>34</v>
      </c>
      <c r="D21" s="18" t="s">
        <v>35</v>
      </c>
    </row>
    <row r="22" spans="1:4" ht="30" customHeight="1" x14ac:dyDescent="0.35">
      <c r="A22" s="18" t="s">
        <v>36</v>
      </c>
      <c r="B22" s="18" t="s">
        <v>37</v>
      </c>
      <c r="C22" s="18" t="s">
        <v>38</v>
      </c>
      <c r="D22" s="18" t="s">
        <v>39</v>
      </c>
    </row>
    <row r="24" spans="1:4" ht="18" customHeight="1" x14ac:dyDescent="0.35">
      <c r="A24" s="15" t="s">
        <v>40</v>
      </c>
      <c r="B24" s="15"/>
      <c r="C24" s="15"/>
      <c r="D24" s="15"/>
    </row>
    <row r="25" spans="1:4" ht="25.5" customHeight="1" x14ac:dyDescent="0.35">
      <c r="A25" s="16" t="s">
        <v>41</v>
      </c>
      <c r="B25" s="16" t="s">
        <v>42</v>
      </c>
      <c r="C25" s="16" t="s">
        <v>43</v>
      </c>
      <c r="D25" s="16" t="s">
        <v>44</v>
      </c>
    </row>
    <row r="26" spans="1:4" ht="43.5" customHeight="1" x14ac:dyDescent="0.35">
      <c r="A26" s="23" t="s">
        <v>45</v>
      </c>
      <c r="B26" s="18" t="s">
        <v>46</v>
      </c>
      <c r="C26" s="24" t="s">
        <v>47</v>
      </c>
      <c r="D26" s="18" t="s">
        <v>48</v>
      </c>
    </row>
    <row r="27" spans="1:4" ht="43.5" customHeight="1" x14ac:dyDescent="0.35">
      <c r="A27" s="23" t="s">
        <v>49</v>
      </c>
      <c r="B27" s="18" t="s">
        <v>50</v>
      </c>
      <c r="C27" s="24" t="s">
        <v>51</v>
      </c>
      <c r="D27" s="18" t="s">
        <v>52</v>
      </c>
    </row>
    <row r="28" spans="1:4" ht="43.5" customHeight="1" x14ac:dyDescent="0.35">
      <c r="A28" s="23" t="s">
        <v>53</v>
      </c>
      <c r="B28" s="18" t="s">
        <v>54</v>
      </c>
      <c r="C28" s="24" t="s">
        <v>55</v>
      </c>
      <c r="D28" s="18" t="s">
        <v>52</v>
      </c>
    </row>
    <row r="29" spans="1:4" ht="43.5" customHeight="1" x14ac:dyDescent="0.35">
      <c r="A29" s="23" t="s">
        <v>56</v>
      </c>
      <c r="B29" s="18" t="s">
        <v>57</v>
      </c>
      <c r="C29" s="24" t="s">
        <v>58</v>
      </c>
      <c r="D29" s="18" t="s">
        <v>59</v>
      </c>
    </row>
    <row r="30" spans="1:4" ht="78" customHeight="1" x14ac:dyDescent="0.35">
      <c r="A30" s="23" t="s">
        <v>60</v>
      </c>
      <c r="B30" s="18" t="s">
        <v>61</v>
      </c>
      <c r="C30" s="24" t="s">
        <v>62</v>
      </c>
      <c r="D30" s="18" t="s">
        <v>63</v>
      </c>
    </row>
    <row r="31" spans="1:4" ht="78" customHeight="1" x14ac:dyDescent="0.35">
      <c r="A31" s="23" t="s">
        <v>64</v>
      </c>
      <c r="B31" s="18" t="s">
        <v>65</v>
      </c>
      <c r="C31" s="24" t="s">
        <v>66</v>
      </c>
      <c r="D31" s="18" t="s">
        <v>67</v>
      </c>
    </row>
    <row r="32" spans="1:4" ht="43.5" customHeight="1" x14ac:dyDescent="0.35">
      <c r="A32" s="23" t="s">
        <v>68</v>
      </c>
      <c r="B32" s="18" t="s">
        <v>69</v>
      </c>
      <c r="C32" s="24" t="s">
        <v>70</v>
      </c>
      <c r="D32" s="18" t="s">
        <v>71</v>
      </c>
    </row>
    <row r="33" spans="1:4" ht="43.5" customHeight="1" x14ac:dyDescent="0.35">
      <c r="A33" s="23" t="s">
        <v>72</v>
      </c>
      <c r="B33" s="18" t="s">
        <v>73</v>
      </c>
      <c r="C33" s="24" t="s">
        <v>74</v>
      </c>
      <c r="D33" s="18" t="s">
        <v>75</v>
      </c>
    </row>
    <row r="34" spans="1:4" ht="43.5" customHeight="1" x14ac:dyDescent="0.35">
      <c r="A34" s="23" t="s">
        <v>76</v>
      </c>
      <c r="B34" s="18" t="s">
        <v>77</v>
      </c>
      <c r="C34" s="24" t="s">
        <v>78</v>
      </c>
      <c r="D34" s="18" t="s">
        <v>79</v>
      </c>
    </row>
    <row r="35" spans="1:4" ht="78" customHeight="1" x14ac:dyDescent="0.35">
      <c r="A35" s="23" t="s">
        <v>80</v>
      </c>
      <c r="B35" s="18" t="s">
        <v>81</v>
      </c>
      <c r="C35" s="24" t="s">
        <v>82</v>
      </c>
      <c r="D35" s="18" t="s">
        <v>83</v>
      </c>
    </row>
    <row r="36" spans="1:4" ht="43.5" customHeight="1" x14ac:dyDescent="0.35">
      <c r="A36" s="23" t="s">
        <v>84</v>
      </c>
      <c r="B36" s="18" t="s">
        <v>85</v>
      </c>
      <c r="C36" s="24" t="s">
        <v>86</v>
      </c>
      <c r="D36" s="18" t="s">
        <v>87</v>
      </c>
    </row>
    <row r="37" spans="1:4" ht="42" customHeight="1" x14ac:dyDescent="0.35">
      <c r="A37" s="12" t="s">
        <v>88</v>
      </c>
      <c r="B37" s="12"/>
      <c r="C37" s="12"/>
      <c r="D37" s="12"/>
    </row>
    <row r="38" spans="1:4" ht="27.75" customHeight="1" x14ac:dyDescent="0.35">
      <c r="A38" s="12" t="s">
        <v>89</v>
      </c>
      <c r="B38" s="12"/>
      <c r="C38" s="12"/>
      <c r="D38" s="12"/>
    </row>
    <row r="39" spans="1:4" ht="42" customHeight="1" x14ac:dyDescent="0.35"/>
    <row r="40" spans="1:4" ht="18" customHeight="1" x14ac:dyDescent="0.35">
      <c r="A40" s="15" t="s">
        <v>90</v>
      </c>
      <c r="B40" s="15"/>
      <c r="C40" s="15"/>
      <c r="D40" s="15"/>
    </row>
    <row r="41" spans="1:4" ht="42" customHeight="1" x14ac:dyDescent="0.35">
      <c r="A41" s="11" t="s">
        <v>91</v>
      </c>
      <c r="B41" s="11"/>
      <c r="C41" s="11"/>
      <c r="D41" s="11"/>
    </row>
    <row r="42" spans="1:4" ht="42" customHeight="1" x14ac:dyDescent="0.35">
      <c r="A42" s="11" t="s">
        <v>92</v>
      </c>
      <c r="B42" s="11"/>
      <c r="C42" s="11"/>
      <c r="D42" s="11"/>
    </row>
    <row r="43" spans="1:4" ht="42" customHeight="1" x14ac:dyDescent="0.35">
      <c r="A43" s="11" t="s">
        <v>93</v>
      </c>
      <c r="B43" s="11"/>
      <c r="C43" s="11"/>
      <c r="D43" s="11"/>
    </row>
    <row r="44" spans="1:4" ht="39.75" customHeight="1" x14ac:dyDescent="0.35"/>
    <row r="45" spans="1:4" ht="18" customHeight="1" x14ac:dyDescent="0.35">
      <c r="A45" s="15" t="s">
        <v>94</v>
      </c>
      <c r="B45" s="15"/>
      <c r="C45" s="15"/>
      <c r="D45" s="15"/>
    </row>
    <row r="46" spans="1:4" ht="39.75" customHeight="1" x14ac:dyDescent="0.35">
      <c r="A46" s="12" t="s">
        <v>95</v>
      </c>
      <c r="B46" s="12"/>
      <c r="C46" s="12"/>
      <c r="D46" s="12"/>
    </row>
    <row r="47" spans="1:4" ht="39.75" customHeight="1" x14ac:dyDescent="0.35">
      <c r="A47" s="12" t="s">
        <v>96</v>
      </c>
      <c r="B47" s="12"/>
      <c r="C47" s="12"/>
      <c r="D47" s="12"/>
    </row>
    <row r="48" spans="1:4" ht="39.75" customHeight="1" x14ac:dyDescent="0.35">
      <c r="A48" s="12" t="s">
        <v>97</v>
      </c>
      <c r="B48" s="12"/>
      <c r="C48" s="12"/>
      <c r="D48" s="12"/>
    </row>
  </sheetData>
  <mergeCells count="17">
    <mergeCell ref="A47:D47"/>
    <mergeCell ref="A48:D48"/>
    <mergeCell ref="A38:D38"/>
    <mergeCell ref="A41:D41"/>
    <mergeCell ref="A42:D42"/>
    <mergeCell ref="A43:D43"/>
    <mergeCell ref="A46:D46"/>
    <mergeCell ref="A10:D10"/>
    <mergeCell ref="A11:D11"/>
    <mergeCell ref="A12:D12"/>
    <mergeCell ref="A13:D13"/>
    <mergeCell ref="A37:D37"/>
    <mergeCell ref="A1:D1"/>
    <mergeCell ref="A2:D2"/>
    <mergeCell ref="A5:D5"/>
    <mergeCell ref="A6:D6"/>
    <mergeCell ref="A7:D7"/>
  </mergeCells>
  <pageMargins left="0.5" right="0.4" top="0.6" bottom="0.6" header="0.511811023622047" footer="0.3"/>
  <pageSetup paperSize="9" fitToHeight="0" orientation="landscape" horizontalDpi="300" verticalDpi="300"/>
  <headerFooter>
    <oddFooter>&amp;L&amp;8 Betreibermodelle und Verguetungen Photovoltaik - Stand: 25.08.2026&amp;R&amp;8 Seite &amp;P von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54"/>
  <sheetViews>
    <sheetView zoomScaleNormal="100" workbookViewId="0">
      <pane xSplit="3" ySplit="3" topLeftCell="D29" activePane="bottomRight" state="frozen"/>
      <selection pane="topRight" activeCell="D1" sqref="D1"/>
      <selection pane="bottomLeft" activeCell="A4" sqref="A4"/>
      <selection pane="bottomRight" sqref="A1:K1"/>
    </sheetView>
  </sheetViews>
  <sheetFormatPr baseColWidth="10" defaultColWidth="8.6328125" defaultRowHeight="14.5" x14ac:dyDescent="0.35"/>
  <cols>
    <col min="1" max="1" width="5" customWidth="1"/>
    <col min="2" max="2" width="21" customWidth="1"/>
    <col min="3" max="3" width="23" customWidth="1"/>
    <col min="4" max="4" width="7" customWidth="1"/>
    <col min="5" max="5" width="32" customWidth="1"/>
    <col min="6" max="6" width="8" customWidth="1"/>
    <col min="7" max="7" width="22" customWidth="1"/>
    <col min="8" max="8" width="80" customWidth="1"/>
    <col min="9" max="9" width="38" customWidth="1"/>
    <col min="10" max="10" width="34" customWidth="1"/>
    <col min="11" max="11" width="9" customWidth="1"/>
  </cols>
  <sheetData>
    <row r="1" spans="1:11" ht="19.5" customHeight="1" x14ac:dyDescent="0.4">
      <c r="A1" s="14" t="s">
        <v>98</v>
      </c>
      <c r="B1" s="14"/>
      <c r="C1" s="14"/>
      <c r="D1" s="14"/>
      <c r="E1" s="14"/>
      <c r="F1" s="14"/>
      <c r="G1" s="14"/>
      <c r="H1" s="14"/>
      <c r="I1" s="14"/>
      <c r="J1" s="14"/>
      <c r="K1" s="14"/>
    </row>
    <row r="2" spans="1:11" ht="13.5" customHeight="1" x14ac:dyDescent="0.35">
      <c r="A2" s="13" t="s">
        <v>99</v>
      </c>
      <c r="B2" s="13"/>
      <c r="C2" s="13"/>
      <c r="D2" s="13"/>
      <c r="E2" s="13"/>
      <c r="F2" s="13"/>
      <c r="G2" s="13"/>
      <c r="H2" s="13"/>
      <c r="I2" s="13"/>
      <c r="J2" s="13"/>
      <c r="K2" s="13"/>
    </row>
    <row r="3" spans="1:11" ht="39.75" customHeight="1" x14ac:dyDescent="0.35">
      <c r="A3" s="16" t="s">
        <v>100</v>
      </c>
      <c r="B3" s="16" t="s">
        <v>101</v>
      </c>
      <c r="C3" s="16" t="s">
        <v>102</v>
      </c>
      <c r="D3" s="16" t="s">
        <v>103</v>
      </c>
      <c r="E3" s="16" t="s">
        <v>104</v>
      </c>
      <c r="F3" s="16" t="s">
        <v>105</v>
      </c>
      <c r="G3" s="16" t="s">
        <v>106</v>
      </c>
      <c r="H3" s="16" t="s">
        <v>107</v>
      </c>
      <c r="I3" s="16" t="s">
        <v>108</v>
      </c>
      <c r="J3" s="16" t="s">
        <v>109</v>
      </c>
      <c r="K3" s="16" t="s">
        <v>110</v>
      </c>
    </row>
    <row r="4" spans="1:11" ht="93.75" customHeight="1" x14ac:dyDescent="0.35">
      <c r="A4" s="25">
        <v>1</v>
      </c>
      <c r="B4" s="23" t="s">
        <v>111</v>
      </c>
      <c r="C4" s="23" t="s">
        <v>112</v>
      </c>
      <c r="D4" s="26">
        <v>2</v>
      </c>
      <c r="E4" s="23" t="s">
        <v>113</v>
      </c>
      <c r="F4" s="27">
        <v>1</v>
      </c>
      <c r="G4" s="20" t="s">
        <v>114</v>
      </c>
      <c r="H4" s="18" t="s">
        <v>115</v>
      </c>
      <c r="I4" s="18" t="s">
        <v>116</v>
      </c>
      <c r="J4" s="18" t="s">
        <v>117</v>
      </c>
      <c r="K4" s="28" t="s">
        <v>118</v>
      </c>
    </row>
    <row r="5" spans="1:11" ht="93.75" customHeight="1" x14ac:dyDescent="0.35">
      <c r="A5" s="25">
        <v>2</v>
      </c>
      <c r="B5" s="23" t="s">
        <v>111</v>
      </c>
      <c r="C5" s="23" t="s">
        <v>119</v>
      </c>
      <c r="D5" s="26">
        <v>3</v>
      </c>
      <c r="E5" s="23" t="s">
        <v>120</v>
      </c>
      <c r="F5" s="27">
        <v>2</v>
      </c>
      <c r="G5" s="20" t="s">
        <v>114</v>
      </c>
      <c r="H5" s="18" t="s">
        <v>121</v>
      </c>
      <c r="I5" s="18" t="s">
        <v>116</v>
      </c>
      <c r="J5" s="18" t="s">
        <v>122</v>
      </c>
      <c r="K5" s="28" t="s">
        <v>118</v>
      </c>
    </row>
    <row r="6" spans="1:11" ht="93.75" customHeight="1" x14ac:dyDescent="0.35">
      <c r="A6" s="29">
        <v>3</v>
      </c>
      <c r="B6" s="30" t="s">
        <v>123</v>
      </c>
      <c r="C6" s="30" t="s">
        <v>124</v>
      </c>
      <c r="D6" s="31">
        <v>6</v>
      </c>
      <c r="E6" s="30" t="s">
        <v>125</v>
      </c>
      <c r="F6" s="32">
        <v>1</v>
      </c>
      <c r="G6" s="33" t="s">
        <v>114</v>
      </c>
      <c r="H6" s="34" t="s">
        <v>126</v>
      </c>
      <c r="I6" s="34" t="s">
        <v>127</v>
      </c>
      <c r="J6" s="34" t="s">
        <v>128</v>
      </c>
      <c r="K6" s="35" t="s">
        <v>118</v>
      </c>
    </row>
    <row r="7" spans="1:11" ht="93.75" customHeight="1" x14ac:dyDescent="0.35">
      <c r="A7" s="29">
        <v>4</v>
      </c>
      <c r="B7" s="30" t="s">
        <v>123</v>
      </c>
      <c r="C7" s="30" t="s">
        <v>129</v>
      </c>
      <c r="D7" s="31">
        <v>7</v>
      </c>
      <c r="E7" s="30" t="s">
        <v>130</v>
      </c>
      <c r="F7" s="32">
        <v>2</v>
      </c>
      <c r="G7" s="33" t="s">
        <v>114</v>
      </c>
      <c r="H7" s="34" t="s">
        <v>131</v>
      </c>
      <c r="I7" s="34" t="s">
        <v>127</v>
      </c>
      <c r="J7" s="34" t="s">
        <v>132</v>
      </c>
      <c r="K7" s="35" t="s">
        <v>118</v>
      </c>
    </row>
    <row r="8" spans="1:11" ht="93.75" customHeight="1" x14ac:dyDescent="0.35">
      <c r="A8" s="25">
        <v>5</v>
      </c>
      <c r="B8" s="23" t="s">
        <v>133</v>
      </c>
      <c r="C8" s="23" t="s">
        <v>134</v>
      </c>
      <c r="D8" s="26">
        <v>8</v>
      </c>
      <c r="E8" s="23" t="s">
        <v>135</v>
      </c>
      <c r="F8" s="27">
        <v>2</v>
      </c>
      <c r="G8" s="20" t="s">
        <v>114</v>
      </c>
      <c r="H8" s="18" t="s">
        <v>136</v>
      </c>
      <c r="I8" s="18" t="s">
        <v>137</v>
      </c>
      <c r="J8" s="18" t="s">
        <v>138</v>
      </c>
      <c r="K8" s="28" t="s">
        <v>118</v>
      </c>
    </row>
    <row r="9" spans="1:11" ht="93.75" customHeight="1" x14ac:dyDescent="0.35">
      <c r="A9" s="25">
        <v>6</v>
      </c>
      <c r="B9" s="23" t="s">
        <v>133</v>
      </c>
      <c r="C9" s="23" t="s">
        <v>139</v>
      </c>
      <c r="D9" s="26">
        <v>9</v>
      </c>
      <c r="E9" s="23" t="s">
        <v>140</v>
      </c>
      <c r="F9" s="27">
        <v>2</v>
      </c>
      <c r="G9" s="20" t="s">
        <v>114</v>
      </c>
      <c r="H9" s="18" t="s">
        <v>141</v>
      </c>
      <c r="I9" s="18" t="s">
        <v>137</v>
      </c>
      <c r="J9" s="18" t="s">
        <v>142</v>
      </c>
      <c r="K9" s="28" t="s">
        <v>118</v>
      </c>
    </row>
    <row r="10" spans="1:11" ht="93.75" customHeight="1" x14ac:dyDescent="0.35">
      <c r="A10" s="25">
        <v>7</v>
      </c>
      <c r="B10" s="23" t="s">
        <v>133</v>
      </c>
      <c r="C10" s="23" t="s">
        <v>143</v>
      </c>
      <c r="D10" s="26">
        <v>10</v>
      </c>
      <c r="E10" s="23" t="s">
        <v>144</v>
      </c>
      <c r="F10" s="27">
        <v>2</v>
      </c>
      <c r="G10" s="20" t="s">
        <v>114</v>
      </c>
      <c r="H10" s="18" t="s">
        <v>145</v>
      </c>
      <c r="I10" s="18" t="s">
        <v>137</v>
      </c>
      <c r="J10" s="18" t="s">
        <v>142</v>
      </c>
      <c r="K10" s="28" t="s">
        <v>118</v>
      </c>
    </row>
    <row r="11" spans="1:11" ht="93.75" customHeight="1" x14ac:dyDescent="0.35">
      <c r="A11" s="25">
        <v>8</v>
      </c>
      <c r="B11" s="23" t="s">
        <v>133</v>
      </c>
      <c r="C11" s="23" t="s">
        <v>146</v>
      </c>
      <c r="D11" s="26">
        <v>11</v>
      </c>
      <c r="E11" s="23" t="s">
        <v>147</v>
      </c>
      <c r="F11" s="27">
        <v>3</v>
      </c>
      <c r="G11" s="20" t="s">
        <v>114</v>
      </c>
      <c r="H11" s="18" t="s">
        <v>148</v>
      </c>
      <c r="I11" s="18" t="s">
        <v>137</v>
      </c>
      <c r="J11" s="18" t="s">
        <v>142</v>
      </c>
      <c r="K11" s="28" t="s">
        <v>118</v>
      </c>
    </row>
    <row r="12" spans="1:11" ht="93.75" customHeight="1" x14ac:dyDescent="0.35">
      <c r="A12" s="25">
        <v>9</v>
      </c>
      <c r="B12" s="23" t="s">
        <v>133</v>
      </c>
      <c r="C12" s="23" t="s">
        <v>149</v>
      </c>
      <c r="D12" s="26">
        <v>12</v>
      </c>
      <c r="E12" s="23" t="s">
        <v>150</v>
      </c>
      <c r="F12" s="27">
        <v>3</v>
      </c>
      <c r="G12" s="20" t="s">
        <v>114</v>
      </c>
      <c r="H12" s="18" t="s">
        <v>151</v>
      </c>
      <c r="I12" s="18" t="s">
        <v>137</v>
      </c>
      <c r="J12" s="18" t="s">
        <v>142</v>
      </c>
      <c r="K12" s="28" t="s">
        <v>118</v>
      </c>
    </row>
    <row r="13" spans="1:11" ht="93.75" customHeight="1" x14ac:dyDescent="0.35">
      <c r="A13" s="29">
        <v>10</v>
      </c>
      <c r="B13" s="30" t="s">
        <v>152</v>
      </c>
      <c r="C13" s="30" t="s">
        <v>153</v>
      </c>
      <c r="D13" s="31">
        <v>13</v>
      </c>
      <c r="E13" s="30" t="s">
        <v>154</v>
      </c>
      <c r="F13" s="32">
        <v>2</v>
      </c>
      <c r="G13" s="33" t="s">
        <v>114</v>
      </c>
      <c r="H13" s="34" t="s">
        <v>155</v>
      </c>
      <c r="I13" s="34" t="s">
        <v>156</v>
      </c>
      <c r="J13" s="34" t="s">
        <v>132</v>
      </c>
      <c r="K13" s="35" t="s">
        <v>118</v>
      </c>
    </row>
    <row r="14" spans="1:11" ht="93.75" customHeight="1" x14ac:dyDescent="0.35">
      <c r="A14" s="29">
        <v>11</v>
      </c>
      <c r="B14" s="30" t="s">
        <v>152</v>
      </c>
      <c r="C14" s="30" t="s">
        <v>157</v>
      </c>
      <c r="D14" s="31">
        <v>14</v>
      </c>
      <c r="E14" s="30" t="s">
        <v>158</v>
      </c>
      <c r="F14" s="32">
        <v>3</v>
      </c>
      <c r="G14" s="33" t="s">
        <v>114</v>
      </c>
      <c r="H14" s="34" t="s">
        <v>159</v>
      </c>
      <c r="I14" s="34" t="s">
        <v>156</v>
      </c>
      <c r="J14" s="34" t="s">
        <v>132</v>
      </c>
      <c r="K14" s="35" t="s">
        <v>118</v>
      </c>
    </row>
    <row r="15" spans="1:11" ht="93.75" customHeight="1" x14ac:dyDescent="0.35">
      <c r="A15" s="29">
        <v>12</v>
      </c>
      <c r="B15" s="30" t="s">
        <v>152</v>
      </c>
      <c r="C15" s="30" t="s">
        <v>160</v>
      </c>
      <c r="D15" s="31">
        <v>15</v>
      </c>
      <c r="E15" s="30" t="s">
        <v>161</v>
      </c>
      <c r="F15" s="32">
        <v>2</v>
      </c>
      <c r="G15" s="33" t="s">
        <v>114</v>
      </c>
      <c r="H15" s="34" t="s">
        <v>162</v>
      </c>
      <c r="I15" s="34" t="s">
        <v>156</v>
      </c>
      <c r="J15" s="34" t="s">
        <v>132</v>
      </c>
      <c r="K15" s="35" t="s">
        <v>118</v>
      </c>
    </row>
    <row r="16" spans="1:11" ht="93.75" customHeight="1" x14ac:dyDescent="0.35">
      <c r="A16" s="29">
        <v>13</v>
      </c>
      <c r="B16" s="30" t="s">
        <v>152</v>
      </c>
      <c r="C16" s="30" t="s">
        <v>163</v>
      </c>
      <c r="D16" s="31">
        <v>16</v>
      </c>
      <c r="E16" s="30" t="s">
        <v>164</v>
      </c>
      <c r="F16" s="32">
        <v>3</v>
      </c>
      <c r="G16" s="33" t="s">
        <v>114</v>
      </c>
      <c r="H16" s="34" t="s">
        <v>165</v>
      </c>
      <c r="I16" s="34" t="s">
        <v>156</v>
      </c>
      <c r="J16" s="34" t="s">
        <v>142</v>
      </c>
      <c r="K16" s="35" t="s">
        <v>118</v>
      </c>
    </row>
    <row r="17" spans="1:11" ht="93.75" customHeight="1" x14ac:dyDescent="0.35">
      <c r="A17" s="29">
        <v>14</v>
      </c>
      <c r="B17" s="30" t="s">
        <v>152</v>
      </c>
      <c r="C17" s="30" t="s">
        <v>166</v>
      </c>
      <c r="D17" s="31">
        <v>17</v>
      </c>
      <c r="E17" s="30" t="s">
        <v>167</v>
      </c>
      <c r="F17" s="32">
        <v>3</v>
      </c>
      <c r="G17" s="33" t="s">
        <v>114</v>
      </c>
      <c r="H17" s="34" t="s">
        <v>168</v>
      </c>
      <c r="I17" s="34" t="s">
        <v>156</v>
      </c>
      <c r="J17" s="34" t="s">
        <v>132</v>
      </c>
      <c r="K17" s="35" t="s">
        <v>118</v>
      </c>
    </row>
    <row r="18" spans="1:11" ht="93.75" customHeight="1" x14ac:dyDescent="0.35">
      <c r="A18" s="29">
        <v>15</v>
      </c>
      <c r="B18" s="30" t="s">
        <v>152</v>
      </c>
      <c r="C18" s="30" t="s">
        <v>169</v>
      </c>
      <c r="D18" s="31">
        <v>18</v>
      </c>
      <c r="E18" s="30" t="s">
        <v>170</v>
      </c>
      <c r="F18" s="32">
        <v>3</v>
      </c>
      <c r="G18" s="33" t="s">
        <v>114</v>
      </c>
      <c r="H18" s="34" t="s">
        <v>171</v>
      </c>
      <c r="I18" s="34" t="s">
        <v>156</v>
      </c>
      <c r="J18" s="34" t="s">
        <v>132</v>
      </c>
      <c r="K18" s="35" t="s">
        <v>118</v>
      </c>
    </row>
    <row r="19" spans="1:11" ht="93.75" customHeight="1" x14ac:dyDescent="0.35">
      <c r="A19" s="29">
        <v>16</v>
      </c>
      <c r="B19" s="30" t="s">
        <v>152</v>
      </c>
      <c r="C19" s="30" t="s">
        <v>172</v>
      </c>
      <c r="D19" s="31">
        <v>19</v>
      </c>
      <c r="E19" s="30" t="s">
        <v>173</v>
      </c>
      <c r="F19" s="32">
        <v>3</v>
      </c>
      <c r="G19" s="33" t="s">
        <v>114</v>
      </c>
      <c r="H19" s="34" t="s">
        <v>174</v>
      </c>
      <c r="I19" s="34" t="s">
        <v>156</v>
      </c>
      <c r="J19" s="34" t="s">
        <v>142</v>
      </c>
      <c r="K19" s="35" t="s">
        <v>118</v>
      </c>
    </row>
    <row r="20" spans="1:11" ht="93.75" customHeight="1" x14ac:dyDescent="0.35">
      <c r="A20" s="29">
        <v>17</v>
      </c>
      <c r="B20" s="30" t="s">
        <v>152</v>
      </c>
      <c r="C20" s="30" t="s">
        <v>175</v>
      </c>
      <c r="D20" s="31">
        <v>20</v>
      </c>
      <c r="E20" s="30" t="s">
        <v>176</v>
      </c>
      <c r="F20" s="32">
        <v>3</v>
      </c>
      <c r="G20" s="33" t="s">
        <v>114</v>
      </c>
      <c r="H20" s="34" t="s">
        <v>177</v>
      </c>
      <c r="I20" s="34" t="s">
        <v>156</v>
      </c>
      <c r="J20" s="34" t="s">
        <v>132</v>
      </c>
      <c r="K20" s="35" t="s">
        <v>118</v>
      </c>
    </row>
    <row r="21" spans="1:11" ht="93.75" customHeight="1" x14ac:dyDescent="0.35">
      <c r="A21" s="29">
        <v>18</v>
      </c>
      <c r="B21" s="30" t="s">
        <v>152</v>
      </c>
      <c r="C21" s="30" t="s">
        <v>178</v>
      </c>
      <c r="D21" s="31">
        <v>21</v>
      </c>
      <c r="E21" s="30" t="s">
        <v>179</v>
      </c>
      <c r="F21" s="32">
        <v>3</v>
      </c>
      <c r="G21" s="33" t="s">
        <v>114</v>
      </c>
      <c r="H21" s="34" t="s">
        <v>180</v>
      </c>
      <c r="I21" s="34" t="s">
        <v>156</v>
      </c>
      <c r="J21" s="34" t="s">
        <v>142</v>
      </c>
      <c r="K21" s="35" t="s">
        <v>118</v>
      </c>
    </row>
    <row r="22" spans="1:11" ht="93.75" customHeight="1" x14ac:dyDescent="0.35">
      <c r="A22" s="29">
        <v>19</v>
      </c>
      <c r="B22" s="30" t="s">
        <v>152</v>
      </c>
      <c r="C22" s="30" t="s">
        <v>181</v>
      </c>
      <c r="D22" s="31">
        <v>22</v>
      </c>
      <c r="E22" s="30" t="s">
        <v>182</v>
      </c>
      <c r="F22" s="32">
        <v>4</v>
      </c>
      <c r="G22" s="33" t="s">
        <v>114</v>
      </c>
      <c r="H22" s="34" t="s">
        <v>183</v>
      </c>
      <c r="I22" s="34" t="s">
        <v>156</v>
      </c>
      <c r="J22" s="34" t="s">
        <v>132</v>
      </c>
      <c r="K22" s="35" t="s">
        <v>118</v>
      </c>
    </row>
    <row r="23" spans="1:11" ht="93.75" customHeight="1" x14ac:dyDescent="0.35">
      <c r="A23" s="29">
        <v>20</v>
      </c>
      <c r="B23" s="30" t="s">
        <v>152</v>
      </c>
      <c r="C23" s="30" t="s">
        <v>184</v>
      </c>
      <c r="D23" s="31">
        <v>23</v>
      </c>
      <c r="E23" s="30" t="s">
        <v>185</v>
      </c>
      <c r="F23" s="32">
        <v>4</v>
      </c>
      <c r="G23" s="33" t="s">
        <v>114</v>
      </c>
      <c r="H23" s="34" t="s">
        <v>186</v>
      </c>
      <c r="I23" s="34" t="s">
        <v>156</v>
      </c>
      <c r="J23" s="34" t="s">
        <v>142</v>
      </c>
      <c r="K23" s="35" t="s">
        <v>118</v>
      </c>
    </row>
    <row r="24" spans="1:11" ht="93.75" customHeight="1" x14ac:dyDescent="0.35">
      <c r="A24" s="25">
        <v>21</v>
      </c>
      <c r="B24" s="23" t="s">
        <v>187</v>
      </c>
      <c r="C24" s="23" t="s">
        <v>188</v>
      </c>
      <c r="D24" s="26">
        <v>24</v>
      </c>
      <c r="E24" s="23" t="s">
        <v>189</v>
      </c>
      <c r="F24" s="27">
        <v>2</v>
      </c>
      <c r="G24" s="20" t="s">
        <v>114</v>
      </c>
      <c r="H24" s="18" t="s">
        <v>190</v>
      </c>
      <c r="I24" s="18" t="s">
        <v>191</v>
      </c>
      <c r="J24" s="18" t="s">
        <v>132</v>
      </c>
      <c r="K24" s="28" t="s">
        <v>118</v>
      </c>
    </row>
    <row r="25" spans="1:11" ht="93.75" customHeight="1" x14ac:dyDescent="0.35">
      <c r="A25" s="25">
        <v>22</v>
      </c>
      <c r="B25" s="23" t="s">
        <v>187</v>
      </c>
      <c r="C25" s="23" t="s">
        <v>192</v>
      </c>
      <c r="D25" s="26">
        <v>25</v>
      </c>
      <c r="E25" s="23" t="s">
        <v>193</v>
      </c>
      <c r="F25" s="27">
        <v>3</v>
      </c>
      <c r="G25" s="20" t="s">
        <v>114</v>
      </c>
      <c r="H25" s="18" t="s">
        <v>194</v>
      </c>
      <c r="I25" s="18" t="s">
        <v>191</v>
      </c>
      <c r="J25" s="18" t="s">
        <v>132</v>
      </c>
      <c r="K25" s="28" t="s">
        <v>118</v>
      </c>
    </row>
    <row r="26" spans="1:11" ht="93.75" customHeight="1" x14ac:dyDescent="0.35">
      <c r="A26" s="25">
        <v>23</v>
      </c>
      <c r="B26" s="23" t="s">
        <v>187</v>
      </c>
      <c r="C26" s="23" t="s">
        <v>195</v>
      </c>
      <c r="D26" s="26">
        <v>26</v>
      </c>
      <c r="E26" s="23" t="s">
        <v>196</v>
      </c>
      <c r="F26" s="27">
        <v>2</v>
      </c>
      <c r="G26" s="20" t="s">
        <v>114</v>
      </c>
      <c r="H26" s="18" t="s">
        <v>197</v>
      </c>
      <c r="I26" s="18" t="s">
        <v>191</v>
      </c>
      <c r="J26" s="18" t="s">
        <v>132</v>
      </c>
      <c r="K26" s="28" t="s">
        <v>118</v>
      </c>
    </row>
    <row r="27" spans="1:11" ht="93.75" customHeight="1" x14ac:dyDescent="0.35">
      <c r="A27" s="25">
        <v>24</v>
      </c>
      <c r="B27" s="23" t="s">
        <v>187</v>
      </c>
      <c r="C27" s="23" t="s">
        <v>198</v>
      </c>
      <c r="D27" s="26">
        <v>27</v>
      </c>
      <c r="E27" s="23" t="s">
        <v>199</v>
      </c>
      <c r="F27" s="27">
        <v>2</v>
      </c>
      <c r="G27" s="20" t="s">
        <v>114</v>
      </c>
      <c r="H27" s="18" t="s">
        <v>200</v>
      </c>
      <c r="I27" s="18" t="s">
        <v>191</v>
      </c>
      <c r="J27" s="18" t="s">
        <v>132</v>
      </c>
      <c r="K27" s="28" t="s">
        <v>118</v>
      </c>
    </row>
    <row r="28" spans="1:11" ht="93.75" customHeight="1" x14ac:dyDescent="0.35">
      <c r="A28" s="25">
        <v>25</v>
      </c>
      <c r="B28" s="23" t="s">
        <v>187</v>
      </c>
      <c r="C28" s="23" t="s">
        <v>201</v>
      </c>
      <c r="D28" s="26">
        <v>28</v>
      </c>
      <c r="E28" s="23" t="s">
        <v>202</v>
      </c>
      <c r="F28" s="27">
        <v>3</v>
      </c>
      <c r="G28" s="20" t="s">
        <v>114</v>
      </c>
      <c r="H28" s="18" t="s">
        <v>203</v>
      </c>
      <c r="I28" s="18" t="s">
        <v>191</v>
      </c>
      <c r="J28" s="18" t="s">
        <v>132</v>
      </c>
      <c r="K28" s="28" t="s">
        <v>118</v>
      </c>
    </row>
    <row r="30" spans="1:11" ht="18" customHeight="1" x14ac:dyDescent="0.35">
      <c r="A30" s="15" t="s">
        <v>204</v>
      </c>
      <c r="B30" s="15"/>
      <c r="C30" s="15"/>
      <c r="D30" s="15"/>
      <c r="E30" s="15"/>
      <c r="F30" s="15"/>
      <c r="G30" s="15"/>
      <c r="H30" s="15"/>
      <c r="I30" s="15"/>
      <c r="J30" s="15"/>
      <c r="K30" s="15"/>
    </row>
    <row r="31" spans="1:11" ht="19.5" customHeight="1" x14ac:dyDescent="0.35">
      <c r="A31" s="16" t="s">
        <v>205</v>
      </c>
      <c r="B31" s="16" t="s">
        <v>13</v>
      </c>
    </row>
    <row r="32" spans="1:11" ht="15.75" customHeight="1" x14ac:dyDescent="0.35">
      <c r="A32" s="36" t="s">
        <v>206</v>
      </c>
      <c r="B32" s="10" t="s">
        <v>207</v>
      </c>
      <c r="C32" s="10"/>
      <c r="D32" s="10"/>
      <c r="E32" s="10"/>
      <c r="F32" s="10"/>
      <c r="G32" s="10"/>
      <c r="H32" s="10"/>
      <c r="I32" s="10"/>
      <c r="J32" s="10"/>
      <c r="K32" s="10"/>
    </row>
    <row r="33" spans="1:11" ht="15.75" customHeight="1" x14ac:dyDescent="0.35">
      <c r="A33" s="36" t="s">
        <v>208</v>
      </c>
      <c r="B33" s="10" t="s">
        <v>209</v>
      </c>
      <c r="C33" s="10"/>
      <c r="D33" s="10"/>
      <c r="E33" s="10"/>
      <c r="F33" s="10"/>
      <c r="G33" s="10"/>
      <c r="H33" s="10"/>
      <c r="I33" s="10"/>
      <c r="J33" s="10"/>
      <c r="K33" s="10"/>
    </row>
    <row r="34" spans="1:11" ht="15.75" customHeight="1" x14ac:dyDescent="0.35">
      <c r="A34" s="36" t="s">
        <v>210</v>
      </c>
      <c r="B34" s="10" t="s">
        <v>211</v>
      </c>
      <c r="C34" s="10"/>
      <c r="D34" s="10"/>
      <c r="E34" s="10"/>
      <c r="F34" s="10"/>
      <c r="G34" s="10"/>
      <c r="H34" s="10"/>
      <c r="I34" s="10"/>
      <c r="J34" s="10"/>
      <c r="K34" s="10"/>
    </row>
    <row r="35" spans="1:11" ht="15.75" customHeight="1" x14ac:dyDescent="0.35">
      <c r="A35" s="36" t="s">
        <v>212</v>
      </c>
      <c r="B35" s="10" t="s">
        <v>213</v>
      </c>
      <c r="C35" s="10"/>
      <c r="D35" s="10"/>
      <c r="E35" s="10"/>
      <c r="F35" s="10"/>
      <c r="G35" s="10"/>
      <c r="H35" s="10"/>
      <c r="I35" s="10"/>
      <c r="J35" s="10"/>
      <c r="K35" s="10"/>
    </row>
    <row r="36" spans="1:11" ht="15.75" customHeight="1" x14ac:dyDescent="0.35">
      <c r="A36" s="36" t="s">
        <v>214</v>
      </c>
      <c r="B36" s="10" t="s">
        <v>215</v>
      </c>
      <c r="C36" s="10"/>
      <c r="D36" s="10"/>
      <c r="E36" s="10"/>
      <c r="F36" s="10"/>
      <c r="G36" s="10"/>
      <c r="H36" s="10"/>
      <c r="I36" s="10"/>
      <c r="J36" s="10"/>
      <c r="K36" s="10"/>
    </row>
    <row r="37" spans="1:11" ht="15.75" customHeight="1" x14ac:dyDescent="0.35">
      <c r="A37" s="36" t="s">
        <v>216</v>
      </c>
      <c r="B37" s="10" t="s">
        <v>217</v>
      </c>
      <c r="C37" s="10"/>
      <c r="D37" s="10"/>
      <c r="E37" s="10"/>
      <c r="F37" s="10"/>
      <c r="G37" s="10"/>
      <c r="H37" s="10"/>
      <c r="I37" s="10"/>
      <c r="J37" s="10"/>
      <c r="K37" s="10"/>
    </row>
    <row r="38" spans="1:11" ht="15.75" customHeight="1" x14ac:dyDescent="0.35">
      <c r="A38" s="36" t="s">
        <v>218</v>
      </c>
      <c r="B38" s="10" t="s">
        <v>219</v>
      </c>
      <c r="C38" s="10"/>
      <c r="D38" s="10"/>
      <c r="E38" s="10"/>
      <c r="F38" s="10"/>
      <c r="G38" s="10"/>
      <c r="H38" s="10"/>
      <c r="I38" s="10"/>
      <c r="J38" s="10"/>
      <c r="K38" s="10"/>
    </row>
    <row r="39" spans="1:11" ht="15.75" customHeight="1" x14ac:dyDescent="0.35">
      <c r="A39" s="36" t="s">
        <v>220</v>
      </c>
      <c r="B39" s="10" t="s">
        <v>221</v>
      </c>
      <c r="C39" s="10"/>
      <c r="D39" s="10"/>
      <c r="E39" s="10"/>
      <c r="F39" s="10"/>
      <c r="G39" s="10"/>
      <c r="H39" s="10"/>
      <c r="I39" s="10"/>
      <c r="J39" s="10"/>
      <c r="K39" s="10"/>
    </row>
    <row r="40" spans="1:11" ht="15.75" customHeight="1" x14ac:dyDescent="0.35">
      <c r="A40" s="36" t="s">
        <v>222</v>
      </c>
      <c r="B40" s="10" t="s">
        <v>223</v>
      </c>
      <c r="C40" s="10"/>
      <c r="D40" s="10"/>
      <c r="E40" s="10"/>
      <c r="F40" s="10"/>
      <c r="G40" s="10"/>
      <c r="H40" s="10"/>
      <c r="I40" s="10"/>
      <c r="J40" s="10"/>
      <c r="K40" s="10"/>
    </row>
    <row r="42" spans="1:11" ht="18" customHeight="1" x14ac:dyDescent="0.35">
      <c r="A42" s="15" t="s">
        <v>224</v>
      </c>
      <c r="B42" s="15"/>
      <c r="C42" s="15"/>
      <c r="D42" s="15"/>
      <c r="E42" s="15"/>
      <c r="F42" s="15"/>
      <c r="G42" s="15"/>
      <c r="H42" s="15"/>
      <c r="I42" s="15"/>
      <c r="J42" s="15"/>
      <c r="K42" s="15"/>
    </row>
    <row r="43" spans="1:11" ht="42" customHeight="1" x14ac:dyDescent="0.35">
      <c r="A43" s="9" t="s">
        <v>225</v>
      </c>
      <c r="B43" s="9"/>
      <c r="C43" s="9"/>
      <c r="D43" s="9"/>
      <c r="E43" s="9"/>
      <c r="F43" s="9"/>
      <c r="G43" s="9"/>
      <c r="H43" s="9"/>
      <c r="I43" s="9"/>
      <c r="J43" s="9"/>
      <c r="K43" s="9"/>
    </row>
    <row r="44" spans="1:11" ht="19.5" customHeight="1" x14ac:dyDescent="0.35">
      <c r="A44" s="16" t="s">
        <v>226</v>
      </c>
      <c r="B44" s="16" t="s">
        <v>13</v>
      </c>
    </row>
    <row r="45" spans="1:11" ht="15.75" customHeight="1" x14ac:dyDescent="0.35">
      <c r="A45" s="36" t="s">
        <v>227</v>
      </c>
      <c r="B45" s="10" t="s">
        <v>228</v>
      </c>
      <c r="C45" s="10"/>
      <c r="D45" s="10"/>
      <c r="E45" s="10"/>
      <c r="F45" s="10"/>
      <c r="G45" s="10"/>
      <c r="H45" s="10"/>
      <c r="I45" s="10"/>
      <c r="J45" s="10"/>
      <c r="K45" s="10"/>
    </row>
    <row r="46" spans="1:11" ht="15.75" customHeight="1" x14ac:dyDescent="0.35">
      <c r="A46" s="36" t="s">
        <v>229</v>
      </c>
      <c r="B46" s="10" t="s">
        <v>230</v>
      </c>
      <c r="C46" s="10"/>
      <c r="D46" s="10"/>
      <c r="E46" s="10"/>
      <c r="F46" s="10"/>
      <c r="G46" s="10"/>
      <c r="H46" s="10"/>
      <c r="I46" s="10"/>
      <c r="J46" s="10"/>
      <c r="K46" s="10"/>
    </row>
    <row r="47" spans="1:11" ht="15.75" customHeight="1" x14ac:dyDescent="0.35">
      <c r="A47" s="36" t="s">
        <v>231</v>
      </c>
      <c r="B47" s="10" t="s">
        <v>232</v>
      </c>
      <c r="C47" s="10"/>
      <c r="D47" s="10"/>
      <c r="E47" s="10"/>
      <c r="F47" s="10"/>
      <c r="G47" s="10"/>
      <c r="H47" s="10"/>
      <c r="I47" s="10"/>
      <c r="J47" s="10"/>
      <c r="K47" s="10"/>
    </row>
    <row r="48" spans="1:11" ht="15.75" customHeight="1" x14ac:dyDescent="0.35">
      <c r="A48" s="36" t="s">
        <v>233</v>
      </c>
      <c r="B48" s="10" t="s">
        <v>234</v>
      </c>
      <c r="C48" s="10"/>
      <c r="D48" s="10"/>
      <c r="E48" s="10"/>
      <c r="F48" s="10"/>
      <c r="G48" s="10"/>
      <c r="H48" s="10"/>
      <c r="I48" s="10"/>
      <c r="J48" s="10"/>
      <c r="K48" s="10"/>
    </row>
    <row r="49" spans="1:11" ht="15.75" customHeight="1" x14ac:dyDescent="0.35">
      <c r="A49" s="36" t="s">
        <v>235</v>
      </c>
      <c r="B49" s="10" t="s">
        <v>236</v>
      </c>
      <c r="C49" s="10"/>
      <c r="D49" s="10"/>
      <c r="E49" s="10"/>
      <c r="F49" s="10"/>
      <c r="G49" s="10"/>
      <c r="H49" s="10"/>
      <c r="I49" s="10"/>
      <c r="J49" s="10"/>
      <c r="K49" s="10"/>
    </row>
    <row r="51" spans="1:11" ht="18" customHeight="1" x14ac:dyDescent="0.35">
      <c r="A51" s="15" t="s">
        <v>237</v>
      </c>
      <c r="B51" s="15"/>
      <c r="C51" s="15"/>
      <c r="D51" s="15"/>
      <c r="E51" s="15"/>
      <c r="F51" s="15"/>
      <c r="G51" s="15"/>
      <c r="H51" s="15"/>
      <c r="I51" s="15"/>
      <c r="J51" s="15"/>
      <c r="K51" s="15"/>
    </row>
    <row r="52" spans="1:11" ht="39.75" customHeight="1" x14ac:dyDescent="0.35">
      <c r="A52" s="12" t="s">
        <v>238</v>
      </c>
      <c r="B52" s="12"/>
      <c r="C52" s="12"/>
      <c r="D52" s="12"/>
      <c r="E52" s="12"/>
      <c r="F52" s="12"/>
      <c r="G52" s="12"/>
      <c r="H52" s="12"/>
      <c r="I52" s="12"/>
      <c r="J52" s="12"/>
      <c r="K52" s="12"/>
    </row>
    <row r="53" spans="1:11" ht="39.75" customHeight="1" x14ac:dyDescent="0.35">
      <c r="A53" s="12" t="s">
        <v>239</v>
      </c>
      <c r="B53" s="12"/>
      <c r="C53" s="12"/>
      <c r="D53" s="12"/>
      <c r="E53" s="12"/>
      <c r="F53" s="12"/>
      <c r="G53" s="12"/>
      <c r="H53" s="12"/>
      <c r="I53" s="12"/>
      <c r="J53" s="12"/>
      <c r="K53" s="12"/>
    </row>
    <row r="54" spans="1:11" ht="39.75" customHeight="1" x14ac:dyDescent="0.35">
      <c r="A54" s="12" t="s">
        <v>240</v>
      </c>
      <c r="B54" s="12"/>
      <c r="C54" s="12"/>
      <c r="D54" s="12"/>
      <c r="E54" s="12"/>
      <c r="F54" s="12"/>
      <c r="G54" s="12"/>
      <c r="H54" s="12"/>
      <c r="I54" s="12"/>
      <c r="J54" s="12"/>
      <c r="K54" s="12"/>
    </row>
  </sheetData>
  <autoFilter ref="A3:K28" xr:uid="{00000000-0009-0000-0000-000001000000}"/>
  <mergeCells count="20">
    <mergeCell ref="B48:K48"/>
    <mergeCell ref="B49:K49"/>
    <mergeCell ref="A52:K52"/>
    <mergeCell ref="A53:K53"/>
    <mergeCell ref="A54:K54"/>
    <mergeCell ref="B40:K40"/>
    <mergeCell ref="A43:K43"/>
    <mergeCell ref="B45:K45"/>
    <mergeCell ref="B46:K46"/>
    <mergeCell ref="B47:K47"/>
    <mergeCell ref="B35:K35"/>
    <mergeCell ref="B36:K36"/>
    <mergeCell ref="B37:K37"/>
    <mergeCell ref="B38:K38"/>
    <mergeCell ref="B39:K39"/>
    <mergeCell ref="A1:K1"/>
    <mergeCell ref="A2:K2"/>
    <mergeCell ref="B32:K32"/>
    <mergeCell ref="B33:K33"/>
    <mergeCell ref="B34:K34"/>
  </mergeCells>
  <pageMargins left="0.5" right="0.4" top="0.6" bottom="0.6" header="0.511811023622047" footer="0.3"/>
  <pageSetup paperSize="9" fitToHeight="0" orientation="landscape" horizontalDpi="300" verticalDpi="300"/>
  <headerFooter>
    <oddFooter>&amp;L&amp;8 Betreibermodelle und Verguetungen Photovoltaik - Stand: 25.08.2026&amp;R&amp;8 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9"/>
  <sheetViews>
    <sheetView zoomScaleNormal="100" workbookViewId="0">
      <pane xSplit="2" ySplit="3" topLeftCell="C15" activePane="bottomRight" state="frozen"/>
      <selection pane="topRight" activeCell="C1" sqref="C1"/>
      <selection pane="bottomLeft" activeCell="A4" sqref="A4"/>
      <selection pane="bottomRight" sqref="A1:F1"/>
    </sheetView>
  </sheetViews>
  <sheetFormatPr baseColWidth="10" defaultColWidth="8.6328125" defaultRowHeight="14.5" x14ac:dyDescent="0.35"/>
  <cols>
    <col min="1" max="1" width="9" customWidth="1"/>
    <col min="2" max="2" width="32" customWidth="1"/>
    <col min="3" max="3" width="38" customWidth="1"/>
    <col min="4" max="4" width="46" customWidth="1"/>
    <col min="5" max="5" width="62" customWidth="1"/>
    <col min="6" max="6" width="16" customWidth="1"/>
  </cols>
  <sheetData>
    <row r="1" spans="1:6" ht="19.5" customHeight="1" x14ac:dyDescent="0.4">
      <c r="A1" s="14" t="s">
        <v>241</v>
      </c>
      <c r="B1" s="14"/>
      <c r="C1" s="14"/>
      <c r="D1" s="14"/>
      <c r="E1" s="14"/>
      <c r="F1" s="14"/>
    </row>
    <row r="2" spans="1:6" ht="13.5" customHeight="1" x14ac:dyDescent="0.35">
      <c r="A2" s="13" t="s">
        <v>242</v>
      </c>
      <c r="B2" s="13"/>
      <c r="C2" s="13"/>
      <c r="D2" s="13"/>
      <c r="E2" s="13"/>
      <c r="F2" s="13"/>
    </row>
    <row r="3" spans="1:6" ht="30" customHeight="1" x14ac:dyDescent="0.35">
      <c r="A3" s="16" t="s">
        <v>243</v>
      </c>
      <c r="B3" s="16" t="s">
        <v>244</v>
      </c>
      <c r="C3" s="16" t="s">
        <v>245</v>
      </c>
      <c r="D3" s="16" t="s">
        <v>246</v>
      </c>
      <c r="E3" s="16" t="s">
        <v>247</v>
      </c>
      <c r="F3" s="16" t="s">
        <v>110</v>
      </c>
    </row>
    <row r="4" spans="1:6" ht="55.5" customHeight="1" x14ac:dyDescent="0.35">
      <c r="A4" s="37" t="s">
        <v>248</v>
      </c>
      <c r="B4" s="23" t="s">
        <v>249</v>
      </c>
      <c r="C4" s="18" t="s">
        <v>250</v>
      </c>
      <c r="D4" s="18" t="s">
        <v>251</v>
      </c>
      <c r="E4" s="18" t="s">
        <v>252</v>
      </c>
      <c r="F4" s="28" t="s">
        <v>253</v>
      </c>
    </row>
    <row r="5" spans="1:6" ht="55.5" customHeight="1" x14ac:dyDescent="0.35">
      <c r="A5" s="38" t="s">
        <v>254</v>
      </c>
      <c r="B5" s="30" t="s">
        <v>255</v>
      </c>
      <c r="C5" s="34" t="s">
        <v>256</v>
      </c>
      <c r="D5" s="34" t="s">
        <v>257</v>
      </c>
      <c r="E5" s="34" t="s">
        <v>258</v>
      </c>
      <c r="F5" s="35" t="s">
        <v>259</v>
      </c>
    </row>
    <row r="6" spans="1:6" ht="55.5" customHeight="1" x14ac:dyDescent="0.35">
      <c r="A6" s="37" t="s">
        <v>260</v>
      </c>
      <c r="B6" s="23" t="s">
        <v>261</v>
      </c>
      <c r="C6" s="18" t="s">
        <v>262</v>
      </c>
      <c r="D6" s="18" t="s">
        <v>263</v>
      </c>
      <c r="E6" s="18" t="s">
        <v>264</v>
      </c>
      <c r="F6" s="28" t="s">
        <v>265</v>
      </c>
    </row>
    <row r="7" spans="1:6" ht="55.5" customHeight="1" x14ac:dyDescent="0.35">
      <c r="A7" s="38" t="s">
        <v>266</v>
      </c>
      <c r="B7" s="30" t="s">
        <v>267</v>
      </c>
      <c r="C7" s="34" t="s">
        <v>268</v>
      </c>
      <c r="D7" s="34" t="s">
        <v>269</v>
      </c>
      <c r="E7" s="34" t="s">
        <v>270</v>
      </c>
      <c r="F7" s="35" t="s">
        <v>271</v>
      </c>
    </row>
    <row r="8" spans="1:6" ht="55.5" customHeight="1" x14ac:dyDescent="0.35">
      <c r="A8" s="37" t="s">
        <v>272</v>
      </c>
      <c r="B8" s="23" t="s">
        <v>273</v>
      </c>
      <c r="C8" s="18" t="s">
        <v>274</v>
      </c>
      <c r="D8" s="18" t="s">
        <v>275</v>
      </c>
      <c r="E8" s="18" t="s">
        <v>276</v>
      </c>
      <c r="F8" s="28" t="s">
        <v>277</v>
      </c>
    </row>
    <row r="9" spans="1:6" ht="55.5" customHeight="1" x14ac:dyDescent="0.35">
      <c r="A9" s="38" t="s">
        <v>278</v>
      </c>
      <c r="B9" s="30" t="s">
        <v>279</v>
      </c>
      <c r="C9" s="34" t="s">
        <v>280</v>
      </c>
      <c r="D9" s="34" t="s">
        <v>281</v>
      </c>
      <c r="E9" s="34" t="s">
        <v>282</v>
      </c>
      <c r="F9" s="35" t="s">
        <v>253</v>
      </c>
    </row>
    <row r="10" spans="1:6" ht="55.5" customHeight="1" x14ac:dyDescent="0.35">
      <c r="A10" s="37" t="s">
        <v>283</v>
      </c>
      <c r="B10" s="23" t="s">
        <v>284</v>
      </c>
      <c r="C10" s="18" t="s">
        <v>285</v>
      </c>
      <c r="D10" s="18" t="s">
        <v>286</v>
      </c>
      <c r="E10" s="18" t="s">
        <v>287</v>
      </c>
      <c r="F10" s="28" t="s">
        <v>288</v>
      </c>
    </row>
    <row r="11" spans="1:6" ht="55.5" customHeight="1" x14ac:dyDescent="0.35">
      <c r="A11" s="38" t="s">
        <v>289</v>
      </c>
      <c r="B11" s="30" t="s">
        <v>290</v>
      </c>
      <c r="C11" s="34" t="s">
        <v>291</v>
      </c>
      <c r="D11" s="34" t="s">
        <v>292</v>
      </c>
      <c r="E11" s="34" t="s">
        <v>293</v>
      </c>
      <c r="F11" s="35" t="s">
        <v>253</v>
      </c>
    </row>
    <row r="13" spans="1:6" ht="18" customHeight="1" x14ac:dyDescent="0.35">
      <c r="A13" s="15" t="s">
        <v>294</v>
      </c>
      <c r="B13" s="15"/>
      <c r="C13" s="15"/>
      <c r="D13" s="15"/>
      <c r="E13" s="15"/>
      <c r="F13" s="15"/>
    </row>
    <row r="14" spans="1:6" ht="45.75" customHeight="1" x14ac:dyDescent="0.35">
      <c r="A14" s="37" t="s">
        <v>39</v>
      </c>
      <c r="B14" s="23" t="s">
        <v>295</v>
      </c>
      <c r="C14" s="18" t="s">
        <v>296</v>
      </c>
      <c r="D14" s="18" t="s">
        <v>297</v>
      </c>
      <c r="E14" s="18" t="s">
        <v>298</v>
      </c>
      <c r="F14" s="28" t="s">
        <v>299</v>
      </c>
    </row>
    <row r="15" spans="1:6" ht="45.75" customHeight="1" x14ac:dyDescent="0.35">
      <c r="A15" s="37" t="s">
        <v>39</v>
      </c>
      <c r="B15" s="23" t="s">
        <v>300</v>
      </c>
      <c r="C15" s="18" t="s">
        <v>301</v>
      </c>
      <c r="D15" s="18" t="s">
        <v>302</v>
      </c>
      <c r="E15" s="18" t="s">
        <v>303</v>
      </c>
      <c r="F15" s="28" t="s">
        <v>304</v>
      </c>
    </row>
    <row r="16" spans="1:6" ht="45.75" customHeight="1" x14ac:dyDescent="0.35">
      <c r="A16" s="37" t="s">
        <v>39</v>
      </c>
      <c r="B16" s="23" t="s">
        <v>305</v>
      </c>
      <c r="C16" s="18" t="s">
        <v>306</v>
      </c>
      <c r="D16" s="18" t="s">
        <v>307</v>
      </c>
      <c r="E16" s="18" t="s">
        <v>308</v>
      </c>
      <c r="F16" s="28" t="s">
        <v>118</v>
      </c>
    </row>
    <row r="18" spans="1:6" ht="43.5" customHeight="1" x14ac:dyDescent="0.35">
      <c r="A18" s="11" t="s">
        <v>309</v>
      </c>
      <c r="B18" s="11"/>
      <c r="C18" s="11"/>
      <c r="D18" s="11"/>
      <c r="E18" s="11"/>
      <c r="F18" s="11"/>
    </row>
    <row r="19" spans="1:6" ht="43.5" customHeight="1" x14ac:dyDescent="0.35">
      <c r="A19" s="11" t="s">
        <v>310</v>
      </c>
      <c r="B19" s="11"/>
      <c r="C19" s="11"/>
      <c r="D19" s="11"/>
      <c r="E19" s="11"/>
      <c r="F19" s="11"/>
    </row>
  </sheetData>
  <autoFilter ref="A3:F11" xr:uid="{00000000-0009-0000-0000-000002000000}"/>
  <mergeCells count="4">
    <mergeCell ref="A1:F1"/>
    <mergeCell ref="A2:F2"/>
    <mergeCell ref="A18:F18"/>
    <mergeCell ref="A19:F19"/>
  </mergeCells>
  <pageMargins left="0.5" right="0.4" top="0.6" bottom="0.6" header="0.511811023622047" footer="0.3"/>
  <pageSetup paperSize="9" fitToHeight="0" orientation="landscape" horizontalDpi="300" verticalDpi="300"/>
  <headerFooter>
    <oddFooter>&amp;L&amp;8 Betreibermodelle und Verguetungen Photovoltaik - Stand: 25.08.2026&amp;R&amp;8 Seite &amp;P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53"/>
  <sheetViews>
    <sheetView tabSelected="1" topLeftCell="A12" zoomScaleNormal="100" workbookViewId="0">
      <selection sqref="A1:H1"/>
    </sheetView>
  </sheetViews>
  <sheetFormatPr baseColWidth="10" defaultColWidth="8.6328125" defaultRowHeight="14.5" x14ac:dyDescent="0.35"/>
  <cols>
    <col min="1" max="1" width="22" customWidth="1"/>
    <col min="2" max="2" width="26" customWidth="1"/>
    <col min="3" max="3" width="30" customWidth="1"/>
    <col min="4" max="4" width="36" customWidth="1"/>
    <col min="5" max="5" width="30" customWidth="1"/>
    <col min="6" max="6" width="46" customWidth="1"/>
    <col min="7" max="7" width="40" customWidth="1"/>
    <col min="8" max="8" width="54" customWidth="1"/>
  </cols>
  <sheetData>
    <row r="1" spans="1:8" ht="19.5" customHeight="1" x14ac:dyDescent="0.4">
      <c r="A1" s="14" t="s">
        <v>311</v>
      </c>
      <c r="B1" s="14"/>
      <c r="C1" s="14"/>
      <c r="D1" s="14"/>
      <c r="E1" s="14"/>
      <c r="F1" s="14"/>
      <c r="G1" s="14"/>
      <c r="H1" s="14"/>
    </row>
    <row r="2" spans="1:8" ht="13.5" customHeight="1" x14ac:dyDescent="0.35">
      <c r="A2" s="13" t="s">
        <v>312</v>
      </c>
      <c r="B2" s="13"/>
      <c r="C2" s="13"/>
      <c r="D2" s="13"/>
      <c r="E2" s="13"/>
      <c r="F2" s="13"/>
      <c r="G2" s="13"/>
      <c r="H2" s="13"/>
    </row>
    <row r="4" spans="1:8" ht="18" customHeight="1" x14ac:dyDescent="0.35">
      <c r="A4" s="15" t="s">
        <v>313</v>
      </c>
      <c r="B4" s="15"/>
      <c r="C4" s="15"/>
      <c r="D4" s="15"/>
      <c r="E4" s="15"/>
      <c r="F4" s="15"/>
      <c r="G4" s="15"/>
      <c r="H4" s="15"/>
    </row>
    <row r="5" spans="1:8" ht="36" customHeight="1" x14ac:dyDescent="0.35">
      <c r="A5" s="16" t="s">
        <v>314</v>
      </c>
      <c r="B5" s="16" t="s">
        <v>315</v>
      </c>
      <c r="C5" s="16" t="s">
        <v>316</v>
      </c>
      <c r="D5" s="8" t="s">
        <v>317</v>
      </c>
      <c r="E5" s="8"/>
      <c r="F5" s="8"/>
      <c r="G5" s="8"/>
      <c r="H5" s="16" t="s">
        <v>110</v>
      </c>
    </row>
    <row r="6" spans="1:8" ht="43.5" customHeight="1" x14ac:dyDescent="0.35">
      <c r="A6" s="23" t="s">
        <v>318</v>
      </c>
      <c r="B6" s="18" t="s">
        <v>319</v>
      </c>
      <c r="C6" s="18" t="s">
        <v>320</v>
      </c>
      <c r="D6" s="10" t="s">
        <v>321</v>
      </c>
      <c r="E6" s="10"/>
      <c r="F6" s="10"/>
      <c r="G6" s="10"/>
      <c r="H6" s="39" t="s">
        <v>322</v>
      </c>
    </row>
    <row r="7" spans="1:8" ht="43.5" customHeight="1" x14ac:dyDescent="0.35">
      <c r="A7" s="23" t="s">
        <v>323</v>
      </c>
      <c r="B7" s="18" t="s">
        <v>324</v>
      </c>
      <c r="C7" s="18" t="s">
        <v>325</v>
      </c>
      <c r="D7" s="10" t="s">
        <v>326</v>
      </c>
      <c r="E7" s="10"/>
      <c r="F7" s="10"/>
      <c r="G7" s="10"/>
      <c r="H7" s="39" t="s">
        <v>322</v>
      </c>
    </row>
    <row r="8" spans="1:8" ht="39.75" customHeight="1" x14ac:dyDescent="0.35">
      <c r="A8" s="9" t="s">
        <v>327</v>
      </c>
      <c r="B8" s="9"/>
      <c r="C8" s="9"/>
      <c r="D8" s="9"/>
      <c r="E8" s="9"/>
      <c r="F8" s="9"/>
      <c r="G8" s="9"/>
      <c r="H8" s="9"/>
    </row>
    <row r="10" spans="1:8" ht="39.75" customHeight="1" x14ac:dyDescent="0.35">
      <c r="A10" s="16" t="s">
        <v>101</v>
      </c>
      <c r="B10" s="16" t="s">
        <v>328</v>
      </c>
      <c r="C10" s="16" t="s">
        <v>329</v>
      </c>
      <c r="D10" s="16" t="s">
        <v>330</v>
      </c>
      <c r="E10" s="16" t="s">
        <v>331</v>
      </c>
      <c r="F10" s="16" t="s">
        <v>332</v>
      </c>
      <c r="G10" s="16" t="s">
        <v>333</v>
      </c>
      <c r="H10" s="16" t="s">
        <v>334</v>
      </c>
    </row>
    <row r="11" spans="1:8" ht="18" customHeight="1" x14ac:dyDescent="0.35">
      <c r="A11" s="15" t="s">
        <v>335</v>
      </c>
      <c r="B11" s="15"/>
      <c r="C11" s="15"/>
      <c r="D11" s="15"/>
      <c r="E11" s="15"/>
      <c r="F11" s="15"/>
      <c r="G11" s="15"/>
      <c r="H11" s="15"/>
    </row>
    <row r="12" spans="1:8" ht="96" customHeight="1" x14ac:dyDescent="0.35">
      <c r="A12" s="28" t="s">
        <v>111</v>
      </c>
      <c r="B12" s="23" t="s">
        <v>336</v>
      </c>
      <c r="C12" s="23" t="s">
        <v>337</v>
      </c>
      <c r="D12" s="18" t="s">
        <v>338</v>
      </c>
      <c r="E12" s="23" t="s">
        <v>117</v>
      </c>
      <c r="F12" s="18" t="s">
        <v>339</v>
      </c>
      <c r="G12" s="18" t="s">
        <v>340</v>
      </c>
      <c r="H12" s="28" t="s">
        <v>341</v>
      </c>
    </row>
    <row r="13" spans="1:8" ht="96" customHeight="1" x14ac:dyDescent="0.35">
      <c r="A13" s="28" t="s">
        <v>111</v>
      </c>
      <c r="B13" s="23" t="s">
        <v>119</v>
      </c>
      <c r="C13" s="23" t="s">
        <v>342</v>
      </c>
      <c r="D13" s="18" t="s">
        <v>338</v>
      </c>
      <c r="E13" s="23" t="s">
        <v>122</v>
      </c>
      <c r="F13" s="18" t="s">
        <v>343</v>
      </c>
      <c r="G13" s="18" t="s">
        <v>344</v>
      </c>
      <c r="H13" s="28" t="s">
        <v>345</v>
      </c>
    </row>
    <row r="14" spans="1:8" ht="18" customHeight="1" x14ac:dyDescent="0.35">
      <c r="A14" s="15" t="s">
        <v>346</v>
      </c>
      <c r="B14" s="15"/>
      <c r="C14" s="15"/>
      <c r="D14" s="15"/>
      <c r="E14" s="15"/>
      <c r="F14" s="15"/>
      <c r="G14" s="15"/>
      <c r="H14" s="15"/>
    </row>
    <row r="15" spans="1:8" ht="96" customHeight="1" x14ac:dyDescent="0.35">
      <c r="A15" s="28" t="s">
        <v>123</v>
      </c>
      <c r="B15" s="23" t="s">
        <v>347</v>
      </c>
      <c r="C15" s="23" t="s">
        <v>348</v>
      </c>
      <c r="D15" s="18" t="s">
        <v>349</v>
      </c>
      <c r="E15" s="23" t="s">
        <v>128</v>
      </c>
      <c r="F15" s="18" t="s">
        <v>350</v>
      </c>
      <c r="G15" s="18" t="s">
        <v>351</v>
      </c>
      <c r="H15" s="28" t="s">
        <v>352</v>
      </c>
    </row>
    <row r="16" spans="1:8" ht="96" customHeight="1" x14ac:dyDescent="0.35">
      <c r="A16" s="28" t="s">
        <v>123</v>
      </c>
      <c r="B16" s="23" t="s">
        <v>129</v>
      </c>
      <c r="C16" s="23" t="s">
        <v>353</v>
      </c>
      <c r="D16" s="18" t="s">
        <v>354</v>
      </c>
      <c r="E16" s="23" t="s">
        <v>132</v>
      </c>
      <c r="F16" s="18" t="s">
        <v>355</v>
      </c>
      <c r="G16" s="18" t="s">
        <v>356</v>
      </c>
      <c r="H16" s="28" t="s">
        <v>357</v>
      </c>
    </row>
    <row r="17" spans="1:8" ht="18" customHeight="1" x14ac:dyDescent="0.35">
      <c r="A17" s="15" t="s">
        <v>358</v>
      </c>
      <c r="B17" s="15"/>
      <c r="C17" s="15"/>
      <c r="D17" s="15"/>
      <c r="E17" s="15"/>
      <c r="F17" s="15"/>
      <c r="G17" s="15"/>
      <c r="H17" s="15"/>
    </row>
    <row r="18" spans="1:8" ht="96" customHeight="1" x14ac:dyDescent="0.35">
      <c r="A18" s="28" t="s">
        <v>133</v>
      </c>
      <c r="B18" s="23" t="s">
        <v>134</v>
      </c>
      <c r="C18" s="23" t="s">
        <v>359</v>
      </c>
      <c r="D18" s="18" t="s">
        <v>360</v>
      </c>
      <c r="E18" s="23" t="s">
        <v>138</v>
      </c>
      <c r="F18" s="18" t="s">
        <v>361</v>
      </c>
      <c r="G18" s="18" t="s">
        <v>362</v>
      </c>
      <c r="H18" s="28" t="s">
        <v>363</v>
      </c>
    </row>
    <row r="19" spans="1:8" ht="96" customHeight="1" x14ac:dyDescent="0.35">
      <c r="A19" s="28" t="s">
        <v>133</v>
      </c>
      <c r="B19" s="23" t="s">
        <v>139</v>
      </c>
      <c r="C19" s="23" t="s">
        <v>364</v>
      </c>
      <c r="D19" s="18" t="s">
        <v>365</v>
      </c>
      <c r="E19" s="23" t="s">
        <v>142</v>
      </c>
      <c r="F19" s="18" t="s">
        <v>366</v>
      </c>
      <c r="G19" s="18" t="s">
        <v>367</v>
      </c>
      <c r="H19" s="28" t="s">
        <v>368</v>
      </c>
    </row>
    <row r="20" spans="1:8" ht="96" customHeight="1" x14ac:dyDescent="0.35">
      <c r="A20" s="28" t="s">
        <v>133</v>
      </c>
      <c r="B20" s="23" t="s">
        <v>143</v>
      </c>
      <c r="C20" s="23" t="s">
        <v>369</v>
      </c>
      <c r="D20" s="18" t="s">
        <v>370</v>
      </c>
      <c r="E20" s="23" t="s">
        <v>142</v>
      </c>
      <c r="F20" s="18" t="s">
        <v>371</v>
      </c>
      <c r="G20" s="18" t="s">
        <v>372</v>
      </c>
      <c r="H20" s="28" t="s">
        <v>373</v>
      </c>
    </row>
    <row r="21" spans="1:8" ht="96" customHeight="1" x14ac:dyDescent="0.35">
      <c r="A21" s="28" t="s">
        <v>133</v>
      </c>
      <c r="B21" s="23" t="s">
        <v>146</v>
      </c>
      <c r="C21" s="23" t="s">
        <v>374</v>
      </c>
      <c r="D21" s="18" t="s">
        <v>375</v>
      </c>
      <c r="E21" s="23" t="s">
        <v>142</v>
      </c>
      <c r="F21" s="18" t="s">
        <v>376</v>
      </c>
      <c r="G21" s="18" t="s">
        <v>377</v>
      </c>
      <c r="H21" s="28" t="s">
        <v>378</v>
      </c>
    </row>
    <row r="22" spans="1:8" ht="96" customHeight="1" x14ac:dyDescent="0.35">
      <c r="A22" s="28" t="s">
        <v>133</v>
      </c>
      <c r="B22" s="23" t="s">
        <v>149</v>
      </c>
      <c r="C22" s="23" t="s">
        <v>379</v>
      </c>
      <c r="D22" s="18" t="s">
        <v>380</v>
      </c>
      <c r="E22" s="23" t="s">
        <v>142</v>
      </c>
      <c r="F22" s="18" t="s">
        <v>381</v>
      </c>
      <c r="G22" s="18" t="s">
        <v>382</v>
      </c>
      <c r="H22" s="28" t="s">
        <v>383</v>
      </c>
    </row>
    <row r="23" spans="1:8" ht="18" customHeight="1" x14ac:dyDescent="0.35">
      <c r="A23" s="15" t="s">
        <v>384</v>
      </c>
      <c r="B23" s="15"/>
      <c r="C23" s="15"/>
      <c r="D23" s="15"/>
      <c r="E23" s="15"/>
      <c r="F23" s="15"/>
      <c r="G23" s="15"/>
      <c r="H23" s="15"/>
    </row>
    <row r="24" spans="1:8" ht="96" customHeight="1" x14ac:dyDescent="0.35">
      <c r="A24" s="28" t="s">
        <v>152</v>
      </c>
      <c r="B24" s="23" t="s">
        <v>153</v>
      </c>
      <c r="C24" s="23" t="s">
        <v>385</v>
      </c>
      <c r="D24" s="18" t="s">
        <v>354</v>
      </c>
      <c r="E24" s="23" t="s">
        <v>132</v>
      </c>
      <c r="F24" s="18" t="s">
        <v>386</v>
      </c>
      <c r="G24" s="18" t="s">
        <v>387</v>
      </c>
      <c r="H24" s="28" t="s">
        <v>388</v>
      </c>
    </row>
    <row r="25" spans="1:8" ht="96" customHeight="1" x14ac:dyDescent="0.35">
      <c r="A25" s="28" t="s">
        <v>152</v>
      </c>
      <c r="B25" s="23" t="s">
        <v>157</v>
      </c>
      <c r="C25" s="23" t="s">
        <v>389</v>
      </c>
      <c r="D25" s="18" t="s">
        <v>390</v>
      </c>
      <c r="E25" s="23" t="s">
        <v>132</v>
      </c>
      <c r="F25" s="18" t="s">
        <v>391</v>
      </c>
      <c r="G25" s="18" t="s">
        <v>392</v>
      </c>
      <c r="H25" s="28" t="s">
        <v>393</v>
      </c>
    </row>
    <row r="26" spans="1:8" ht="96" customHeight="1" x14ac:dyDescent="0.35">
      <c r="A26" s="28" t="s">
        <v>152</v>
      </c>
      <c r="B26" s="23" t="s">
        <v>160</v>
      </c>
      <c r="C26" s="23" t="s">
        <v>394</v>
      </c>
      <c r="D26" s="18" t="s">
        <v>354</v>
      </c>
      <c r="E26" s="23" t="s">
        <v>132</v>
      </c>
      <c r="F26" s="18" t="s">
        <v>395</v>
      </c>
      <c r="G26" s="18" t="s">
        <v>396</v>
      </c>
      <c r="H26" s="28" t="s">
        <v>397</v>
      </c>
    </row>
    <row r="27" spans="1:8" ht="96" customHeight="1" x14ac:dyDescent="0.35">
      <c r="A27" s="28" t="s">
        <v>152</v>
      </c>
      <c r="B27" s="23" t="s">
        <v>163</v>
      </c>
      <c r="C27" s="23" t="s">
        <v>398</v>
      </c>
      <c r="D27" s="18" t="s">
        <v>399</v>
      </c>
      <c r="E27" s="23" t="s">
        <v>142</v>
      </c>
      <c r="F27" s="18" t="s">
        <v>400</v>
      </c>
      <c r="G27" s="18" t="s">
        <v>401</v>
      </c>
      <c r="H27" s="28" t="s">
        <v>402</v>
      </c>
    </row>
    <row r="28" spans="1:8" ht="96" customHeight="1" x14ac:dyDescent="0.35">
      <c r="A28" s="28" t="s">
        <v>152</v>
      </c>
      <c r="B28" s="23" t="s">
        <v>166</v>
      </c>
      <c r="C28" s="23" t="s">
        <v>403</v>
      </c>
      <c r="D28" s="18" t="s">
        <v>404</v>
      </c>
      <c r="E28" s="23" t="s">
        <v>132</v>
      </c>
      <c r="F28" s="18" t="s">
        <v>405</v>
      </c>
      <c r="G28" s="18" t="s">
        <v>406</v>
      </c>
      <c r="H28" s="28" t="s">
        <v>407</v>
      </c>
    </row>
    <row r="29" spans="1:8" ht="96" customHeight="1" x14ac:dyDescent="0.35">
      <c r="A29" s="28" t="s">
        <v>152</v>
      </c>
      <c r="B29" s="23" t="s">
        <v>169</v>
      </c>
      <c r="C29" s="23" t="s">
        <v>408</v>
      </c>
      <c r="D29" s="18" t="s">
        <v>409</v>
      </c>
      <c r="E29" s="23" t="s">
        <v>132</v>
      </c>
      <c r="F29" s="18" t="s">
        <v>410</v>
      </c>
      <c r="G29" s="18" t="s">
        <v>411</v>
      </c>
      <c r="H29" s="28" t="s">
        <v>412</v>
      </c>
    </row>
    <row r="30" spans="1:8" ht="96" customHeight="1" x14ac:dyDescent="0.35">
      <c r="A30" s="28" t="s">
        <v>152</v>
      </c>
      <c r="B30" s="23" t="s">
        <v>172</v>
      </c>
      <c r="C30" s="23" t="s">
        <v>413</v>
      </c>
      <c r="D30" s="18" t="s">
        <v>414</v>
      </c>
      <c r="E30" s="23" t="s">
        <v>142</v>
      </c>
      <c r="F30" s="18" t="s">
        <v>415</v>
      </c>
      <c r="G30" s="18" t="s">
        <v>416</v>
      </c>
      <c r="H30" s="28" t="s">
        <v>417</v>
      </c>
    </row>
    <row r="31" spans="1:8" ht="96" customHeight="1" x14ac:dyDescent="0.35">
      <c r="A31" s="28" t="s">
        <v>152</v>
      </c>
      <c r="B31" s="23" t="s">
        <v>175</v>
      </c>
      <c r="C31" s="23" t="s">
        <v>418</v>
      </c>
      <c r="D31" s="18" t="s">
        <v>419</v>
      </c>
      <c r="E31" s="23" t="s">
        <v>132</v>
      </c>
      <c r="F31" s="18" t="s">
        <v>420</v>
      </c>
      <c r="G31" s="18" t="s">
        <v>421</v>
      </c>
      <c r="H31" s="28" t="s">
        <v>422</v>
      </c>
    </row>
    <row r="32" spans="1:8" ht="96" customHeight="1" x14ac:dyDescent="0.35">
      <c r="A32" s="28" t="s">
        <v>152</v>
      </c>
      <c r="B32" s="23" t="s">
        <v>178</v>
      </c>
      <c r="C32" s="23" t="s">
        <v>423</v>
      </c>
      <c r="D32" s="18" t="s">
        <v>424</v>
      </c>
      <c r="E32" s="23" t="s">
        <v>142</v>
      </c>
      <c r="F32" s="18" t="s">
        <v>425</v>
      </c>
      <c r="G32" s="18" t="s">
        <v>426</v>
      </c>
      <c r="H32" s="28" t="s">
        <v>427</v>
      </c>
    </row>
    <row r="33" spans="1:8" ht="96" customHeight="1" x14ac:dyDescent="0.35">
      <c r="A33" s="28" t="s">
        <v>152</v>
      </c>
      <c r="B33" s="23" t="s">
        <v>181</v>
      </c>
      <c r="C33" s="23" t="s">
        <v>428</v>
      </c>
      <c r="D33" s="18" t="s">
        <v>419</v>
      </c>
      <c r="E33" s="23" t="s">
        <v>132</v>
      </c>
      <c r="F33" s="18" t="s">
        <v>429</v>
      </c>
      <c r="G33" s="18" t="s">
        <v>421</v>
      </c>
      <c r="H33" s="28" t="s">
        <v>430</v>
      </c>
    </row>
    <row r="34" spans="1:8" ht="96" customHeight="1" x14ac:dyDescent="0.35">
      <c r="A34" s="28" t="s">
        <v>152</v>
      </c>
      <c r="B34" s="23" t="s">
        <v>184</v>
      </c>
      <c r="C34" s="23" t="s">
        <v>431</v>
      </c>
      <c r="D34" s="18" t="s">
        <v>414</v>
      </c>
      <c r="E34" s="23" t="s">
        <v>142</v>
      </c>
      <c r="F34" s="18" t="s">
        <v>432</v>
      </c>
      <c r="G34" s="18" t="s">
        <v>433</v>
      </c>
      <c r="H34" s="28" t="s">
        <v>434</v>
      </c>
    </row>
    <row r="35" spans="1:8" ht="18" customHeight="1" x14ac:dyDescent="0.35">
      <c r="A35" s="15" t="s">
        <v>435</v>
      </c>
      <c r="B35" s="15"/>
      <c r="C35" s="15"/>
      <c r="D35" s="15"/>
      <c r="E35" s="15"/>
      <c r="F35" s="15"/>
      <c r="G35" s="15"/>
      <c r="H35" s="15"/>
    </row>
    <row r="36" spans="1:8" ht="96" customHeight="1" x14ac:dyDescent="0.35">
      <c r="A36" s="28" t="s">
        <v>187</v>
      </c>
      <c r="B36" s="23" t="s">
        <v>188</v>
      </c>
      <c r="C36" s="23" t="s">
        <v>436</v>
      </c>
      <c r="D36" s="18" t="s">
        <v>437</v>
      </c>
      <c r="E36" s="23" t="s">
        <v>132</v>
      </c>
      <c r="F36" s="18" t="s">
        <v>438</v>
      </c>
      <c r="G36" s="18" t="s">
        <v>439</v>
      </c>
      <c r="H36" s="28" t="s">
        <v>440</v>
      </c>
    </row>
    <row r="37" spans="1:8" ht="96" customHeight="1" x14ac:dyDescent="0.35">
      <c r="A37" s="28" t="s">
        <v>187</v>
      </c>
      <c r="B37" s="23" t="s">
        <v>192</v>
      </c>
      <c r="C37" s="23" t="s">
        <v>441</v>
      </c>
      <c r="D37" s="18" t="s">
        <v>442</v>
      </c>
      <c r="E37" s="23" t="s">
        <v>132</v>
      </c>
      <c r="F37" s="18" t="s">
        <v>443</v>
      </c>
      <c r="G37" s="18" t="s">
        <v>444</v>
      </c>
      <c r="H37" s="28" t="s">
        <v>445</v>
      </c>
    </row>
    <row r="38" spans="1:8" ht="96" customHeight="1" x14ac:dyDescent="0.35">
      <c r="A38" s="28" t="s">
        <v>187</v>
      </c>
      <c r="B38" s="23" t="s">
        <v>195</v>
      </c>
      <c r="C38" s="23" t="s">
        <v>446</v>
      </c>
      <c r="D38" s="18" t="s">
        <v>447</v>
      </c>
      <c r="E38" s="23" t="s">
        <v>132</v>
      </c>
      <c r="F38" s="18" t="s">
        <v>448</v>
      </c>
      <c r="G38" s="18" t="s">
        <v>449</v>
      </c>
      <c r="H38" s="28" t="s">
        <v>450</v>
      </c>
    </row>
    <row r="39" spans="1:8" ht="96" customHeight="1" x14ac:dyDescent="0.35">
      <c r="A39" s="28" t="s">
        <v>187</v>
      </c>
      <c r="B39" s="23" t="s">
        <v>198</v>
      </c>
      <c r="C39" s="23" t="s">
        <v>451</v>
      </c>
      <c r="D39" s="18" t="s">
        <v>452</v>
      </c>
      <c r="E39" s="23" t="s">
        <v>132</v>
      </c>
      <c r="F39" s="18" t="s">
        <v>453</v>
      </c>
      <c r="G39" s="18" t="s">
        <v>454</v>
      </c>
      <c r="H39" s="28" t="s">
        <v>455</v>
      </c>
    </row>
    <row r="40" spans="1:8" ht="96" customHeight="1" x14ac:dyDescent="0.35">
      <c r="A40" s="28" t="s">
        <v>187</v>
      </c>
      <c r="B40" s="23" t="s">
        <v>201</v>
      </c>
      <c r="C40" s="23" t="s">
        <v>456</v>
      </c>
      <c r="D40" s="18" t="s">
        <v>457</v>
      </c>
      <c r="E40" s="23" t="s">
        <v>132</v>
      </c>
      <c r="F40" s="18" t="s">
        <v>458</v>
      </c>
      <c r="G40" s="18" t="s">
        <v>459</v>
      </c>
      <c r="H40" s="28" t="s">
        <v>460</v>
      </c>
    </row>
    <row r="41" spans="1:8" ht="33.75" customHeight="1" x14ac:dyDescent="0.35">
      <c r="A41" s="9" t="s">
        <v>461</v>
      </c>
      <c r="B41" s="9"/>
      <c r="C41" s="9"/>
      <c r="D41" s="9"/>
      <c r="E41" s="9"/>
      <c r="F41" s="9"/>
      <c r="G41" s="9"/>
      <c r="H41" s="9"/>
    </row>
    <row r="43" spans="1:8" ht="18" customHeight="1" x14ac:dyDescent="0.35">
      <c r="A43" s="15" t="s">
        <v>462</v>
      </c>
      <c r="B43" s="15"/>
      <c r="C43" s="15"/>
      <c r="D43" s="15"/>
      <c r="E43" s="15"/>
      <c r="F43" s="15"/>
      <c r="G43" s="15"/>
      <c r="H43" s="15"/>
    </row>
    <row r="44" spans="1:8" ht="49.5" customHeight="1" x14ac:dyDescent="0.35">
      <c r="A44" s="9" t="s">
        <v>463</v>
      </c>
      <c r="B44" s="9"/>
      <c r="C44" s="9"/>
      <c r="D44" s="9"/>
      <c r="E44" s="9"/>
      <c r="F44" s="9"/>
      <c r="G44" s="9"/>
      <c r="H44" s="9"/>
    </row>
    <row r="45" spans="1:8" ht="21.75" customHeight="1" x14ac:dyDescent="0.35">
      <c r="A45" s="16" t="s">
        <v>464</v>
      </c>
      <c r="B45" s="16" t="s">
        <v>465</v>
      </c>
      <c r="C45" s="16" t="s">
        <v>466</v>
      </c>
      <c r="D45" s="8" t="s">
        <v>42</v>
      </c>
      <c r="E45" s="8"/>
      <c r="F45" s="8"/>
      <c r="G45" s="8"/>
      <c r="H45" s="8"/>
    </row>
    <row r="46" spans="1:8" ht="79.5" customHeight="1" x14ac:dyDescent="0.35">
      <c r="A46" s="25">
        <v>1</v>
      </c>
      <c r="B46" s="23" t="s">
        <v>467</v>
      </c>
      <c r="C46" s="28" t="s">
        <v>468</v>
      </c>
      <c r="D46" s="10" t="s">
        <v>469</v>
      </c>
      <c r="E46" s="10"/>
      <c r="F46" s="10"/>
      <c r="G46" s="10"/>
      <c r="H46" s="10"/>
    </row>
    <row r="47" spans="1:8" ht="79.5" customHeight="1" x14ac:dyDescent="0.35">
      <c r="A47" s="29">
        <v>2</v>
      </c>
      <c r="B47" s="30" t="s">
        <v>470</v>
      </c>
      <c r="C47" s="35" t="s">
        <v>471</v>
      </c>
      <c r="D47" s="7" t="s">
        <v>472</v>
      </c>
      <c r="E47" s="7"/>
      <c r="F47" s="7"/>
      <c r="G47" s="7"/>
      <c r="H47" s="7"/>
    </row>
    <row r="48" spans="1:8" ht="79.5" customHeight="1" x14ac:dyDescent="0.35">
      <c r="A48" s="25">
        <v>3</v>
      </c>
      <c r="B48" s="23" t="s">
        <v>473</v>
      </c>
      <c r="C48" s="28" t="s">
        <v>474</v>
      </c>
      <c r="D48" s="10" t="s">
        <v>475</v>
      </c>
      <c r="E48" s="10"/>
      <c r="F48" s="10"/>
      <c r="G48" s="10"/>
      <c r="H48" s="10"/>
    </row>
    <row r="49" spans="1:8" ht="79.5" customHeight="1" x14ac:dyDescent="0.35">
      <c r="A49" s="29">
        <v>4</v>
      </c>
      <c r="B49" s="30" t="s">
        <v>476</v>
      </c>
      <c r="C49" s="35" t="s">
        <v>477</v>
      </c>
      <c r="D49" s="7" t="s">
        <v>478</v>
      </c>
      <c r="E49" s="7"/>
      <c r="F49" s="7"/>
      <c r="G49" s="7"/>
      <c r="H49" s="7"/>
    </row>
    <row r="50" spans="1:8" ht="79.5" customHeight="1" x14ac:dyDescent="0.35">
      <c r="A50" s="25">
        <v>5</v>
      </c>
      <c r="B50" s="23" t="s">
        <v>479</v>
      </c>
      <c r="C50" s="28" t="s">
        <v>480</v>
      </c>
      <c r="D50" s="10" t="s">
        <v>481</v>
      </c>
      <c r="E50" s="10"/>
      <c r="F50" s="10"/>
      <c r="G50" s="10"/>
      <c r="H50" s="10"/>
    </row>
    <row r="51" spans="1:8" ht="79.5" customHeight="1" x14ac:dyDescent="0.35">
      <c r="A51" s="29">
        <v>6</v>
      </c>
      <c r="B51" s="30" t="s">
        <v>482</v>
      </c>
      <c r="C51" s="35" t="s">
        <v>483</v>
      </c>
      <c r="D51" s="7" t="s">
        <v>484</v>
      </c>
      <c r="E51" s="7"/>
      <c r="F51" s="7"/>
      <c r="G51" s="7"/>
      <c r="H51" s="7"/>
    </row>
    <row r="53" spans="1:8" ht="45.75" customHeight="1" x14ac:dyDescent="0.35">
      <c r="A53" s="6" t="s">
        <v>485</v>
      </c>
      <c r="B53" s="6"/>
      <c r="C53" s="6"/>
      <c r="D53" s="6"/>
      <c r="E53" s="6"/>
      <c r="F53" s="6"/>
      <c r="G53" s="6"/>
      <c r="H53" s="6"/>
    </row>
  </sheetData>
  <autoFilter ref="A10:H40" xr:uid="{00000000-0009-0000-0000-000003000000}"/>
  <mergeCells count="16">
    <mergeCell ref="A53:H53"/>
    <mergeCell ref="D47:H47"/>
    <mergeCell ref="D48:H48"/>
    <mergeCell ref="D49:H49"/>
    <mergeCell ref="D50:H50"/>
    <mergeCell ref="D51:H51"/>
    <mergeCell ref="A8:H8"/>
    <mergeCell ref="A41:H41"/>
    <mergeCell ref="A44:H44"/>
    <mergeCell ref="D45:H45"/>
    <mergeCell ref="D46:H46"/>
    <mergeCell ref="A1:H1"/>
    <mergeCell ref="A2:H2"/>
    <mergeCell ref="D5:G5"/>
    <mergeCell ref="D6:G6"/>
    <mergeCell ref="D7:G7"/>
  </mergeCells>
  <pageMargins left="0.5" right="0.4" top="0.6" bottom="0.6" header="0.511811023622047" footer="0.3"/>
  <pageSetup paperSize="9" fitToHeight="0" orientation="landscape" horizontalDpi="300" verticalDpi="300"/>
  <headerFooter>
    <oddFooter>&amp;L&amp;8 Betreibermodelle und Verguetungen Photovoltaik - Stand: 25.08.2026&amp;R&amp;8 Seite &amp;P von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08"/>
  <sheetViews>
    <sheetView zoomScaleNormal="100" workbookViewId="0">
      <pane ySplit="6" topLeftCell="A7" activePane="bottomLeft" state="frozen"/>
      <selection pane="bottomLeft"/>
    </sheetView>
  </sheetViews>
  <sheetFormatPr baseColWidth="10" defaultColWidth="8.6328125" defaultRowHeight="14.5" x14ac:dyDescent="0.35"/>
  <cols>
    <col min="1" max="1" width="9" customWidth="1"/>
    <col min="2" max="2" width="14.54296875" customWidth="1"/>
    <col min="3" max="3" width="15.54296875" customWidth="1"/>
    <col min="4" max="4" width="14.54296875" customWidth="1"/>
    <col min="5" max="5" width="15.54296875" customWidth="1"/>
    <col min="6" max="6" width="17.453125" customWidth="1"/>
    <col min="7" max="8" width="14.54296875" customWidth="1"/>
    <col min="9" max="10" width="15.54296875" customWidth="1"/>
    <col min="11" max="11" width="14.54296875" customWidth="1"/>
    <col min="12" max="12" width="17.453125" customWidth="1"/>
    <col min="13" max="13" width="11.453125" customWidth="1"/>
    <col min="14" max="14" width="15.54296875" customWidth="1"/>
  </cols>
  <sheetData>
    <row r="1" spans="1:14" ht="18" x14ac:dyDescent="0.4">
      <c r="A1" s="14" t="s">
        <v>486</v>
      </c>
      <c r="B1" s="14"/>
      <c r="C1" s="14"/>
      <c r="D1" s="14"/>
      <c r="E1" s="14"/>
      <c r="F1" s="14"/>
      <c r="G1" s="14"/>
      <c r="H1" s="14"/>
      <c r="I1" s="14"/>
      <c r="J1" s="14"/>
      <c r="K1" s="14"/>
      <c r="L1" s="14"/>
      <c r="M1" s="14"/>
      <c r="N1" s="14"/>
    </row>
    <row r="2" spans="1:14" x14ac:dyDescent="0.35">
      <c r="A2" s="13" t="s">
        <v>487</v>
      </c>
      <c r="B2" s="13"/>
      <c r="C2" s="13"/>
      <c r="D2" s="13"/>
      <c r="E2" s="13"/>
      <c r="F2" s="13"/>
      <c r="G2" s="13"/>
      <c r="H2" s="13"/>
      <c r="I2" s="13"/>
      <c r="J2" s="13"/>
      <c r="K2" s="13"/>
      <c r="L2" s="13"/>
      <c r="M2" s="13"/>
      <c r="N2" s="13"/>
    </row>
    <row r="4" spans="1:14" x14ac:dyDescent="0.35">
      <c r="A4" s="5" t="s">
        <v>488</v>
      </c>
      <c r="B4" s="5"/>
      <c r="C4" s="5"/>
      <c r="D4" s="5"/>
      <c r="E4" s="5"/>
      <c r="F4" s="5"/>
      <c r="G4" s="5"/>
      <c r="H4" s="5"/>
      <c r="I4" s="5"/>
      <c r="J4" s="5"/>
      <c r="K4" s="5"/>
      <c r="L4" s="5"/>
      <c r="M4" s="5"/>
      <c r="N4" s="5"/>
    </row>
    <row r="5" spans="1:14" ht="30" customHeight="1" x14ac:dyDescent="0.35">
      <c r="A5" s="9" t="s">
        <v>489</v>
      </c>
      <c r="B5" s="9"/>
      <c r="C5" s="9"/>
      <c r="D5" s="9"/>
      <c r="E5" s="9"/>
      <c r="F5" s="9"/>
      <c r="G5" s="9"/>
      <c r="H5" s="9"/>
      <c r="I5" s="9"/>
      <c r="J5" s="9"/>
      <c r="K5" s="9"/>
      <c r="L5" s="9"/>
      <c r="M5" s="9"/>
      <c r="N5" s="9"/>
    </row>
    <row r="6" spans="1:14" ht="30" customHeight="1" x14ac:dyDescent="0.35">
      <c r="A6" s="8" t="s">
        <v>490</v>
      </c>
      <c r="B6" s="8"/>
      <c r="C6" s="8"/>
      <c r="D6" s="16" t="s">
        <v>491</v>
      </c>
      <c r="E6" s="8" t="s">
        <v>492</v>
      </c>
      <c r="F6" s="8"/>
      <c r="G6" s="8" t="s">
        <v>493</v>
      </c>
      <c r="H6" s="8"/>
      <c r="I6" s="8"/>
      <c r="J6" s="8"/>
      <c r="K6" s="8"/>
      <c r="L6" s="8"/>
      <c r="M6" s="8"/>
      <c r="N6" s="8"/>
    </row>
    <row r="7" spans="1:14" ht="27" customHeight="1" x14ac:dyDescent="0.35">
      <c r="A7" s="4" t="s">
        <v>494</v>
      </c>
      <c r="B7" s="4"/>
      <c r="C7" s="4"/>
      <c r="D7" s="40" t="s">
        <v>495</v>
      </c>
      <c r="E7" s="3">
        <v>30</v>
      </c>
      <c r="F7" s="3"/>
      <c r="G7" s="2" t="s">
        <v>496</v>
      </c>
      <c r="H7" s="2"/>
      <c r="I7" s="2"/>
      <c r="J7" s="2"/>
      <c r="K7" s="2"/>
      <c r="L7" s="2"/>
      <c r="M7" s="2"/>
      <c r="N7" s="2"/>
    </row>
    <row r="8" spans="1:14" ht="27" customHeight="1" x14ac:dyDescent="0.35">
      <c r="A8" s="1" t="s">
        <v>497</v>
      </c>
      <c r="B8" s="1"/>
      <c r="C8" s="1"/>
      <c r="D8" s="42" t="s">
        <v>498</v>
      </c>
      <c r="E8" s="140">
        <v>1078</v>
      </c>
      <c r="F8" s="140"/>
      <c r="G8" s="141" t="s">
        <v>499</v>
      </c>
      <c r="H8" s="141"/>
      <c r="I8" s="141"/>
      <c r="J8" s="141"/>
      <c r="K8" s="141"/>
      <c r="L8" s="141"/>
      <c r="M8" s="141"/>
      <c r="N8" s="141"/>
    </row>
    <row r="9" spans="1:14" ht="27" customHeight="1" x14ac:dyDescent="0.35">
      <c r="A9" s="4" t="s">
        <v>500</v>
      </c>
      <c r="B9" s="4"/>
      <c r="C9" s="4"/>
      <c r="D9" s="40" t="s">
        <v>501</v>
      </c>
      <c r="E9" s="142">
        <v>0.05</v>
      </c>
      <c r="F9" s="142"/>
      <c r="G9" s="2" t="s">
        <v>502</v>
      </c>
      <c r="H9" s="2"/>
      <c r="I9" s="2"/>
      <c r="J9" s="2"/>
      <c r="K9" s="2"/>
      <c r="L9" s="2"/>
      <c r="M9" s="2"/>
      <c r="N9" s="2"/>
    </row>
    <row r="10" spans="1:14" ht="27" customHeight="1" x14ac:dyDescent="0.35">
      <c r="A10" s="1" t="s">
        <v>503</v>
      </c>
      <c r="B10" s="1"/>
      <c r="C10" s="1"/>
      <c r="D10" s="42" t="s">
        <v>504</v>
      </c>
      <c r="E10" s="143">
        <v>1800</v>
      </c>
      <c r="F10" s="143"/>
      <c r="G10" s="141" t="s">
        <v>505</v>
      </c>
      <c r="H10" s="141"/>
      <c r="I10" s="141"/>
      <c r="J10" s="141"/>
      <c r="K10" s="141"/>
      <c r="L10" s="141"/>
      <c r="M10" s="141"/>
      <c r="N10" s="141"/>
    </row>
    <row r="11" spans="1:14" ht="27" customHeight="1" x14ac:dyDescent="0.35">
      <c r="A11" s="4" t="s">
        <v>506</v>
      </c>
      <c r="B11" s="4"/>
      <c r="C11" s="4"/>
      <c r="D11" s="40" t="s">
        <v>507</v>
      </c>
      <c r="E11" s="144">
        <f>$E$7*$E$10</f>
        <v>54000</v>
      </c>
      <c r="F11" s="144"/>
      <c r="G11" s="2" t="s">
        <v>508</v>
      </c>
      <c r="H11" s="2"/>
      <c r="I11" s="2"/>
      <c r="J11" s="2"/>
      <c r="K11" s="2"/>
      <c r="L11" s="2"/>
      <c r="M11" s="2"/>
      <c r="N11" s="2"/>
    </row>
    <row r="12" spans="1:14" ht="27" customHeight="1" x14ac:dyDescent="0.35">
      <c r="A12" s="4" t="s">
        <v>509</v>
      </c>
      <c r="B12" s="4"/>
      <c r="C12" s="4"/>
      <c r="D12" s="40" t="s">
        <v>501</v>
      </c>
      <c r="E12" s="142">
        <v>3.5000000000000003E-2</v>
      </c>
      <c r="F12" s="142"/>
      <c r="G12" s="2" t="s">
        <v>510</v>
      </c>
      <c r="H12" s="2"/>
      <c r="I12" s="2"/>
      <c r="J12" s="2"/>
      <c r="K12" s="2"/>
      <c r="L12" s="2"/>
      <c r="M12" s="2"/>
      <c r="N12" s="2"/>
    </row>
    <row r="13" spans="1:14" ht="27" customHeight="1" x14ac:dyDescent="0.35">
      <c r="A13" s="1" t="s">
        <v>511</v>
      </c>
      <c r="B13" s="1"/>
      <c r="C13" s="1"/>
      <c r="D13" s="42" t="s">
        <v>512</v>
      </c>
      <c r="E13" s="3">
        <v>20</v>
      </c>
      <c r="F13" s="3"/>
      <c r="G13" s="141" t="s">
        <v>513</v>
      </c>
      <c r="H13" s="141"/>
      <c r="I13" s="141"/>
      <c r="J13" s="141"/>
      <c r="K13" s="141"/>
      <c r="L13" s="141"/>
      <c r="M13" s="141"/>
      <c r="N13" s="141"/>
    </row>
    <row r="14" spans="1:14" ht="27" customHeight="1" x14ac:dyDescent="0.35">
      <c r="A14" s="4" t="s">
        <v>514</v>
      </c>
      <c r="B14" s="4"/>
      <c r="C14" s="4"/>
      <c r="D14" s="40" t="s">
        <v>515</v>
      </c>
      <c r="E14" s="140">
        <v>10</v>
      </c>
      <c r="F14" s="140"/>
      <c r="G14" s="2" t="s">
        <v>516</v>
      </c>
      <c r="H14" s="2"/>
      <c r="I14" s="2"/>
      <c r="J14" s="2"/>
      <c r="K14" s="2"/>
      <c r="L14" s="2"/>
      <c r="M14" s="2"/>
      <c r="N14" s="2"/>
    </row>
    <row r="15" spans="1:14" ht="30" customHeight="1" x14ac:dyDescent="0.35">
      <c r="A15" s="4" t="s">
        <v>517</v>
      </c>
      <c r="B15" s="4"/>
      <c r="C15" s="4"/>
      <c r="D15" s="40" t="s">
        <v>512</v>
      </c>
      <c r="E15" s="145">
        <f>$E$13+$E$14/12</f>
        <v>20.833333333333332</v>
      </c>
      <c r="F15" s="145"/>
      <c r="G15" s="2" t="str">
        <f>IF($E$15&gt;21,"⚠ ACHTUNG: Die Jahrestabellen bilden höchstens 21 Jahre ab. Laufzeit zuzüglich Inbetriebnahmemonate/12 darf 21 nicht überschreiten, sonst rechnen die Kennzahlen mit einer zu kurzen Zahlungsreihe.","Formel: = Laufzeit + Inbetriebnahmemonate / 12 = 20 + 10/12 = 20,8333 Jahre = 250 Monate – genau der Betrachtungszeitraum 3/2023–12/2043 des Werkzeugs (C1)")</f>
        <v>Formel: = Laufzeit + Inbetriebnahmemonate / 12 = 20 + 10/12 = 20,8333 Jahre = 250 Monate – genau der Betrachtungszeitraum 3/2023–12/2043 des Werkzeugs (C1)</v>
      </c>
      <c r="H15" s="2"/>
      <c r="I15" s="2"/>
      <c r="J15" s="2"/>
      <c r="K15" s="2"/>
      <c r="L15" s="2"/>
      <c r="M15" s="2"/>
      <c r="N15" s="2"/>
    </row>
    <row r="16" spans="1:14" ht="27" customHeight="1" x14ac:dyDescent="0.35">
      <c r="A16" s="1" t="s">
        <v>518</v>
      </c>
      <c r="B16" s="1"/>
      <c r="C16" s="1"/>
      <c r="D16" s="42" t="s">
        <v>519</v>
      </c>
      <c r="E16" s="140">
        <v>100000</v>
      </c>
      <c r="F16" s="140"/>
      <c r="G16" s="141" t="s">
        <v>520</v>
      </c>
      <c r="H16" s="141"/>
      <c r="I16" s="141"/>
      <c r="J16" s="141"/>
      <c r="K16" s="141"/>
      <c r="L16" s="141"/>
      <c r="M16" s="141"/>
      <c r="N16" s="141"/>
    </row>
    <row r="18" spans="1:14" x14ac:dyDescent="0.35">
      <c r="A18" s="5" t="s">
        <v>521</v>
      </c>
      <c r="B18" s="5"/>
      <c r="C18" s="5"/>
      <c r="D18" s="5"/>
      <c r="E18" s="5"/>
      <c r="F18" s="5"/>
      <c r="G18" s="5"/>
      <c r="H18" s="5"/>
      <c r="I18" s="5"/>
      <c r="J18" s="5"/>
      <c r="K18" s="5"/>
      <c r="L18" s="5"/>
      <c r="M18" s="5"/>
      <c r="N18" s="5"/>
    </row>
    <row r="19" spans="1:14" ht="48" customHeight="1" x14ac:dyDescent="0.35">
      <c r="A19" s="8" t="s">
        <v>522</v>
      </c>
      <c r="B19" s="8"/>
      <c r="C19" s="8"/>
      <c r="D19" s="16" t="s">
        <v>491</v>
      </c>
      <c r="E19" s="16" t="s">
        <v>523</v>
      </c>
      <c r="F19" s="16" t="s">
        <v>524</v>
      </c>
      <c r="G19" s="8" t="s">
        <v>493</v>
      </c>
      <c r="H19" s="8"/>
      <c r="I19" s="8"/>
      <c r="J19" s="8"/>
      <c r="K19" s="8"/>
      <c r="L19" s="8"/>
      <c r="M19" s="8"/>
      <c r="N19" s="8"/>
    </row>
    <row r="20" spans="1:14" ht="30" customHeight="1" x14ac:dyDescent="0.35">
      <c r="A20" s="4" t="s">
        <v>525</v>
      </c>
      <c r="B20" s="4"/>
      <c r="C20" s="4"/>
      <c r="D20" s="40" t="s">
        <v>501</v>
      </c>
      <c r="E20" s="43">
        <v>0.83399999999999996</v>
      </c>
      <c r="F20" s="43">
        <v>0</v>
      </c>
      <c r="G20" s="2" t="s">
        <v>526</v>
      </c>
      <c r="H20" s="2"/>
      <c r="I20" s="2"/>
      <c r="J20" s="2"/>
      <c r="K20" s="2"/>
      <c r="L20" s="2"/>
      <c r="M20" s="2"/>
      <c r="N20" s="2"/>
    </row>
    <row r="21" spans="1:14" ht="27" customHeight="1" x14ac:dyDescent="0.35">
      <c r="A21" s="1" t="s">
        <v>527</v>
      </c>
      <c r="B21" s="1"/>
      <c r="C21" s="1"/>
      <c r="D21" s="42" t="s">
        <v>501</v>
      </c>
      <c r="E21" s="46">
        <f>1-E20</f>
        <v>0.16600000000000004</v>
      </c>
      <c r="F21" s="46">
        <f>1-F20</f>
        <v>1</v>
      </c>
      <c r="G21" s="141" t="s">
        <v>528</v>
      </c>
      <c r="H21" s="141"/>
      <c r="I21" s="141"/>
      <c r="J21" s="141"/>
      <c r="K21" s="141"/>
      <c r="L21" s="141"/>
      <c r="M21" s="141"/>
      <c r="N21" s="141"/>
    </row>
    <row r="22" spans="1:14" ht="43.5" customHeight="1" x14ac:dyDescent="0.35">
      <c r="A22" s="1" t="s">
        <v>529</v>
      </c>
      <c r="B22" s="1"/>
      <c r="C22" s="1"/>
      <c r="D22" s="42" t="s">
        <v>530</v>
      </c>
      <c r="E22" s="41">
        <v>7.47</v>
      </c>
      <c r="F22" s="41">
        <v>11.6</v>
      </c>
      <c r="G22" s="141" t="s">
        <v>531</v>
      </c>
      <c r="H22" s="141"/>
      <c r="I22" s="141"/>
      <c r="J22" s="141"/>
      <c r="K22" s="141"/>
      <c r="L22" s="141"/>
      <c r="M22" s="141"/>
      <c r="N22" s="141"/>
    </row>
    <row r="23" spans="1:14" ht="43.5" customHeight="1" x14ac:dyDescent="0.35">
      <c r="A23" s="4" t="s">
        <v>532</v>
      </c>
      <c r="B23" s="4"/>
      <c r="C23" s="4"/>
      <c r="D23" s="40" t="s">
        <v>533</v>
      </c>
      <c r="E23" s="44">
        <f>0.01*$E$11+500+1000</f>
        <v>2040</v>
      </c>
      <c r="F23" s="44">
        <f>100+500+1000</f>
        <v>1600</v>
      </c>
      <c r="G23" s="2" t="s">
        <v>534</v>
      </c>
      <c r="H23" s="2"/>
      <c r="I23" s="2"/>
      <c r="J23" s="2"/>
      <c r="K23" s="2"/>
      <c r="L23" s="2"/>
      <c r="M23" s="2"/>
      <c r="N23" s="2"/>
    </row>
    <row r="24" spans="1:14" ht="27" customHeight="1" x14ac:dyDescent="0.35">
      <c r="A24" s="1" t="s">
        <v>535</v>
      </c>
      <c r="B24" s="1"/>
      <c r="C24" s="1"/>
      <c r="D24" s="42" t="s">
        <v>530</v>
      </c>
      <c r="E24" s="41">
        <v>30</v>
      </c>
      <c r="F24" s="41">
        <v>30</v>
      </c>
      <c r="G24" s="141" t="s">
        <v>536</v>
      </c>
      <c r="H24" s="141"/>
      <c r="I24" s="141"/>
      <c r="J24" s="141"/>
      <c r="K24" s="141"/>
      <c r="L24" s="141"/>
      <c r="M24" s="141"/>
      <c r="N24" s="141"/>
    </row>
    <row r="25" spans="1:14" ht="27" customHeight="1" x14ac:dyDescent="0.35">
      <c r="A25" s="4" t="s">
        <v>537</v>
      </c>
      <c r="B25" s="4"/>
      <c r="C25" s="4"/>
      <c r="D25" s="40" t="s">
        <v>538</v>
      </c>
      <c r="E25" s="43">
        <v>0.04</v>
      </c>
      <c r="F25" s="43">
        <v>0.04</v>
      </c>
      <c r="G25" s="2" t="s">
        <v>539</v>
      </c>
      <c r="H25" s="2"/>
      <c r="I25" s="2"/>
      <c r="J25" s="2"/>
      <c r="K25" s="2"/>
      <c r="L25" s="2"/>
      <c r="M25" s="2"/>
      <c r="N25" s="2"/>
    </row>
    <row r="26" spans="1:14" ht="43.5" customHeight="1" x14ac:dyDescent="0.35">
      <c r="A26" s="4" t="s">
        <v>540</v>
      </c>
      <c r="B26" s="4"/>
      <c r="C26" s="4"/>
      <c r="D26" s="40" t="s">
        <v>507</v>
      </c>
      <c r="E26" s="47">
        <f>$E$7*$E$8*E21*E22/100+$E$7*$E$8*E20*E24/100-E23</f>
        <v>6452.4904679999981</v>
      </c>
      <c r="F26" s="47">
        <f>$E$7*$E$8*F21*F22/100+$E$7*$E$8*F20*F24/100-F23</f>
        <v>2151.44</v>
      </c>
      <c r="G26" s="2" t="s">
        <v>541</v>
      </c>
      <c r="H26" s="2"/>
      <c r="I26" s="2"/>
      <c r="J26" s="2"/>
      <c r="K26" s="2"/>
      <c r="L26" s="2"/>
      <c r="M26" s="2"/>
      <c r="N26" s="2"/>
    </row>
    <row r="28" spans="1:14" x14ac:dyDescent="0.35">
      <c r="A28" s="5" t="s">
        <v>542</v>
      </c>
      <c r="B28" s="5"/>
      <c r="C28" s="5"/>
      <c r="D28" s="5"/>
      <c r="E28" s="5"/>
      <c r="F28" s="5"/>
      <c r="G28" s="5"/>
      <c r="H28" s="5"/>
      <c r="I28" s="5"/>
      <c r="J28" s="5"/>
      <c r="K28" s="5"/>
      <c r="L28" s="5"/>
      <c r="M28" s="5"/>
      <c r="N28" s="5"/>
    </row>
    <row r="29" spans="1:14" ht="30" customHeight="1" x14ac:dyDescent="0.35">
      <c r="A29" s="9" t="s">
        <v>543</v>
      </c>
      <c r="B29" s="9"/>
      <c r="C29" s="9"/>
      <c r="D29" s="9"/>
      <c r="E29" s="9"/>
      <c r="F29" s="9"/>
      <c r="G29" s="9"/>
      <c r="H29" s="9"/>
      <c r="I29" s="9"/>
      <c r="J29" s="9"/>
      <c r="K29" s="9"/>
      <c r="L29" s="9"/>
      <c r="M29" s="9"/>
      <c r="N29" s="9"/>
    </row>
    <row r="30" spans="1:14" ht="33" customHeight="1" x14ac:dyDescent="0.35">
      <c r="A30" s="16" t="s">
        <v>544</v>
      </c>
      <c r="B30" s="16" t="s">
        <v>545</v>
      </c>
      <c r="C30" s="16" t="s">
        <v>546</v>
      </c>
      <c r="D30" s="16" t="s">
        <v>547</v>
      </c>
      <c r="E30" s="16" t="s">
        <v>548</v>
      </c>
      <c r="F30" s="16" t="s">
        <v>549</v>
      </c>
      <c r="G30" s="16" t="s">
        <v>550</v>
      </c>
      <c r="H30" s="16" t="s">
        <v>551</v>
      </c>
      <c r="I30" s="16" t="s">
        <v>552</v>
      </c>
      <c r="J30" s="16" t="s">
        <v>553</v>
      </c>
      <c r="K30" s="16" t="s">
        <v>554</v>
      </c>
      <c r="L30" s="16" t="s">
        <v>555</v>
      </c>
      <c r="M30" s="16" t="s">
        <v>556</v>
      </c>
      <c r="N30" s="16" t="s">
        <v>557</v>
      </c>
    </row>
    <row r="31" spans="1:14" ht="14.25" customHeight="1" x14ac:dyDescent="0.35">
      <c r="A31" s="48">
        <v>0</v>
      </c>
      <c r="B31" s="49">
        <f t="shared" ref="B31:B52" si="0">$E$7*$E$8*(1-$E$9*MIN(MAX($A31-1,0),$E$15-1)/MAX($E$15-1,1))*$M31</f>
        <v>0</v>
      </c>
      <c r="C31" s="49">
        <f t="shared" ref="C31:C52" si="1">$B31*E$20</f>
        <v>0</v>
      </c>
      <c r="D31" s="49">
        <f t="shared" ref="D31:D52" si="2">$B31*E$21</f>
        <v>0</v>
      </c>
      <c r="E31" s="50">
        <f t="shared" ref="E31:E52" si="3">$D31*E$22/100</f>
        <v>0</v>
      </c>
      <c r="F31" s="50">
        <f t="shared" ref="F31:F52" si="4">$C31*$N31/100</f>
        <v>0</v>
      </c>
      <c r="G31" s="50">
        <f t="shared" ref="G31:G52" si="5">$M31*E$23</f>
        <v>0</v>
      </c>
      <c r="H31" s="51">
        <f t="shared" ref="H31:H52" si="6">IF($A31=0,-$E$11,$E31+$F31-$G31)</f>
        <v>-54000</v>
      </c>
      <c r="I31" s="51">
        <f>$H31</f>
        <v>-54000</v>
      </c>
      <c r="J31" s="52">
        <f t="shared" ref="J31:J52" si="7">1/(1+$E$12)^$A31</f>
        <v>1</v>
      </c>
      <c r="K31" s="50">
        <f t="shared" ref="K31:K52" si="8">$H31*$J31</f>
        <v>-54000</v>
      </c>
      <c r="L31" s="50">
        <f>$K31</f>
        <v>-54000</v>
      </c>
      <c r="M31" s="53">
        <f t="shared" ref="M31:M52" si="9">IF($A31=0,0,MIN(1,MAX(0,$E$15-$A31+1)))</f>
        <v>0</v>
      </c>
      <c r="N31" s="53">
        <f t="shared" ref="N31:N52" si="10">IF($A31=0,0,E$24*(1+E$25)^($A31-1))</f>
        <v>0</v>
      </c>
    </row>
    <row r="32" spans="1:14" ht="14.25" customHeight="1" x14ac:dyDescent="0.35">
      <c r="A32" s="29">
        <v>1</v>
      </c>
      <c r="B32" s="54">
        <f t="shared" si="0"/>
        <v>32340</v>
      </c>
      <c r="C32" s="54">
        <f t="shared" si="1"/>
        <v>26971.559999999998</v>
      </c>
      <c r="D32" s="54">
        <f t="shared" si="2"/>
        <v>5368.4400000000014</v>
      </c>
      <c r="E32" s="55">
        <f t="shared" si="3"/>
        <v>401.02246800000006</v>
      </c>
      <c r="F32" s="55">
        <f t="shared" si="4"/>
        <v>8091.4679999999989</v>
      </c>
      <c r="G32" s="55">
        <f t="shared" si="5"/>
        <v>2040</v>
      </c>
      <c r="H32" s="56">
        <f t="shared" si="6"/>
        <v>6452.4904679999981</v>
      </c>
      <c r="I32" s="56">
        <f t="shared" ref="I32:I52" si="11">$I31+$H32</f>
        <v>-47547.509532000004</v>
      </c>
      <c r="J32" s="57">
        <f t="shared" si="7"/>
        <v>0.96618357487922713</v>
      </c>
      <c r="K32" s="55">
        <f t="shared" si="8"/>
        <v>6234.2903072463751</v>
      </c>
      <c r="L32" s="55">
        <f t="shared" ref="L32:L52" si="12">$L31+$K32</f>
        <v>-47765.709692753626</v>
      </c>
      <c r="M32" s="58">
        <f t="shared" si="9"/>
        <v>1</v>
      </c>
      <c r="N32" s="58">
        <f t="shared" si="10"/>
        <v>30</v>
      </c>
    </row>
    <row r="33" spans="1:14" ht="14.25" customHeight="1" x14ac:dyDescent="0.35">
      <c r="A33" s="25">
        <v>2</v>
      </c>
      <c r="B33" s="59">
        <f t="shared" si="0"/>
        <v>32258.470588235294</v>
      </c>
      <c r="C33" s="59">
        <f t="shared" si="1"/>
        <v>26903.564470588233</v>
      </c>
      <c r="D33" s="59">
        <f t="shared" si="2"/>
        <v>5354.9061176470595</v>
      </c>
      <c r="E33" s="60">
        <f t="shared" si="3"/>
        <v>400.01148698823533</v>
      </c>
      <c r="F33" s="60">
        <f t="shared" si="4"/>
        <v>8393.9121148235299</v>
      </c>
      <c r="G33" s="60">
        <f t="shared" si="5"/>
        <v>2040</v>
      </c>
      <c r="H33" s="61">
        <f t="shared" si="6"/>
        <v>6753.9236018117645</v>
      </c>
      <c r="I33" s="61">
        <f t="shared" si="11"/>
        <v>-40793.585930188237</v>
      </c>
      <c r="J33" s="62">
        <f t="shared" si="7"/>
        <v>0.93351070036640305</v>
      </c>
      <c r="K33" s="60">
        <f t="shared" si="8"/>
        <v>6304.8599517484799</v>
      </c>
      <c r="L33" s="60">
        <f t="shared" si="12"/>
        <v>-41460.84974100515</v>
      </c>
      <c r="M33" s="63">
        <f t="shared" si="9"/>
        <v>1</v>
      </c>
      <c r="N33" s="63">
        <f t="shared" si="10"/>
        <v>31.200000000000003</v>
      </c>
    </row>
    <row r="34" spans="1:14" ht="14.25" customHeight="1" x14ac:dyDescent="0.35">
      <c r="A34" s="29">
        <v>3</v>
      </c>
      <c r="B34" s="54">
        <f t="shared" si="0"/>
        <v>32176.941176470587</v>
      </c>
      <c r="C34" s="54">
        <f t="shared" si="1"/>
        <v>26835.568941176469</v>
      </c>
      <c r="D34" s="54">
        <f t="shared" si="2"/>
        <v>5341.3722352941186</v>
      </c>
      <c r="E34" s="55">
        <f t="shared" si="3"/>
        <v>399.00050597647066</v>
      </c>
      <c r="F34" s="55">
        <f t="shared" si="4"/>
        <v>8707.6054100329402</v>
      </c>
      <c r="G34" s="55">
        <f t="shared" si="5"/>
        <v>2040</v>
      </c>
      <c r="H34" s="56">
        <f t="shared" si="6"/>
        <v>7066.6059160094101</v>
      </c>
      <c r="I34" s="56">
        <f t="shared" si="11"/>
        <v>-33726.980014178829</v>
      </c>
      <c r="J34" s="57">
        <f t="shared" si="7"/>
        <v>0.90194270566802237</v>
      </c>
      <c r="K34" s="55">
        <f t="shared" si="8"/>
        <v>6373.6736597751806</v>
      </c>
      <c r="L34" s="55">
        <f t="shared" si="12"/>
        <v>-35087.176081229969</v>
      </c>
      <c r="M34" s="58">
        <f t="shared" si="9"/>
        <v>1</v>
      </c>
      <c r="N34" s="58">
        <f t="shared" si="10"/>
        <v>32.448</v>
      </c>
    </row>
    <row r="35" spans="1:14" ht="14.25" customHeight="1" x14ac:dyDescent="0.35">
      <c r="A35" s="25">
        <v>4</v>
      </c>
      <c r="B35" s="59">
        <f t="shared" si="0"/>
        <v>32095.411764705885</v>
      </c>
      <c r="C35" s="59">
        <f t="shared" si="1"/>
        <v>26767.573411764708</v>
      </c>
      <c r="D35" s="59">
        <f t="shared" si="2"/>
        <v>5327.8383529411776</v>
      </c>
      <c r="E35" s="60">
        <f t="shared" si="3"/>
        <v>397.98952496470594</v>
      </c>
      <c r="F35" s="60">
        <f t="shared" si="4"/>
        <v>9032.9639094753893</v>
      </c>
      <c r="G35" s="60">
        <f t="shared" si="5"/>
        <v>2040</v>
      </c>
      <c r="H35" s="61">
        <f t="shared" si="6"/>
        <v>7390.9534344400945</v>
      </c>
      <c r="I35" s="61">
        <f t="shared" si="11"/>
        <v>-26336.026579738733</v>
      </c>
      <c r="J35" s="62">
        <f t="shared" si="7"/>
        <v>0.87144222769857238</v>
      </c>
      <c r="K35" s="60">
        <f t="shared" si="8"/>
        <v>6440.7889257248908</v>
      </c>
      <c r="L35" s="60">
        <f t="shared" si="12"/>
        <v>-28646.387155505079</v>
      </c>
      <c r="M35" s="63">
        <f t="shared" si="9"/>
        <v>1</v>
      </c>
      <c r="N35" s="63">
        <f t="shared" si="10"/>
        <v>33.745920000000005</v>
      </c>
    </row>
    <row r="36" spans="1:14" ht="14.25" customHeight="1" x14ac:dyDescent="0.35">
      <c r="A36" s="29">
        <v>5</v>
      </c>
      <c r="B36" s="54">
        <f t="shared" si="0"/>
        <v>32013.882352941178</v>
      </c>
      <c r="C36" s="54">
        <f t="shared" si="1"/>
        <v>26699.57788235294</v>
      </c>
      <c r="D36" s="54">
        <f t="shared" si="2"/>
        <v>5314.3044705882367</v>
      </c>
      <c r="E36" s="55">
        <f t="shared" si="3"/>
        <v>396.97854395294127</v>
      </c>
      <c r="F36" s="55">
        <f t="shared" si="4"/>
        <v>9370.4189202171783</v>
      </c>
      <c r="G36" s="55">
        <f t="shared" si="5"/>
        <v>2040</v>
      </c>
      <c r="H36" s="56">
        <f t="shared" si="6"/>
        <v>7727.3974641701188</v>
      </c>
      <c r="I36" s="56">
        <f t="shared" si="11"/>
        <v>-18608.629115568612</v>
      </c>
      <c r="J36" s="57">
        <f t="shared" si="7"/>
        <v>0.84197316685852419</v>
      </c>
      <c r="K36" s="55">
        <f t="shared" si="8"/>
        <v>6506.2613144818442</v>
      </c>
      <c r="L36" s="55">
        <f t="shared" si="12"/>
        <v>-22140.125841023233</v>
      </c>
      <c r="M36" s="58">
        <f t="shared" si="9"/>
        <v>1</v>
      </c>
      <c r="N36" s="58">
        <f t="shared" si="10"/>
        <v>35.095756800000004</v>
      </c>
    </row>
    <row r="37" spans="1:14" ht="14.25" customHeight="1" x14ac:dyDescent="0.35">
      <c r="A37" s="25">
        <v>6</v>
      </c>
      <c r="B37" s="59">
        <f t="shared" si="0"/>
        <v>31932.352941176472</v>
      </c>
      <c r="C37" s="59">
        <f t="shared" si="1"/>
        <v>26631.582352941175</v>
      </c>
      <c r="D37" s="59">
        <f t="shared" si="2"/>
        <v>5300.7705882352957</v>
      </c>
      <c r="E37" s="60">
        <f t="shared" si="3"/>
        <v>395.9675629411766</v>
      </c>
      <c r="F37" s="60">
        <f t="shared" si="4"/>
        <v>9720.4175895631543</v>
      </c>
      <c r="G37" s="60">
        <f t="shared" si="5"/>
        <v>2040</v>
      </c>
      <c r="H37" s="61">
        <f t="shared" si="6"/>
        <v>8076.3851525043301</v>
      </c>
      <c r="I37" s="61">
        <f t="shared" si="11"/>
        <v>-10532.243963064282</v>
      </c>
      <c r="J37" s="62">
        <f t="shared" si="7"/>
        <v>0.81350064430775282</v>
      </c>
      <c r="K37" s="60">
        <f t="shared" si="8"/>
        <v>6570.1445252398407</v>
      </c>
      <c r="L37" s="60">
        <f t="shared" si="12"/>
        <v>-15569.981315783392</v>
      </c>
      <c r="M37" s="63">
        <f t="shared" si="9"/>
        <v>1</v>
      </c>
      <c r="N37" s="63">
        <f t="shared" si="10"/>
        <v>36.499587072000011</v>
      </c>
    </row>
    <row r="38" spans="1:14" ht="14.25" customHeight="1" x14ac:dyDescent="0.35">
      <c r="A38" s="29">
        <v>7</v>
      </c>
      <c r="B38" s="54">
        <f t="shared" si="0"/>
        <v>31850.823529411762</v>
      </c>
      <c r="C38" s="54">
        <f t="shared" si="1"/>
        <v>26563.586823529407</v>
      </c>
      <c r="D38" s="54">
        <f t="shared" si="2"/>
        <v>5287.2367058823538</v>
      </c>
      <c r="E38" s="55">
        <f t="shared" si="3"/>
        <v>394.95658192941187</v>
      </c>
      <c r="F38" s="55">
        <f t="shared" si="4"/>
        <v>10083.423482184455</v>
      </c>
      <c r="G38" s="55">
        <f t="shared" si="5"/>
        <v>2040</v>
      </c>
      <c r="H38" s="56">
        <f t="shared" si="6"/>
        <v>8438.380064113866</v>
      </c>
      <c r="I38" s="56">
        <f t="shared" si="11"/>
        <v>-2093.8638989504161</v>
      </c>
      <c r="J38" s="57">
        <f t="shared" si="7"/>
        <v>0.78599096068381913</v>
      </c>
      <c r="K38" s="55">
        <f t="shared" si="8"/>
        <v>6632.4904532080445</v>
      </c>
      <c r="L38" s="55">
        <f t="shared" si="12"/>
        <v>-8937.4908625753487</v>
      </c>
      <c r="M38" s="58">
        <f t="shared" si="9"/>
        <v>1</v>
      </c>
      <c r="N38" s="58">
        <f t="shared" si="10"/>
        <v>37.95957055488001</v>
      </c>
    </row>
    <row r="39" spans="1:14" ht="14.25" customHeight="1" x14ac:dyDescent="0.35">
      <c r="A39" s="25">
        <v>8</v>
      </c>
      <c r="B39" s="59">
        <f t="shared" si="0"/>
        <v>31769.294117647056</v>
      </c>
      <c r="C39" s="59">
        <f t="shared" si="1"/>
        <v>26495.591294117643</v>
      </c>
      <c r="D39" s="59">
        <f t="shared" si="2"/>
        <v>5273.7028235294129</v>
      </c>
      <c r="E39" s="60">
        <f t="shared" si="3"/>
        <v>393.94560091764708</v>
      </c>
      <c r="F39" s="60">
        <f t="shared" si="4"/>
        <v>10459.917178072161</v>
      </c>
      <c r="G39" s="60">
        <f t="shared" si="5"/>
        <v>2040</v>
      </c>
      <c r="H39" s="61">
        <f t="shared" si="6"/>
        <v>8813.8627789898073</v>
      </c>
      <c r="I39" s="61">
        <f t="shared" si="11"/>
        <v>6719.9988800393912</v>
      </c>
      <c r="J39" s="62">
        <f t="shared" si="7"/>
        <v>0.75941155621625056</v>
      </c>
      <c r="K39" s="60">
        <f t="shared" si="8"/>
        <v>6693.3492492691366</v>
      </c>
      <c r="L39" s="60">
        <f t="shared" si="12"/>
        <v>-2244.1416133062121</v>
      </c>
      <c r="M39" s="63">
        <f t="shared" si="9"/>
        <v>1</v>
      </c>
      <c r="N39" s="63">
        <f t="shared" si="10"/>
        <v>39.47795337707521</v>
      </c>
    </row>
    <row r="40" spans="1:14" ht="14.25" customHeight="1" x14ac:dyDescent="0.35">
      <c r="A40" s="29">
        <v>9</v>
      </c>
      <c r="B40" s="54">
        <f t="shared" si="0"/>
        <v>31687.764705882353</v>
      </c>
      <c r="C40" s="54">
        <f t="shared" si="1"/>
        <v>26427.595764705882</v>
      </c>
      <c r="D40" s="54">
        <f t="shared" si="2"/>
        <v>5260.1689411764719</v>
      </c>
      <c r="E40" s="55">
        <f t="shared" si="3"/>
        <v>392.93461990588241</v>
      </c>
      <c r="F40" s="55">
        <f t="shared" si="4"/>
        <v>10850.396892059392</v>
      </c>
      <c r="G40" s="55">
        <f t="shared" si="5"/>
        <v>2040</v>
      </c>
      <c r="H40" s="56">
        <f t="shared" si="6"/>
        <v>9203.3315119652743</v>
      </c>
      <c r="I40" s="56">
        <f t="shared" si="11"/>
        <v>15923.330392004666</v>
      </c>
      <c r="J40" s="57">
        <f t="shared" si="7"/>
        <v>0.73373097218961414</v>
      </c>
      <c r="K40" s="55">
        <f t="shared" si="8"/>
        <v>6752.7693776575925</v>
      </c>
      <c r="L40" s="55">
        <f t="shared" si="12"/>
        <v>4508.6277643513804</v>
      </c>
      <c r="M40" s="58">
        <f t="shared" si="9"/>
        <v>1</v>
      </c>
      <c r="N40" s="58">
        <f t="shared" si="10"/>
        <v>41.057071512158224</v>
      </c>
    </row>
    <row r="41" spans="1:14" ht="14.25" customHeight="1" x14ac:dyDescent="0.35">
      <c r="A41" s="25">
        <v>10</v>
      </c>
      <c r="B41" s="59">
        <f t="shared" si="0"/>
        <v>31606.235294117647</v>
      </c>
      <c r="C41" s="59">
        <f t="shared" si="1"/>
        <v>26359.600235294118</v>
      </c>
      <c r="D41" s="59">
        <f t="shared" si="2"/>
        <v>5246.6350588235309</v>
      </c>
      <c r="E41" s="60">
        <f t="shared" si="3"/>
        <v>391.92363889411774</v>
      </c>
      <c r="F41" s="60">
        <f t="shared" si="4"/>
        <v>11255.379115680684</v>
      </c>
      <c r="G41" s="60">
        <f t="shared" si="5"/>
        <v>2040</v>
      </c>
      <c r="H41" s="61">
        <f t="shared" si="6"/>
        <v>9607.3027545748009</v>
      </c>
      <c r="I41" s="61">
        <f t="shared" si="11"/>
        <v>25530.633146579465</v>
      </c>
      <c r="J41" s="62">
        <f t="shared" si="7"/>
        <v>0.70891881370977217</v>
      </c>
      <c r="K41" s="60">
        <f t="shared" si="8"/>
        <v>6810.7976717237943</v>
      </c>
      <c r="L41" s="60">
        <f t="shared" si="12"/>
        <v>11319.425436075175</v>
      </c>
      <c r="M41" s="63">
        <f t="shared" si="9"/>
        <v>1</v>
      </c>
      <c r="N41" s="63">
        <f t="shared" si="10"/>
        <v>42.699354372644557</v>
      </c>
    </row>
    <row r="42" spans="1:14" ht="14.25" customHeight="1" x14ac:dyDescent="0.35">
      <c r="A42" s="29">
        <v>11</v>
      </c>
      <c r="B42" s="54">
        <f t="shared" si="0"/>
        <v>31524.705882352941</v>
      </c>
      <c r="C42" s="54">
        <f t="shared" si="1"/>
        <v>26291.60470588235</v>
      </c>
      <c r="D42" s="54">
        <f t="shared" si="2"/>
        <v>5233.1011764705891</v>
      </c>
      <c r="E42" s="55">
        <f t="shared" si="3"/>
        <v>390.91265788235302</v>
      </c>
      <c r="F42" s="55">
        <f t="shared" si="4"/>
        <v>11675.399282164381</v>
      </c>
      <c r="G42" s="55">
        <f t="shared" si="5"/>
        <v>2040</v>
      </c>
      <c r="H42" s="56">
        <f t="shared" si="6"/>
        <v>10026.311940046733</v>
      </c>
      <c r="I42" s="56">
        <f t="shared" si="11"/>
        <v>35556.945086626198</v>
      </c>
      <c r="J42" s="57">
        <f t="shared" si="7"/>
        <v>0.68494571372924851</v>
      </c>
      <c r="K42" s="55">
        <f t="shared" si="8"/>
        <v>6867.4793878473956</v>
      </c>
      <c r="L42" s="55">
        <f t="shared" si="12"/>
        <v>18186.90482392257</v>
      </c>
      <c r="M42" s="58">
        <f t="shared" si="9"/>
        <v>1</v>
      </c>
      <c r="N42" s="58">
        <f t="shared" si="10"/>
        <v>44.407328547550335</v>
      </c>
    </row>
    <row r="43" spans="1:14" ht="14.25" customHeight="1" x14ac:dyDescent="0.35">
      <c r="A43" s="25">
        <v>12</v>
      </c>
      <c r="B43" s="59">
        <f t="shared" si="0"/>
        <v>31443.176470588234</v>
      </c>
      <c r="C43" s="59">
        <f t="shared" si="1"/>
        <v>26223.609176470585</v>
      </c>
      <c r="D43" s="59">
        <f t="shared" si="2"/>
        <v>5219.5672941176481</v>
      </c>
      <c r="E43" s="60">
        <f t="shared" si="3"/>
        <v>389.90167687058829</v>
      </c>
      <c r="F43" s="60">
        <f t="shared" si="4"/>
        <v>12111.012455381684</v>
      </c>
      <c r="G43" s="60">
        <f t="shared" si="5"/>
        <v>2040</v>
      </c>
      <c r="H43" s="61">
        <f t="shared" si="6"/>
        <v>10460.914132252272</v>
      </c>
      <c r="I43" s="61">
        <f t="shared" si="11"/>
        <v>46017.859218878468</v>
      </c>
      <c r="J43" s="62">
        <f t="shared" si="7"/>
        <v>0.66178329828912896</v>
      </c>
      <c r="K43" s="60">
        <f t="shared" si="8"/>
        <v>6922.85825756127</v>
      </c>
      <c r="L43" s="60">
        <f t="shared" si="12"/>
        <v>25109.763081483841</v>
      </c>
      <c r="M43" s="63">
        <f t="shared" si="9"/>
        <v>1</v>
      </c>
      <c r="N43" s="63">
        <f t="shared" si="10"/>
        <v>46.183621689452345</v>
      </c>
    </row>
    <row r="44" spans="1:14" ht="14.25" customHeight="1" x14ac:dyDescent="0.35">
      <c r="A44" s="29">
        <v>13</v>
      </c>
      <c r="B44" s="54">
        <f t="shared" si="0"/>
        <v>31361.647058823528</v>
      </c>
      <c r="C44" s="54">
        <f t="shared" si="1"/>
        <v>26155.613647058821</v>
      </c>
      <c r="D44" s="54">
        <f t="shared" si="2"/>
        <v>5206.0334117647071</v>
      </c>
      <c r="E44" s="55">
        <f t="shared" si="3"/>
        <v>388.89069585882362</v>
      </c>
      <c r="F44" s="55">
        <f t="shared" si="4"/>
        <v>12562.794043604916</v>
      </c>
      <c r="G44" s="55">
        <f t="shared" si="5"/>
        <v>2040</v>
      </c>
      <c r="H44" s="56">
        <f t="shared" si="6"/>
        <v>10911.684739463739</v>
      </c>
      <c r="I44" s="56">
        <f t="shared" si="11"/>
        <v>56929.543958342205</v>
      </c>
      <c r="J44" s="57">
        <f t="shared" si="7"/>
        <v>0.63940415293635666</v>
      </c>
      <c r="K44" s="55">
        <f t="shared" si="8"/>
        <v>6976.976537945382</v>
      </c>
      <c r="L44" s="55">
        <f t="shared" si="12"/>
        <v>32086.739619429223</v>
      </c>
      <c r="M44" s="58">
        <f t="shared" si="9"/>
        <v>1</v>
      </c>
      <c r="N44" s="58">
        <f t="shared" si="10"/>
        <v>48.030966557030453</v>
      </c>
    </row>
    <row r="45" spans="1:14" ht="14.25" customHeight="1" x14ac:dyDescent="0.35">
      <c r="A45" s="25">
        <v>14</v>
      </c>
      <c r="B45" s="59">
        <f t="shared" si="0"/>
        <v>31280.117647058825</v>
      </c>
      <c r="C45" s="59">
        <f t="shared" si="1"/>
        <v>26087.61811764706</v>
      </c>
      <c r="D45" s="59">
        <f t="shared" si="2"/>
        <v>5192.4995294117662</v>
      </c>
      <c r="E45" s="60">
        <f t="shared" si="3"/>
        <v>387.87971484705895</v>
      </c>
      <c r="F45" s="60">
        <f t="shared" si="4"/>
        <v>13031.340538957391</v>
      </c>
      <c r="G45" s="60">
        <f t="shared" si="5"/>
        <v>2040</v>
      </c>
      <c r="H45" s="61">
        <f t="shared" si="6"/>
        <v>11379.220253804449</v>
      </c>
      <c r="I45" s="61">
        <f t="shared" si="11"/>
        <v>68308.764212146649</v>
      </c>
      <c r="J45" s="62">
        <f t="shared" si="7"/>
        <v>0.61778179027667302</v>
      </c>
      <c r="K45" s="60">
        <f t="shared" si="8"/>
        <v>7029.8750603478902</v>
      </c>
      <c r="L45" s="60">
        <f t="shared" si="12"/>
        <v>39116.614679777114</v>
      </c>
      <c r="M45" s="63">
        <f t="shared" si="9"/>
        <v>1</v>
      </c>
      <c r="N45" s="63">
        <f t="shared" si="10"/>
        <v>49.952205219311672</v>
      </c>
    </row>
    <row r="46" spans="1:14" ht="14.25" customHeight="1" x14ac:dyDescent="0.35">
      <c r="A46" s="29">
        <v>15</v>
      </c>
      <c r="B46" s="54">
        <f t="shared" si="0"/>
        <v>31198.588235294119</v>
      </c>
      <c r="C46" s="54">
        <f t="shared" si="1"/>
        <v>26019.622588235296</v>
      </c>
      <c r="D46" s="54">
        <f t="shared" si="2"/>
        <v>5178.9656470588252</v>
      </c>
      <c r="E46" s="55">
        <f t="shared" si="3"/>
        <v>386.86873383529428</v>
      </c>
      <c r="F46" s="55">
        <f t="shared" si="4"/>
        <v>13517.270283468295</v>
      </c>
      <c r="G46" s="55">
        <f t="shared" si="5"/>
        <v>2040</v>
      </c>
      <c r="H46" s="56">
        <f t="shared" si="6"/>
        <v>11864.139017303589</v>
      </c>
      <c r="I46" s="56">
        <f t="shared" si="11"/>
        <v>80172.903229450239</v>
      </c>
      <c r="J46" s="57">
        <f t="shared" si="7"/>
        <v>0.59689061862480497</v>
      </c>
      <c r="K46" s="55">
        <f t="shared" si="8"/>
        <v>7081.5932774890252</v>
      </c>
      <c r="L46" s="55">
        <f t="shared" si="12"/>
        <v>46198.207957266139</v>
      </c>
      <c r="M46" s="58">
        <f t="shared" si="9"/>
        <v>1</v>
      </c>
      <c r="N46" s="58">
        <f t="shared" si="10"/>
        <v>51.950293428084137</v>
      </c>
    </row>
    <row r="47" spans="1:14" ht="14.25" customHeight="1" x14ac:dyDescent="0.35">
      <c r="A47" s="25">
        <v>16</v>
      </c>
      <c r="B47" s="59">
        <f t="shared" si="0"/>
        <v>31117.058823529413</v>
      </c>
      <c r="C47" s="59">
        <f t="shared" si="1"/>
        <v>25951.627058823527</v>
      </c>
      <c r="D47" s="59">
        <f t="shared" si="2"/>
        <v>5165.4317647058833</v>
      </c>
      <c r="E47" s="60">
        <f t="shared" si="3"/>
        <v>385.85775282352944</v>
      </c>
      <c r="F47" s="60">
        <f t="shared" si="4"/>
        <v>14021.224262677739</v>
      </c>
      <c r="G47" s="60">
        <f t="shared" si="5"/>
        <v>2040</v>
      </c>
      <c r="H47" s="61">
        <f t="shared" si="6"/>
        <v>12367.082015501268</v>
      </c>
      <c r="I47" s="61">
        <f t="shared" si="11"/>
        <v>92539.985244951502</v>
      </c>
      <c r="J47" s="62">
        <f t="shared" si="7"/>
        <v>0.57670591171478747</v>
      </c>
      <c r="K47" s="60">
        <f t="shared" si="8"/>
        <v>7132.1693090012104</v>
      </c>
      <c r="L47" s="60">
        <f t="shared" si="12"/>
        <v>53330.377266267351</v>
      </c>
      <c r="M47" s="63">
        <f t="shared" si="9"/>
        <v>1</v>
      </c>
      <c r="N47" s="63">
        <f t="shared" si="10"/>
        <v>54.028305165207499</v>
      </c>
    </row>
    <row r="48" spans="1:14" ht="14.25" customHeight="1" x14ac:dyDescent="0.35">
      <c r="A48" s="29">
        <v>17</v>
      </c>
      <c r="B48" s="54">
        <f t="shared" si="0"/>
        <v>31035.529411764706</v>
      </c>
      <c r="C48" s="54">
        <f t="shared" si="1"/>
        <v>25883.631529411763</v>
      </c>
      <c r="D48" s="54">
        <f t="shared" si="2"/>
        <v>5151.8978823529424</v>
      </c>
      <c r="E48" s="55">
        <f t="shared" si="3"/>
        <v>384.84677181176477</v>
      </c>
      <c r="F48" s="55">
        <f t="shared" si="4"/>
        <v>14543.866927770396</v>
      </c>
      <c r="G48" s="55">
        <f t="shared" si="5"/>
        <v>2040</v>
      </c>
      <c r="H48" s="56">
        <f t="shared" si="6"/>
        <v>12888.71369958216</v>
      </c>
      <c r="I48" s="56">
        <f t="shared" si="11"/>
        <v>105428.69894453367</v>
      </c>
      <c r="J48" s="57">
        <f t="shared" si="7"/>
        <v>0.55720377943457733</v>
      </c>
      <c r="K48" s="55">
        <f t="shared" si="8"/>
        <v>7181.6399854573929</v>
      </c>
      <c r="L48" s="55">
        <f t="shared" si="12"/>
        <v>60512.017251724741</v>
      </c>
      <c r="M48" s="58">
        <f t="shared" si="9"/>
        <v>1</v>
      </c>
      <c r="N48" s="58">
        <f t="shared" si="10"/>
        <v>56.189437371815814</v>
      </c>
    </row>
    <row r="49" spans="1:14" ht="14.25" customHeight="1" x14ac:dyDescent="0.35">
      <c r="A49" s="25">
        <v>18</v>
      </c>
      <c r="B49" s="59">
        <f t="shared" si="0"/>
        <v>30954</v>
      </c>
      <c r="C49" s="59">
        <f t="shared" si="1"/>
        <v>25815.635999999999</v>
      </c>
      <c r="D49" s="59">
        <f t="shared" si="2"/>
        <v>5138.3640000000014</v>
      </c>
      <c r="E49" s="60">
        <f t="shared" si="3"/>
        <v>383.8357908000001</v>
      </c>
      <c r="F49" s="60">
        <f t="shared" si="4"/>
        <v>15085.887047250173</v>
      </c>
      <c r="G49" s="60">
        <f t="shared" si="5"/>
        <v>2040</v>
      </c>
      <c r="H49" s="61">
        <f t="shared" si="6"/>
        <v>13429.722838050173</v>
      </c>
      <c r="I49" s="61">
        <f t="shared" si="11"/>
        <v>118858.42178258384</v>
      </c>
      <c r="J49" s="62">
        <f t="shared" si="7"/>
        <v>0.53836113955031628</v>
      </c>
      <c r="K49" s="60">
        <f t="shared" si="8"/>
        <v>7230.0408909375983</v>
      </c>
      <c r="L49" s="60">
        <f t="shared" si="12"/>
        <v>67742.058142662339</v>
      </c>
      <c r="M49" s="63">
        <f t="shared" si="9"/>
        <v>1</v>
      </c>
      <c r="N49" s="63">
        <f t="shared" si="10"/>
        <v>58.437014866688443</v>
      </c>
    </row>
    <row r="50" spans="1:14" ht="14.25" customHeight="1" x14ac:dyDescent="0.35">
      <c r="A50" s="29">
        <v>19</v>
      </c>
      <c r="B50" s="54">
        <f t="shared" si="0"/>
        <v>30872.470588235294</v>
      </c>
      <c r="C50" s="54">
        <f t="shared" si="1"/>
        <v>25747.640470588234</v>
      </c>
      <c r="D50" s="54">
        <f t="shared" si="2"/>
        <v>5124.8301176470595</v>
      </c>
      <c r="E50" s="55">
        <f t="shared" si="3"/>
        <v>382.82480978823537</v>
      </c>
      <c r="F50" s="55">
        <f t="shared" si="4"/>
        <v>15647.998589203904</v>
      </c>
      <c r="G50" s="55">
        <f t="shared" si="5"/>
        <v>2040</v>
      </c>
      <c r="H50" s="56">
        <f t="shared" si="6"/>
        <v>13990.823398992139</v>
      </c>
      <c r="I50" s="56">
        <f t="shared" si="11"/>
        <v>132849.24518157597</v>
      </c>
      <c r="J50" s="57">
        <f t="shared" si="7"/>
        <v>0.52015569038677911</v>
      </c>
      <c r="K50" s="55">
        <f t="shared" si="8"/>
        <v>7277.4064041822594</v>
      </c>
      <c r="L50" s="55">
        <f t="shared" si="12"/>
        <v>75019.464546844596</v>
      </c>
      <c r="M50" s="58">
        <f t="shared" si="9"/>
        <v>1</v>
      </c>
      <c r="N50" s="58">
        <f t="shared" si="10"/>
        <v>60.77449546135599</v>
      </c>
    </row>
    <row r="51" spans="1:14" ht="14.25" customHeight="1" x14ac:dyDescent="0.35">
      <c r="A51" s="25">
        <v>20</v>
      </c>
      <c r="B51" s="59">
        <f t="shared" si="0"/>
        <v>30790.941176470587</v>
      </c>
      <c r="C51" s="59">
        <f t="shared" si="1"/>
        <v>25679.64494117647</v>
      </c>
      <c r="D51" s="59">
        <f t="shared" si="2"/>
        <v>5111.2962352941186</v>
      </c>
      <c r="E51" s="60">
        <f t="shared" si="3"/>
        <v>381.81382877647064</v>
      </c>
      <c r="F51" s="60">
        <f t="shared" si="4"/>
        <v>16230.941635238332</v>
      </c>
      <c r="G51" s="60">
        <f t="shared" si="5"/>
        <v>2040</v>
      </c>
      <c r="H51" s="61">
        <f t="shared" si="6"/>
        <v>14572.755464014805</v>
      </c>
      <c r="I51" s="61">
        <f t="shared" si="11"/>
        <v>147422.00064559077</v>
      </c>
      <c r="J51" s="62">
        <f t="shared" si="7"/>
        <v>0.50256588443167061</v>
      </c>
      <c r="K51" s="60">
        <f t="shared" si="8"/>
        <v>7323.769738379061</v>
      </c>
      <c r="L51" s="60">
        <f t="shared" si="12"/>
        <v>82343.234285223662</v>
      </c>
      <c r="M51" s="63">
        <f t="shared" si="9"/>
        <v>1</v>
      </c>
      <c r="N51" s="63">
        <f t="shared" si="10"/>
        <v>63.20547527981023</v>
      </c>
    </row>
    <row r="52" spans="1:14" ht="14.25" customHeight="1" x14ac:dyDescent="0.35">
      <c r="A52" s="29">
        <v>21</v>
      </c>
      <c r="B52" s="54">
        <f t="shared" si="0"/>
        <v>25602.499999999964</v>
      </c>
      <c r="C52" s="54">
        <f t="shared" si="1"/>
        <v>21352.484999999968</v>
      </c>
      <c r="D52" s="54">
        <f t="shared" si="2"/>
        <v>4250.0149999999949</v>
      </c>
      <c r="E52" s="55">
        <f t="shared" si="3"/>
        <v>317.47612049999958</v>
      </c>
      <c r="F52" s="55">
        <f t="shared" si="4"/>
        <v>14035.777213432171</v>
      </c>
      <c r="G52" s="55">
        <f t="shared" si="5"/>
        <v>1699.9999999999975</v>
      </c>
      <c r="H52" s="56">
        <f t="shared" si="6"/>
        <v>12653.253333932173</v>
      </c>
      <c r="I52" s="56">
        <f t="shared" si="11"/>
        <v>160075.25397952294</v>
      </c>
      <c r="J52" s="57">
        <f t="shared" si="7"/>
        <v>0.48557090283253213</v>
      </c>
      <c r="K52" s="55">
        <f t="shared" si="8"/>
        <v>6144.0516451261919</v>
      </c>
      <c r="L52" s="55">
        <f t="shared" si="12"/>
        <v>88487.285930349855</v>
      </c>
      <c r="M52" s="58">
        <f t="shared" si="9"/>
        <v>0.83333333333333215</v>
      </c>
      <c r="N52" s="58">
        <f t="shared" si="10"/>
        <v>65.733694291002635</v>
      </c>
    </row>
    <row r="53" spans="1:14" ht="15" customHeight="1" x14ac:dyDescent="0.35">
      <c r="A53" s="37" t="s">
        <v>558</v>
      </c>
      <c r="B53" s="64">
        <f t="shared" ref="B53:H53" si="13">SUM(B31:B52)</f>
        <v>656911.9117647059</v>
      </c>
      <c r="C53" s="64">
        <f t="shared" si="13"/>
        <v>547864.53441176482</v>
      </c>
      <c r="D53" s="64">
        <f t="shared" si="13"/>
        <v>109047.3773529412</v>
      </c>
      <c r="E53" s="65">
        <f t="shared" si="13"/>
        <v>8145.8390882647036</v>
      </c>
      <c r="F53" s="65">
        <f t="shared" si="13"/>
        <v>248429.41489125829</v>
      </c>
      <c r="G53" s="65">
        <f t="shared" si="13"/>
        <v>42500</v>
      </c>
      <c r="H53" s="65">
        <f t="shared" si="13"/>
        <v>160075.25397952294</v>
      </c>
      <c r="I53" s="65">
        <f>$I52</f>
        <v>160075.25397952294</v>
      </c>
      <c r="J53" s="66"/>
      <c r="K53" s="65">
        <f>SUM(K31:K52)</f>
        <v>88487.285930349855</v>
      </c>
      <c r="L53" s="65">
        <f>$L52</f>
        <v>88487.285930349855</v>
      </c>
      <c r="M53" s="67">
        <f>SUM(M31:M52)</f>
        <v>20.833333333333332</v>
      </c>
      <c r="N53" s="67">
        <f>IF($M53=0,0,SUMPRODUCT($N31:$N52,$M31:$M52)/$M53)</f>
        <v>45.509780920843227</v>
      </c>
    </row>
    <row r="54" spans="1:14" ht="15" customHeight="1" x14ac:dyDescent="0.35">
      <c r="A54" s="9" t="s">
        <v>559</v>
      </c>
      <c r="B54" s="9"/>
      <c r="C54" s="9"/>
      <c r="D54" s="9"/>
      <c r="E54" s="9"/>
      <c r="F54" s="9"/>
      <c r="G54" s="9"/>
      <c r="H54" s="9"/>
      <c r="I54" s="9"/>
      <c r="J54" s="9"/>
      <c r="K54" s="9"/>
      <c r="L54" s="9"/>
      <c r="M54" s="9"/>
      <c r="N54" s="9"/>
    </row>
    <row r="55" spans="1:14" x14ac:dyDescent="0.35">
      <c r="A55" s="5" t="s">
        <v>560</v>
      </c>
      <c r="B55" s="5"/>
      <c r="C55" s="5"/>
      <c r="D55" s="5"/>
      <c r="E55" s="5"/>
      <c r="F55" s="5"/>
      <c r="G55" s="5"/>
      <c r="H55" s="5"/>
      <c r="I55" s="5"/>
      <c r="J55" s="5"/>
      <c r="K55" s="5"/>
      <c r="L55" s="5"/>
      <c r="M55" s="5"/>
      <c r="N55" s="5"/>
    </row>
    <row r="56" spans="1:14" ht="30" customHeight="1" x14ac:dyDescent="0.35">
      <c r="A56" s="9" t="s">
        <v>543</v>
      </c>
      <c r="B56" s="9"/>
      <c r="C56" s="9"/>
      <c r="D56" s="9"/>
      <c r="E56" s="9"/>
      <c r="F56" s="9"/>
      <c r="G56" s="9"/>
      <c r="H56" s="9"/>
      <c r="I56" s="9"/>
      <c r="J56" s="9"/>
      <c r="K56" s="9"/>
      <c r="L56" s="9"/>
      <c r="M56" s="9"/>
      <c r="N56" s="9"/>
    </row>
    <row r="57" spans="1:14" ht="33" customHeight="1" x14ac:dyDescent="0.35">
      <c r="A57" s="16" t="s">
        <v>544</v>
      </c>
      <c r="B57" s="16" t="s">
        <v>545</v>
      </c>
      <c r="C57" s="16" t="s">
        <v>546</v>
      </c>
      <c r="D57" s="16" t="s">
        <v>547</v>
      </c>
      <c r="E57" s="16" t="s">
        <v>548</v>
      </c>
      <c r="F57" s="16" t="s">
        <v>549</v>
      </c>
      <c r="G57" s="16" t="s">
        <v>550</v>
      </c>
      <c r="H57" s="16" t="s">
        <v>551</v>
      </c>
      <c r="I57" s="16" t="s">
        <v>552</v>
      </c>
      <c r="J57" s="16" t="s">
        <v>553</v>
      </c>
      <c r="K57" s="16" t="s">
        <v>554</v>
      </c>
      <c r="L57" s="16" t="s">
        <v>555</v>
      </c>
      <c r="M57" s="16" t="s">
        <v>556</v>
      </c>
      <c r="N57" s="16" t="s">
        <v>557</v>
      </c>
    </row>
    <row r="58" spans="1:14" ht="14.25" customHeight="1" x14ac:dyDescent="0.35">
      <c r="A58" s="48">
        <v>0</v>
      </c>
      <c r="B58" s="49">
        <f t="shared" ref="B58:B79" si="14">$E$7*$E$8*(1-$E$9*MIN(MAX($A58-1,0),$E$15-1)/MAX($E$15-1,1))*$M58</f>
        <v>0</v>
      </c>
      <c r="C58" s="49">
        <f t="shared" ref="C58:C79" si="15">$B58*F$20</f>
        <v>0</v>
      </c>
      <c r="D58" s="49">
        <f t="shared" ref="D58:D79" si="16">$B58*F$21</f>
        <v>0</v>
      </c>
      <c r="E58" s="50">
        <f t="shared" ref="E58:E79" si="17">$D58*F$22/100</f>
        <v>0</v>
      </c>
      <c r="F58" s="50">
        <f t="shared" ref="F58:F79" si="18">$C58*$N58/100</f>
        <v>0</v>
      </c>
      <c r="G58" s="50">
        <f t="shared" ref="G58:G79" si="19">$M58*F$23</f>
        <v>0</v>
      </c>
      <c r="H58" s="51">
        <f t="shared" ref="H58:H79" si="20">IF($A58=0,-$E$11,$E58+$F58-$G58)</f>
        <v>-54000</v>
      </c>
      <c r="I58" s="51">
        <f>$H58</f>
        <v>-54000</v>
      </c>
      <c r="J58" s="52">
        <f t="shared" ref="J58:J79" si="21">1/(1+$E$12)^$A58</f>
        <v>1</v>
      </c>
      <c r="K58" s="50">
        <f t="shared" ref="K58:K79" si="22">$H58*$J58</f>
        <v>-54000</v>
      </c>
      <c r="L58" s="50">
        <f>$K58</f>
        <v>-54000</v>
      </c>
      <c r="M58" s="53">
        <f t="shared" ref="M58:M79" si="23">IF($A58=0,0,MIN(1,MAX(0,$E$15-$A58+1)))</f>
        <v>0</v>
      </c>
      <c r="N58" s="53">
        <f t="shared" ref="N58:N79" si="24">IF($A58=0,0,F$24*(1+F$25)^($A58-1))</f>
        <v>0</v>
      </c>
    </row>
    <row r="59" spans="1:14" ht="14.25" customHeight="1" x14ac:dyDescent="0.35">
      <c r="A59" s="29">
        <v>1</v>
      </c>
      <c r="B59" s="54">
        <f t="shared" si="14"/>
        <v>32340</v>
      </c>
      <c r="C59" s="54">
        <f t="shared" si="15"/>
        <v>0</v>
      </c>
      <c r="D59" s="54">
        <f t="shared" si="16"/>
        <v>32340</v>
      </c>
      <c r="E59" s="55">
        <f t="shared" si="17"/>
        <v>3751.44</v>
      </c>
      <c r="F59" s="55">
        <f t="shared" si="18"/>
        <v>0</v>
      </c>
      <c r="G59" s="55">
        <f t="shared" si="19"/>
        <v>1600</v>
      </c>
      <c r="H59" s="56">
        <f t="shared" si="20"/>
        <v>2151.44</v>
      </c>
      <c r="I59" s="56">
        <f t="shared" ref="I59:I79" si="25">$I58+$H59</f>
        <v>-51848.56</v>
      </c>
      <c r="J59" s="57">
        <f t="shared" si="21"/>
        <v>0.96618357487922713</v>
      </c>
      <c r="K59" s="55">
        <f t="shared" si="22"/>
        <v>2078.6859903381646</v>
      </c>
      <c r="L59" s="55">
        <f t="shared" ref="L59:L79" si="26">$L58+$K59</f>
        <v>-51921.314009661837</v>
      </c>
      <c r="M59" s="58">
        <f t="shared" si="23"/>
        <v>1</v>
      </c>
      <c r="N59" s="58">
        <f t="shared" si="24"/>
        <v>30</v>
      </c>
    </row>
    <row r="60" spans="1:14" ht="14.25" customHeight="1" x14ac:dyDescent="0.35">
      <c r="A60" s="25">
        <v>2</v>
      </c>
      <c r="B60" s="59">
        <f t="shared" si="14"/>
        <v>32258.470588235294</v>
      </c>
      <c r="C60" s="59">
        <f t="shared" si="15"/>
        <v>0</v>
      </c>
      <c r="D60" s="59">
        <f t="shared" si="16"/>
        <v>32258.470588235294</v>
      </c>
      <c r="E60" s="60">
        <f t="shared" si="17"/>
        <v>3741.9825882352943</v>
      </c>
      <c r="F60" s="60">
        <f t="shared" si="18"/>
        <v>0</v>
      </c>
      <c r="G60" s="60">
        <f t="shared" si="19"/>
        <v>1600</v>
      </c>
      <c r="H60" s="61">
        <f t="shared" si="20"/>
        <v>2141.9825882352943</v>
      </c>
      <c r="I60" s="61">
        <f t="shared" si="25"/>
        <v>-49706.577411764702</v>
      </c>
      <c r="J60" s="62">
        <f t="shared" si="21"/>
        <v>0.93351070036640305</v>
      </c>
      <c r="K60" s="60">
        <f t="shared" si="22"/>
        <v>1999.5636661161702</v>
      </c>
      <c r="L60" s="60">
        <f t="shared" si="26"/>
        <v>-49921.750343545667</v>
      </c>
      <c r="M60" s="63">
        <f t="shared" si="23"/>
        <v>1</v>
      </c>
      <c r="N60" s="63">
        <f t="shared" si="24"/>
        <v>31.200000000000003</v>
      </c>
    </row>
    <row r="61" spans="1:14" ht="14.25" customHeight="1" x14ac:dyDescent="0.35">
      <c r="A61" s="29">
        <v>3</v>
      </c>
      <c r="B61" s="54">
        <f t="shared" si="14"/>
        <v>32176.941176470587</v>
      </c>
      <c r="C61" s="54">
        <f t="shared" si="15"/>
        <v>0</v>
      </c>
      <c r="D61" s="54">
        <f t="shared" si="16"/>
        <v>32176.941176470587</v>
      </c>
      <c r="E61" s="55">
        <f t="shared" si="17"/>
        <v>3732.5251764705881</v>
      </c>
      <c r="F61" s="55">
        <f t="shared" si="18"/>
        <v>0</v>
      </c>
      <c r="G61" s="55">
        <f t="shared" si="19"/>
        <v>1600</v>
      </c>
      <c r="H61" s="56">
        <f t="shared" si="20"/>
        <v>2132.5251764705881</v>
      </c>
      <c r="I61" s="56">
        <f t="shared" si="25"/>
        <v>-47574.052235294112</v>
      </c>
      <c r="J61" s="57">
        <f t="shared" si="21"/>
        <v>0.90194270566802237</v>
      </c>
      <c r="K61" s="55">
        <f t="shared" si="22"/>
        <v>1923.4155275710591</v>
      </c>
      <c r="L61" s="55">
        <f t="shared" si="26"/>
        <v>-47998.334815974609</v>
      </c>
      <c r="M61" s="58">
        <f t="shared" si="23"/>
        <v>1</v>
      </c>
      <c r="N61" s="58">
        <f t="shared" si="24"/>
        <v>32.448</v>
      </c>
    </row>
    <row r="62" spans="1:14" ht="14.25" customHeight="1" x14ac:dyDescent="0.35">
      <c r="A62" s="25">
        <v>4</v>
      </c>
      <c r="B62" s="59">
        <f t="shared" si="14"/>
        <v>32095.411764705885</v>
      </c>
      <c r="C62" s="59">
        <f t="shared" si="15"/>
        <v>0</v>
      </c>
      <c r="D62" s="59">
        <f t="shared" si="16"/>
        <v>32095.411764705885</v>
      </c>
      <c r="E62" s="60">
        <f t="shared" si="17"/>
        <v>3723.0677647058824</v>
      </c>
      <c r="F62" s="60">
        <f t="shared" si="18"/>
        <v>0</v>
      </c>
      <c r="G62" s="60">
        <f t="shared" si="19"/>
        <v>1600</v>
      </c>
      <c r="H62" s="61">
        <f t="shared" si="20"/>
        <v>2123.0677647058824</v>
      </c>
      <c r="I62" s="61">
        <f t="shared" si="25"/>
        <v>-45450.984470588228</v>
      </c>
      <c r="J62" s="62">
        <f t="shared" si="21"/>
        <v>0.87144222769857238</v>
      </c>
      <c r="K62" s="60">
        <f t="shared" si="22"/>
        <v>1850.1309024303227</v>
      </c>
      <c r="L62" s="60">
        <f t="shared" si="26"/>
        <v>-46148.20391354429</v>
      </c>
      <c r="M62" s="63">
        <f t="shared" si="23"/>
        <v>1</v>
      </c>
      <c r="N62" s="63">
        <f t="shared" si="24"/>
        <v>33.745920000000005</v>
      </c>
    </row>
    <row r="63" spans="1:14" ht="14.25" customHeight="1" x14ac:dyDescent="0.35">
      <c r="A63" s="29">
        <v>5</v>
      </c>
      <c r="B63" s="54">
        <f t="shared" si="14"/>
        <v>32013.882352941178</v>
      </c>
      <c r="C63" s="54">
        <f t="shared" si="15"/>
        <v>0</v>
      </c>
      <c r="D63" s="54">
        <f t="shared" si="16"/>
        <v>32013.882352941178</v>
      </c>
      <c r="E63" s="55">
        <f t="shared" si="17"/>
        <v>3713.6103529411762</v>
      </c>
      <c r="F63" s="55">
        <f t="shared" si="18"/>
        <v>0</v>
      </c>
      <c r="G63" s="55">
        <f t="shared" si="19"/>
        <v>1600</v>
      </c>
      <c r="H63" s="56">
        <f t="shared" si="20"/>
        <v>2113.6103529411762</v>
      </c>
      <c r="I63" s="56">
        <f t="shared" si="25"/>
        <v>-43337.37411764705</v>
      </c>
      <c r="J63" s="57">
        <f t="shared" si="21"/>
        <v>0.84197316685852419</v>
      </c>
      <c r="K63" s="55">
        <f t="shared" si="22"/>
        <v>1779.6032023708451</v>
      </c>
      <c r="L63" s="55">
        <f t="shared" si="26"/>
        <v>-44368.600711173443</v>
      </c>
      <c r="M63" s="58">
        <f t="shared" si="23"/>
        <v>1</v>
      </c>
      <c r="N63" s="58">
        <f t="shared" si="24"/>
        <v>35.095756800000004</v>
      </c>
    </row>
    <row r="64" spans="1:14" ht="14.25" customHeight="1" x14ac:dyDescent="0.35">
      <c r="A64" s="25">
        <v>6</v>
      </c>
      <c r="B64" s="59">
        <f t="shared" si="14"/>
        <v>31932.352941176472</v>
      </c>
      <c r="C64" s="59">
        <f t="shared" si="15"/>
        <v>0</v>
      </c>
      <c r="D64" s="59">
        <f t="shared" si="16"/>
        <v>31932.352941176472</v>
      </c>
      <c r="E64" s="60">
        <f t="shared" si="17"/>
        <v>3704.1529411764704</v>
      </c>
      <c r="F64" s="60">
        <f t="shared" si="18"/>
        <v>0</v>
      </c>
      <c r="G64" s="60">
        <f t="shared" si="19"/>
        <v>1600</v>
      </c>
      <c r="H64" s="61">
        <f t="shared" si="20"/>
        <v>2104.1529411764704</v>
      </c>
      <c r="I64" s="61">
        <f t="shared" si="25"/>
        <v>-41233.221176470579</v>
      </c>
      <c r="J64" s="62">
        <f t="shared" si="21"/>
        <v>0.81350064430775282</v>
      </c>
      <c r="K64" s="60">
        <f t="shared" si="22"/>
        <v>1711.7297733691119</v>
      </c>
      <c r="L64" s="60">
        <f t="shared" si="26"/>
        <v>-42656.870937804335</v>
      </c>
      <c r="M64" s="63">
        <f t="shared" si="23"/>
        <v>1</v>
      </c>
      <c r="N64" s="63">
        <f t="shared" si="24"/>
        <v>36.499587072000011</v>
      </c>
    </row>
    <row r="65" spans="1:14" ht="14.25" customHeight="1" x14ac:dyDescent="0.35">
      <c r="A65" s="29">
        <v>7</v>
      </c>
      <c r="B65" s="54">
        <f t="shared" si="14"/>
        <v>31850.823529411762</v>
      </c>
      <c r="C65" s="54">
        <f t="shared" si="15"/>
        <v>0</v>
      </c>
      <c r="D65" s="54">
        <f t="shared" si="16"/>
        <v>31850.823529411762</v>
      </c>
      <c r="E65" s="55">
        <f t="shared" si="17"/>
        <v>3694.6955294117647</v>
      </c>
      <c r="F65" s="55">
        <f t="shared" si="18"/>
        <v>0</v>
      </c>
      <c r="G65" s="55">
        <f t="shared" si="19"/>
        <v>1600</v>
      </c>
      <c r="H65" s="56">
        <f t="shared" si="20"/>
        <v>2094.6955294117647</v>
      </c>
      <c r="I65" s="56">
        <f t="shared" si="25"/>
        <v>-39138.525647058814</v>
      </c>
      <c r="J65" s="57">
        <f t="shared" si="21"/>
        <v>0.78599096068381913</v>
      </c>
      <c r="K65" s="55">
        <f t="shared" si="22"/>
        <v>1646.4117515024541</v>
      </c>
      <c r="L65" s="55">
        <f t="shared" si="26"/>
        <v>-41010.45918630188</v>
      </c>
      <c r="M65" s="58">
        <f t="shared" si="23"/>
        <v>1</v>
      </c>
      <c r="N65" s="58">
        <f t="shared" si="24"/>
        <v>37.95957055488001</v>
      </c>
    </row>
    <row r="66" spans="1:14" ht="14.25" customHeight="1" x14ac:dyDescent="0.35">
      <c r="A66" s="25">
        <v>8</v>
      </c>
      <c r="B66" s="59">
        <f t="shared" si="14"/>
        <v>31769.294117647056</v>
      </c>
      <c r="C66" s="59">
        <f t="shared" si="15"/>
        <v>0</v>
      </c>
      <c r="D66" s="59">
        <f t="shared" si="16"/>
        <v>31769.294117647056</v>
      </c>
      <c r="E66" s="60">
        <f t="shared" si="17"/>
        <v>3685.2381176470581</v>
      </c>
      <c r="F66" s="60">
        <f t="shared" si="18"/>
        <v>0</v>
      </c>
      <c r="G66" s="60">
        <f t="shared" si="19"/>
        <v>1600</v>
      </c>
      <c r="H66" s="61">
        <f t="shared" si="20"/>
        <v>2085.2381176470581</v>
      </c>
      <c r="I66" s="61">
        <f t="shared" si="25"/>
        <v>-37053.287529411755</v>
      </c>
      <c r="J66" s="62">
        <f t="shared" si="21"/>
        <v>0.75941155621625056</v>
      </c>
      <c r="K66" s="60">
        <f t="shared" si="22"/>
        <v>1583.5539240037974</v>
      </c>
      <c r="L66" s="60">
        <f t="shared" si="26"/>
        <v>-39426.905262298082</v>
      </c>
      <c r="M66" s="63">
        <f t="shared" si="23"/>
        <v>1</v>
      </c>
      <c r="N66" s="63">
        <f t="shared" si="24"/>
        <v>39.47795337707521</v>
      </c>
    </row>
    <row r="67" spans="1:14" ht="14.25" customHeight="1" x14ac:dyDescent="0.35">
      <c r="A67" s="29">
        <v>9</v>
      </c>
      <c r="B67" s="54">
        <f t="shared" si="14"/>
        <v>31687.764705882353</v>
      </c>
      <c r="C67" s="54">
        <f t="shared" si="15"/>
        <v>0</v>
      </c>
      <c r="D67" s="54">
        <f t="shared" si="16"/>
        <v>31687.764705882353</v>
      </c>
      <c r="E67" s="55">
        <f t="shared" si="17"/>
        <v>3675.7807058823528</v>
      </c>
      <c r="F67" s="55">
        <f t="shared" si="18"/>
        <v>0</v>
      </c>
      <c r="G67" s="55">
        <f t="shared" si="19"/>
        <v>1600</v>
      </c>
      <c r="H67" s="56">
        <f t="shared" si="20"/>
        <v>2075.7807058823528</v>
      </c>
      <c r="I67" s="56">
        <f t="shared" si="25"/>
        <v>-34977.506823529402</v>
      </c>
      <c r="J67" s="57">
        <f t="shared" si="21"/>
        <v>0.73373097218961414</v>
      </c>
      <c r="K67" s="55">
        <f t="shared" si="22"/>
        <v>1523.0645953795022</v>
      </c>
      <c r="L67" s="55">
        <f t="shared" si="26"/>
        <v>-37903.840666918579</v>
      </c>
      <c r="M67" s="58">
        <f t="shared" si="23"/>
        <v>1</v>
      </c>
      <c r="N67" s="58">
        <f t="shared" si="24"/>
        <v>41.057071512158224</v>
      </c>
    </row>
    <row r="68" spans="1:14" ht="14.25" customHeight="1" x14ac:dyDescent="0.35">
      <c r="A68" s="25">
        <v>10</v>
      </c>
      <c r="B68" s="59">
        <f t="shared" si="14"/>
        <v>31606.235294117647</v>
      </c>
      <c r="C68" s="59">
        <f t="shared" si="15"/>
        <v>0</v>
      </c>
      <c r="D68" s="59">
        <f t="shared" si="16"/>
        <v>31606.235294117647</v>
      </c>
      <c r="E68" s="60">
        <f t="shared" si="17"/>
        <v>3666.323294117647</v>
      </c>
      <c r="F68" s="60">
        <f t="shared" si="18"/>
        <v>0</v>
      </c>
      <c r="G68" s="60">
        <f t="shared" si="19"/>
        <v>1600</v>
      </c>
      <c r="H68" s="61">
        <f t="shared" si="20"/>
        <v>2066.323294117647</v>
      </c>
      <c r="I68" s="61">
        <f t="shared" si="25"/>
        <v>-32911.183529411755</v>
      </c>
      <c r="J68" s="62">
        <f t="shared" si="21"/>
        <v>0.70891881370977217</v>
      </c>
      <c r="K68" s="60">
        <f t="shared" si="22"/>
        <v>1464.855458406751</v>
      </c>
      <c r="L68" s="60">
        <f t="shared" si="26"/>
        <v>-36438.985208511825</v>
      </c>
      <c r="M68" s="63">
        <f t="shared" si="23"/>
        <v>1</v>
      </c>
      <c r="N68" s="63">
        <f t="shared" si="24"/>
        <v>42.699354372644557</v>
      </c>
    </row>
    <row r="69" spans="1:14" ht="14.25" customHeight="1" x14ac:dyDescent="0.35">
      <c r="A69" s="29">
        <v>11</v>
      </c>
      <c r="B69" s="54">
        <f t="shared" si="14"/>
        <v>31524.705882352941</v>
      </c>
      <c r="C69" s="54">
        <f t="shared" si="15"/>
        <v>0</v>
      </c>
      <c r="D69" s="54">
        <f t="shared" si="16"/>
        <v>31524.705882352941</v>
      </c>
      <c r="E69" s="55">
        <f t="shared" si="17"/>
        <v>3656.8658823529408</v>
      </c>
      <c r="F69" s="55">
        <f t="shared" si="18"/>
        <v>0</v>
      </c>
      <c r="G69" s="55">
        <f t="shared" si="19"/>
        <v>1600</v>
      </c>
      <c r="H69" s="56">
        <f t="shared" si="20"/>
        <v>2056.8658823529408</v>
      </c>
      <c r="I69" s="56">
        <f t="shared" si="25"/>
        <v>-30854.317647058815</v>
      </c>
      <c r="J69" s="57">
        <f t="shared" si="21"/>
        <v>0.68494571372924851</v>
      </c>
      <c r="K69" s="55">
        <f t="shared" si="22"/>
        <v>1408.8414698335755</v>
      </c>
      <c r="L69" s="55">
        <f t="shared" si="26"/>
        <v>-35030.143738678249</v>
      </c>
      <c r="M69" s="58">
        <f t="shared" si="23"/>
        <v>1</v>
      </c>
      <c r="N69" s="58">
        <f t="shared" si="24"/>
        <v>44.407328547550335</v>
      </c>
    </row>
    <row r="70" spans="1:14" ht="14.25" customHeight="1" x14ac:dyDescent="0.35">
      <c r="A70" s="25">
        <v>12</v>
      </c>
      <c r="B70" s="59">
        <f t="shared" si="14"/>
        <v>31443.176470588234</v>
      </c>
      <c r="C70" s="59">
        <f t="shared" si="15"/>
        <v>0</v>
      </c>
      <c r="D70" s="59">
        <f t="shared" si="16"/>
        <v>31443.176470588234</v>
      </c>
      <c r="E70" s="60">
        <f t="shared" si="17"/>
        <v>3647.4084705882351</v>
      </c>
      <c r="F70" s="60">
        <f t="shared" si="18"/>
        <v>0</v>
      </c>
      <c r="G70" s="60">
        <f t="shared" si="19"/>
        <v>1600</v>
      </c>
      <c r="H70" s="61">
        <f t="shared" si="20"/>
        <v>2047.4084705882351</v>
      </c>
      <c r="I70" s="61">
        <f t="shared" si="25"/>
        <v>-28806.909176470581</v>
      </c>
      <c r="J70" s="62">
        <f t="shared" si="21"/>
        <v>0.66178329828912896</v>
      </c>
      <c r="K70" s="60">
        <f t="shared" si="22"/>
        <v>1354.9407306109833</v>
      </c>
      <c r="L70" s="60">
        <f t="shared" si="26"/>
        <v>-33675.203008067263</v>
      </c>
      <c r="M70" s="63">
        <f t="shared" si="23"/>
        <v>1</v>
      </c>
      <c r="N70" s="63">
        <f t="shared" si="24"/>
        <v>46.183621689452345</v>
      </c>
    </row>
    <row r="71" spans="1:14" ht="14.25" customHeight="1" x14ac:dyDescent="0.35">
      <c r="A71" s="29">
        <v>13</v>
      </c>
      <c r="B71" s="54">
        <f t="shared" si="14"/>
        <v>31361.647058823528</v>
      </c>
      <c r="C71" s="54">
        <f t="shared" si="15"/>
        <v>0</v>
      </c>
      <c r="D71" s="54">
        <f t="shared" si="16"/>
        <v>31361.647058823528</v>
      </c>
      <c r="E71" s="55">
        <f t="shared" si="17"/>
        <v>3637.9510588235294</v>
      </c>
      <c r="F71" s="55">
        <f t="shared" si="18"/>
        <v>0</v>
      </c>
      <c r="G71" s="55">
        <f t="shared" si="19"/>
        <v>1600</v>
      </c>
      <c r="H71" s="56">
        <f t="shared" si="20"/>
        <v>2037.9510588235294</v>
      </c>
      <c r="I71" s="56">
        <f t="shared" si="25"/>
        <v>-26768.958117647053</v>
      </c>
      <c r="J71" s="57">
        <f t="shared" si="21"/>
        <v>0.63940415293635666</v>
      </c>
      <c r="K71" s="55">
        <f t="shared" si="22"/>
        <v>1303.07437049281</v>
      </c>
      <c r="L71" s="55">
        <f t="shared" si="26"/>
        <v>-32372.128637574453</v>
      </c>
      <c r="M71" s="58">
        <f t="shared" si="23"/>
        <v>1</v>
      </c>
      <c r="N71" s="58">
        <f t="shared" si="24"/>
        <v>48.030966557030453</v>
      </c>
    </row>
    <row r="72" spans="1:14" ht="14.25" customHeight="1" x14ac:dyDescent="0.35">
      <c r="A72" s="25">
        <v>14</v>
      </c>
      <c r="B72" s="59">
        <f t="shared" si="14"/>
        <v>31280.117647058825</v>
      </c>
      <c r="C72" s="59">
        <f t="shared" si="15"/>
        <v>0</v>
      </c>
      <c r="D72" s="59">
        <f t="shared" si="16"/>
        <v>31280.117647058825</v>
      </c>
      <c r="E72" s="60">
        <f t="shared" si="17"/>
        <v>3628.4936470588236</v>
      </c>
      <c r="F72" s="60">
        <f t="shared" si="18"/>
        <v>0</v>
      </c>
      <c r="G72" s="60">
        <f t="shared" si="19"/>
        <v>1600</v>
      </c>
      <c r="H72" s="61">
        <f t="shared" si="20"/>
        <v>2028.4936470588236</v>
      </c>
      <c r="I72" s="61">
        <f t="shared" si="25"/>
        <v>-24740.464470588231</v>
      </c>
      <c r="J72" s="62">
        <f t="shared" si="21"/>
        <v>0.61778179027667302</v>
      </c>
      <c r="K72" s="60">
        <f t="shared" si="22"/>
        <v>1253.1664368448578</v>
      </c>
      <c r="L72" s="60">
        <f t="shared" si="26"/>
        <v>-31118.962200729595</v>
      </c>
      <c r="M72" s="63">
        <f t="shared" si="23"/>
        <v>1</v>
      </c>
      <c r="N72" s="63">
        <f t="shared" si="24"/>
        <v>49.952205219311672</v>
      </c>
    </row>
    <row r="73" spans="1:14" ht="14.25" customHeight="1" x14ac:dyDescent="0.35">
      <c r="A73" s="29">
        <v>15</v>
      </c>
      <c r="B73" s="54">
        <f t="shared" si="14"/>
        <v>31198.588235294119</v>
      </c>
      <c r="C73" s="54">
        <f t="shared" si="15"/>
        <v>0</v>
      </c>
      <c r="D73" s="54">
        <f t="shared" si="16"/>
        <v>31198.588235294119</v>
      </c>
      <c r="E73" s="55">
        <f t="shared" si="17"/>
        <v>3619.0362352941179</v>
      </c>
      <c r="F73" s="55">
        <f t="shared" si="18"/>
        <v>0</v>
      </c>
      <c r="G73" s="55">
        <f t="shared" si="19"/>
        <v>1600</v>
      </c>
      <c r="H73" s="56">
        <f t="shared" si="20"/>
        <v>2019.0362352941179</v>
      </c>
      <c r="I73" s="56">
        <f t="shared" si="25"/>
        <v>-22721.428235294112</v>
      </c>
      <c r="J73" s="57">
        <f t="shared" si="21"/>
        <v>0.59689061862480497</v>
      </c>
      <c r="K73" s="55">
        <f t="shared" si="22"/>
        <v>1205.1437875106033</v>
      </c>
      <c r="L73" s="55">
        <f t="shared" si="26"/>
        <v>-29913.818413218993</v>
      </c>
      <c r="M73" s="58">
        <f t="shared" si="23"/>
        <v>1</v>
      </c>
      <c r="N73" s="58">
        <f t="shared" si="24"/>
        <v>51.950293428084137</v>
      </c>
    </row>
    <row r="74" spans="1:14" ht="14.25" customHeight="1" x14ac:dyDescent="0.35">
      <c r="A74" s="25">
        <v>16</v>
      </c>
      <c r="B74" s="59">
        <f t="shared" si="14"/>
        <v>31117.058823529413</v>
      </c>
      <c r="C74" s="59">
        <f t="shared" si="15"/>
        <v>0</v>
      </c>
      <c r="D74" s="59">
        <f t="shared" si="16"/>
        <v>31117.058823529413</v>
      </c>
      <c r="E74" s="60">
        <f t="shared" si="17"/>
        <v>3609.5788235294121</v>
      </c>
      <c r="F74" s="60">
        <f t="shared" si="18"/>
        <v>0</v>
      </c>
      <c r="G74" s="60">
        <f t="shared" si="19"/>
        <v>1600</v>
      </c>
      <c r="H74" s="61">
        <f t="shared" si="20"/>
        <v>2009.5788235294121</v>
      </c>
      <c r="I74" s="61">
        <f t="shared" si="25"/>
        <v>-20711.849411764699</v>
      </c>
      <c r="J74" s="62">
        <f t="shared" si="21"/>
        <v>0.57670591171478747</v>
      </c>
      <c r="K74" s="60">
        <f t="shared" si="22"/>
        <v>1158.9359875862597</v>
      </c>
      <c r="L74" s="60">
        <f t="shared" si="26"/>
        <v>-28754.882425632732</v>
      </c>
      <c r="M74" s="63">
        <f t="shared" si="23"/>
        <v>1</v>
      </c>
      <c r="N74" s="63">
        <f t="shared" si="24"/>
        <v>54.028305165207499</v>
      </c>
    </row>
    <row r="75" spans="1:14" ht="14.25" customHeight="1" x14ac:dyDescent="0.35">
      <c r="A75" s="29">
        <v>17</v>
      </c>
      <c r="B75" s="54">
        <f t="shared" si="14"/>
        <v>31035.529411764706</v>
      </c>
      <c r="C75" s="54">
        <f t="shared" si="15"/>
        <v>0</v>
      </c>
      <c r="D75" s="54">
        <f t="shared" si="16"/>
        <v>31035.529411764706</v>
      </c>
      <c r="E75" s="55">
        <f t="shared" si="17"/>
        <v>3600.1214117647055</v>
      </c>
      <c r="F75" s="55">
        <f t="shared" si="18"/>
        <v>0</v>
      </c>
      <c r="G75" s="55">
        <f t="shared" si="19"/>
        <v>1600</v>
      </c>
      <c r="H75" s="56">
        <f t="shared" si="20"/>
        <v>2000.1214117647055</v>
      </c>
      <c r="I75" s="56">
        <f t="shared" si="25"/>
        <v>-18711.727999999992</v>
      </c>
      <c r="J75" s="57">
        <f t="shared" si="21"/>
        <v>0.55720377943457733</v>
      </c>
      <c r="K75" s="55">
        <f t="shared" si="22"/>
        <v>1114.4752099633163</v>
      </c>
      <c r="L75" s="55">
        <f t="shared" si="26"/>
        <v>-27640.407215669416</v>
      </c>
      <c r="M75" s="58">
        <f t="shared" si="23"/>
        <v>1</v>
      </c>
      <c r="N75" s="58">
        <f t="shared" si="24"/>
        <v>56.189437371815814</v>
      </c>
    </row>
    <row r="76" spans="1:14" ht="14.25" customHeight="1" x14ac:dyDescent="0.35">
      <c r="A76" s="25">
        <v>18</v>
      </c>
      <c r="B76" s="59">
        <f t="shared" si="14"/>
        <v>30954</v>
      </c>
      <c r="C76" s="59">
        <f t="shared" si="15"/>
        <v>0</v>
      </c>
      <c r="D76" s="59">
        <f t="shared" si="16"/>
        <v>30954</v>
      </c>
      <c r="E76" s="60">
        <f t="shared" si="17"/>
        <v>3590.6639999999998</v>
      </c>
      <c r="F76" s="60">
        <f t="shared" si="18"/>
        <v>0</v>
      </c>
      <c r="G76" s="60">
        <f t="shared" si="19"/>
        <v>1600</v>
      </c>
      <c r="H76" s="61">
        <f t="shared" si="20"/>
        <v>1990.6639999999998</v>
      </c>
      <c r="I76" s="61">
        <f t="shared" si="25"/>
        <v>-16721.063999999991</v>
      </c>
      <c r="J76" s="62">
        <f t="shared" si="21"/>
        <v>0.53836113955031628</v>
      </c>
      <c r="K76" s="60">
        <f t="shared" si="22"/>
        <v>1071.6961395017906</v>
      </c>
      <c r="L76" s="60">
        <f t="shared" si="26"/>
        <v>-26568.711076167627</v>
      </c>
      <c r="M76" s="63">
        <f t="shared" si="23"/>
        <v>1</v>
      </c>
      <c r="N76" s="63">
        <f t="shared" si="24"/>
        <v>58.437014866688443</v>
      </c>
    </row>
    <row r="77" spans="1:14" ht="14.25" customHeight="1" x14ac:dyDescent="0.35">
      <c r="A77" s="29">
        <v>19</v>
      </c>
      <c r="B77" s="54">
        <f t="shared" si="14"/>
        <v>30872.470588235294</v>
      </c>
      <c r="C77" s="54">
        <f t="shared" si="15"/>
        <v>0</v>
      </c>
      <c r="D77" s="54">
        <f t="shared" si="16"/>
        <v>30872.470588235294</v>
      </c>
      <c r="E77" s="55">
        <f t="shared" si="17"/>
        <v>3581.2065882352936</v>
      </c>
      <c r="F77" s="55">
        <f t="shared" si="18"/>
        <v>0</v>
      </c>
      <c r="G77" s="55">
        <f t="shared" si="19"/>
        <v>1600</v>
      </c>
      <c r="H77" s="56">
        <f t="shared" si="20"/>
        <v>1981.2065882352936</v>
      </c>
      <c r="I77" s="56">
        <f t="shared" si="25"/>
        <v>-14739.857411764697</v>
      </c>
      <c r="J77" s="57">
        <f t="shared" si="21"/>
        <v>0.52015569038677911</v>
      </c>
      <c r="K77" s="55">
        <f t="shared" si="22"/>
        <v>1030.5358807023642</v>
      </c>
      <c r="L77" s="55">
        <f t="shared" si="26"/>
        <v>-25538.175195465261</v>
      </c>
      <c r="M77" s="58">
        <f t="shared" si="23"/>
        <v>1</v>
      </c>
      <c r="N77" s="58">
        <f t="shared" si="24"/>
        <v>60.77449546135599</v>
      </c>
    </row>
    <row r="78" spans="1:14" ht="14.25" customHeight="1" x14ac:dyDescent="0.35">
      <c r="A78" s="25">
        <v>20</v>
      </c>
      <c r="B78" s="59">
        <f t="shared" si="14"/>
        <v>30790.941176470587</v>
      </c>
      <c r="C78" s="59">
        <f t="shared" si="15"/>
        <v>0</v>
      </c>
      <c r="D78" s="59">
        <f t="shared" si="16"/>
        <v>30790.941176470587</v>
      </c>
      <c r="E78" s="60">
        <f t="shared" si="17"/>
        <v>3571.7491764705878</v>
      </c>
      <c r="F78" s="60">
        <f t="shared" si="18"/>
        <v>0</v>
      </c>
      <c r="G78" s="60">
        <f t="shared" si="19"/>
        <v>1600</v>
      </c>
      <c r="H78" s="61">
        <f t="shared" si="20"/>
        <v>1971.7491764705878</v>
      </c>
      <c r="I78" s="61">
        <f t="shared" si="25"/>
        <v>-12768.108235294108</v>
      </c>
      <c r="J78" s="62">
        <f t="shared" si="21"/>
        <v>0.50256588443167061</v>
      </c>
      <c r="K78" s="60">
        <f t="shared" si="22"/>
        <v>990.93386875035912</v>
      </c>
      <c r="L78" s="60">
        <f t="shared" si="26"/>
        <v>-24547.241326714902</v>
      </c>
      <c r="M78" s="63">
        <f t="shared" si="23"/>
        <v>1</v>
      </c>
      <c r="N78" s="63">
        <f t="shared" si="24"/>
        <v>63.20547527981023</v>
      </c>
    </row>
    <row r="79" spans="1:14" ht="14.25" customHeight="1" x14ac:dyDescent="0.35">
      <c r="A79" s="29">
        <v>21</v>
      </c>
      <c r="B79" s="54">
        <f t="shared" si="14"/>
        <v>25602.499999999964</v>
      </c>
      <c r="C79" s="54">
        <f t="shared" si="15"/>
        <v>0</v>
      </c>
      <c r="D79" s="54">
        <f t="shared" si="16"/>
        <v>25602.499999999964</v>
      </c>
      <c r="E79" s="55">
        <f t="shared" si="17"/>
        <v>2969.8899999999958</v>
      </c>
      <c r="F79" s="55">
        <f t="shared" si="18"/>
        <v>0</v>
      </c>
      <c r="G79" s="55">
        <f t="shared" si="19"/>
        <v>1333.3333333333314</v>
      </c>
      <c r="H79" s="56">
        <f t="shared" si="20"/>
        <v>1636.5566666666643</v>
      </c>
      <c r="I79" s="56">
        <f t="shared" si="25"/>
        <v>-11131.551568627445</v>
      </c>
      <c r="J79" s="57">
        <f t="shared" si="21"/>
        <v>0.48557090283253213</v>
      </c>
      <c r="K79" s="55">
        <f t="shared" si="22"/>
        <v>794.6642981699315</v>
      </c>
      <c r="L79" s="55">
        <f t="shared" si="26"/>
        <v>-23752.577028544969</v>
      </c>
      <c r="M79" s="58">
        <f t="shared" si="23"/>
        <v>0.83333333333333215</v>
      </c>
      <c r="N79" s="58">
        <f t="shared" si="24"/>
        <v>65.733694291002635</v>
      </c>
    </row>
    <row r="80" spans="1:14" ht="15" customHeight="1" x14ac:dyDescent="0.35">
      <c r="A80" s="37" t="s">
        <v>558</v>
      </c>
      <c r="B80" s="64">
        <f t="shared" ref="B80:H80" si="27">SUM(B58:B79)</f>
        <v>656911.9117647059</v>
      </c>
      <c r="C80" s="64">
        <f t="shared" si="27"/>
        <v>0</v>
      </c>
      <c r="D80" s="64">
        <f t="shared" si="27"/>
        <v>656911.9117647059</v>
      </c>
      <c r="E80" s="65">
        <f t="shared" si="27"/>
        <v>76201.781764705869</v>
      </c>
      <c r="F80" s="65">
        <f t="shared" si="27"/>
        <v>0</v>
      </c>
      <c r="G80" s="65">
        <f t="shared" si="27"/>
        <v>33333.333333333328</v>
      </c>
      <c r="H80" s="65">
        <f t="shared" si="27"/>
        <v>-11131.551568627445</v>
      </c>
      <c r="I80" s="65">
        <f>$I79</f>
        <v>-11131.551568627445</v>
      </c>
      <c r="J80" s="66"/>
      <c r="K80" s="65">
        <f>SUM(K58:K79)</f>
        <v>-23752.577028544969</v>
      </c>
      <c r="L80" s="65">
        <f>$L79</f>
        <v>-23752.577028544969</v>
      </c>
      <c r="M80" s="67">
        <f>SUM(M58:M79)</f>
        <v>20.833333333333332</v>
      </c>
      <c r="N80" s="67">
        <f>IF($M80=0,0,SUMPRODUCT($N58:$N79,$M58:$M79)/$M80)</f>
        <v>45.509780920843227</v>
      </c>
    </row>
    <row r="81" spans="1:14" ht="15" customHeight="1" x14ac:dyDescent="0.35">
      <c r="A81" s="9" t="s">
        <v>559</v>
      </c>
      <c r="B81" s="9"/>
      <c r="C81" s="9"/>
      <c r="D81" s="9"/>
      <c r="E81" s="9"/>
      <c r="F81" s="9"/>
      <c r="G81" s="9"/>
      <c r="H81" s="9"/>
      <c r="I81" s="9"/>
      <c r="J81" s="9"/>
      <c r="K81" s="9"/>
      <c r="L81" s="9"/>
      <c r="M81" s="9"/>
      <c r="N81" s="9"/>
    </row>
    <row r="82" spans="1:14" x14ac:dyDescent="0.35">
      <c r="A82" s="5" t="s">
        <v>561</v>
      </c>
      <c r="B82" s="5"/>
      <c r="C82" s="5"/>
      <c r="D82" s="5"/>
      <c r="E82" s="5"/>
      <c r="F82" s="5"/>
      <c r="G82" s="5"/>
      <c r="H82" s="5"/>
      <c r="I82" s="5"/>
      <c r="J82" s="5"/>
      <c r="K82" s="5"/>
      <c r="L82" s="5"/>
      <c r="M82" s="5"/>
      <c r="N82" s="5"/>
    </row>
    <row r="83" spans="1:14" ht="30" customHeight="1" x14ac:dyDescent="0.35">
      <c r="A83" s="9" t="s">
        <v>562</v>
      </c>
      <c r="B83" s="9"/>
      <c r="C83" s="9"/>
      <c r="D83" s="9"/>
      <c r="E83" s="9"/>
      <c r="F83" s="9"/>
      <c r="G83" s="9"/>
      <c r="H83" s="9"/>
      <c r="I83" s="9"/>
      <c r="J83" s="9"/>
      <c r="K83" s="9"/>
      <c r="L83" s="9"/>
      <c r="M83" s="9"/>
      <c r="N83" s="9"/>
    </row>
    <row r="84" spans="1:14" ht="39" customHeight="1" x14ac:dyDescent="0.35">
      <c r="A84" s="8" t="s">
        <v>563</v>
      </c>
      <c r="B84" s="8"/>
      <c r="C84" s="8"/>
      <c r="D84" s="16" t="s">
        <v>491</v>
      </c>
      <c r="E84" s="16" t="s">
        <v>564</v>
      </c>
      <c r="F84" s="16" t="s">
        <v>565</v>
      </c>
      <c r="G84" s="16" t="s">
        <v>566</v>
      </c>
      <c r="H84" s="16" t="s">
        <v>567</v>
      </c>
      <c r="I84" s="16" t="s">
        <v>568</v>
      </c>
      <c r="J84" s="16" t="s">
        <v>569</v>
      </c>
      <c r="K84" s="8" t="s">
        <v>570</v>
      </c>
      <c r="L84" s="8"/>
      <c r="M84" s="8"/>
      <c r="N84" s="8"/>
    </row>
    <row r="85" spans="1:14" ht="30" customHeight="1" x14ac:dyDescent="0.35">
      <c r="A85" s="4" t="s">
        <v>571</v>
      </c>
      <c r="B85" s="4"/>
      <c r="C85" s="4"/>
      <c r="D85" s="40" t="s">
        <v>507</v>
      </c>
      <c r="E85" s="44">
        <f>$H$53</f>
        <v>160075.25397952294</v>
      </c>
      <c r="F85" s="68">
        <v>162850</v>
      </c>
      <c r="G85" s="69">
        <f>IF(AND(ISNUMBER($E85),ISNUMBER($F85),$F85&lt;&gt;0),($E85-$F85)/ABS($F85),"–")</f>
        <v>-1.7038661470537682E-2</v>
      </c>
      <c r="H85" s="44">
        <f>$H$80</f>
        <v>-11131.551568627445</v>
      </c>
      <c r="I85" s="68">
        <v>-10867</v>
      </c>
      <c r="J85" s="69">
        <f>IF(AND(ISNUMBER($H85),ISNUMBER($I85),$I85&lt;&gt;0),($H85-$I85)/ABS($I85),"–")</f>
        <v>-2.4344489613273654E-2</v>
      </c>
      <c r="K85" s="2" t="s">
        <v>572</v>
      </c>
      <c r="L85" s="2"/>
      <c r="M85" s="2"/>
      <c r="N85" s="2"/>
    </row>
    <row r="86" spans="1:14" ht="30" customHeight="1" x14ac:dyDescent="0.35">
      <c r="A86" s="1" t="s">
        <v>573</v>
      </c>
      <c r="B86" s="1"/>
      <c r="C86" s="1"/>
      <c r="D86" s="42" t="s">
        <v>507</v>
      </c>
      <c r="E86" s="44">
        <f>NPV($E$12,$H$32:$H$52)+$H$31</f>
        <v>88487.285930349841</v>
      </c>
      <c r="F86" s="70">
        <v>92568</v>
      </c>
      <c r="G86" s="71">
        <f>IF(AND(ISNUMBER($E86),ISNUMBER($F86),$F86&lt;&gt;0),($E86-$F86)/ABS($F86),"–")</f>
        <v>-4.408342050870883E-2</v>
      </c>
      <c r="H86" s="44">
        <f>NPV($E$12,$H$59:$H$79)+$H$58</f>
        <v>-23752.577028544969</v>
      </c>
      <c r="I86" s="70">
        <v>-22979</v>
      </c>
      <c r="J86" s="71">
        <f>IF(AND(ISNUMBER($H86),ISNUMBER($I86),$I86&lt;&gt;0),($H86-$I86)/ABS($I86),"–")</f>
        <v>-3.3664521021148391E-2</v>
      </c>
      <c r="K86" s="141" t="s">
        <v>574</v>
      </c>
      <c r="L86" s="141"/>
      <c r="M86" s="141"/>
      <c r="N86" s="141"/>
    </row>
    <row r="87" spans="1:14" ht="30" customHeight="1" x14ac:dyDescent="0.35">
      <c r="A87" s="4" t="s">
        <v>575</v>
      </c>
      <c r="B87" s="4"/>
      <c r="C87" s="4"/>
      <c r="D87" s="40" t="s">
        <v>501</v>
      </c>
      <c r="E87" s="46">
        <f>IFERROR(IRR($H$31:$H$52),"nicht definiert")</f>
        <v>0.14739587083789951</v>
      </c>
      <c r="F87" s="72">
        <v>0.15989999999999999</v>
      </c>
      <c r="G87" s="73">
        <f>IF(AND(ISNUMBER($E87),ISNUMBER($F87)),($E87-$F87)*100,"–")</f>
        <v>-1.2504129162100475</v>
      </c>
      <c r="H87" s="46">
        <f>IFERROR(IRR($H$58:$H$79),"nicht definiert")</f>
        <v>-2.0529631027995654E-2</v>
      </c>
      <c r="I87" s="72">
        <v>-2.1000000000000001E-2</v>
      </c>
      <c r="J87" s="73">
        <f>IF(AND(ISNUMBER($H87),ISNUMBER($I87)),($H87-$I87)*100,"–")</f>
        <v>4.7036897200434732E-2</v>
      </c>
      <c r="K87" s="2" t="s">
        <v>576</v>
      </c>
      <c r="L87" s="2"/>
      <c r="M87" s="2"/>
      <c r="N87" s="2"/>
    </row>
    <row r="88" spans="1:14" ht="30" customHeight="1" x14ac:dyDescent="0.35">
      <c r="A88" s="1" t="s">
        <v>577</v>
      </c>
      <c r="B88" s="1"/>
      <c r="C88" s="1"/>
      <c r="D88" s="42" t="s">
        <v>512</v>
      </c>
      <c r="E88" s="74">
        <f>IF($I$52&lt;0,"keine",IFERROR(MATCH(0,$I$31:$I$52,1),"–"))</f>
        <v>8</v>
      </c>
      <c r="F88" s="75">
        <v>8</v>
      </c>
      <c r="G88" s="76" t="str">
        <f>IF($E88=$F88,"exakt",IF(AND(ISNUMBER($E88),ISNUMBER($F88)),$E88-$F88,"abweichend"))</f>
        <v>exakt</v>
      </c>
      <c r="H88" s="74" t="str">
        <f>IF($I$79&lt;0,"keine",IFERROR(MATCH(0,$I$58:$I$79,1),"–"))</f>
        <v>keine</v>
      </c>
      <c r="I88" s="77" t="s">
        <v>578</v>
      </c>
      <c r="J88" s="76" t="str">
        <f>IF($H88=$I88,"exakt",IF(AND(ISNUMBER($H88),ISNUMBER($I88)),$H88-$I88,"abweichend"))</f>
        <v>exakt</v>
      </c>
      <c r="K88" s="141" t="s">
        <v>579</v>
      </c>
      <c r="L88" s="141"/>
      <c r="M88" s="141"/>
      <c r="N88" s="141"/>
    </row>
    <row r="89" spans="1:14" ht="30" customHeight="1" x14ac:dyDescent="0.35">
      <c r="A89" s="4" t="s">
        <v>580</v>
      </c>
      <c r="B89" s="4"/>
      <c r="C89" s="4"/>
      <c r="D89" s="40" t="s">
        <v>512</v>
      </c>
      <c r="E89" s="74">
        <f>IF($L$52&lt;0,"keine",IFERROR(MATCH(0,$L$31:$L$52,1),"–"))</f>
        <v>9</v>
      </c>
      <c r="F89" s="78">
        <v>9</v>
      </c>
      <c r="G89" s="79" t="str">
        <f>IF($E89=$F89,"exakt",IF(AND(ISNUMBER($E89),ISNUMBER($F89)),$E89-$F89,"abweichend"))</f>
        <v>exakt</v>
      </c>
      <c r="H89" s="74" t="str">
        <f>IF($L$79&lt;0,"keine",IFERROR(MATCH(0,$L$58:$L$79,1),"–"))</f>
        <v>keine</v>
      </c>
      <c r="I89" s="80" t="s">
        <v>578</v>
      </c>
      <c r="J89" s="79" t="str">
        <f>IF($H89=$I89,"exakt",IF(AND(ISNUMBER($H89),ISNUMBER($I89)),$H89-$I89,"abweichend"))</f>
        <v>exakt</v>
      </c>
      <c r="K89" s="2" t="s">
        <v>581</v>
      </c>
      <c r="L89" s="2"/>
      <c r="M89" s="2"/>
      <c r="N89" s="2"/>
    </row>
    <row r="90" spans="1:14" ht="30" customHeight="1" x14ac:dyDescent="0.35">
      <c r="A90" s="1" t="s">
        <v>582</v>
      </c>
      <c r="B90" s="1"/>
      <c r="C90" s="1"/>
      <c r="D90" s="42" t="s">
        <v>530</v>
      </c>
      <c r="E90" s="81">
        <f>IFERROR(($E$11+SUMPRODUCT($G$32:$G$52,$J$32:$J$52))/SUMPRODUCT($B$32:$B$52,$J$32:$J$52)*100,"–")</f>
        <v>18.128149130831989</v>
      </c>
      <c r="F90" s="82">
        <v>17.850000000000001</v>
      </c>
      <c r="G90" s="71">
        <f>IF(AND(ISNUMBER($E90),ISNUMBER($F90),$F90&lt;&gt;0),($E90-$F90)/ABS($F90),"–")</f>
        <v>1.5582584360335454E-2</v>
      </c>
      <c r="H90" s="81">
        <f>IFERROR(($E$11+SUMPRODUCT($G$59:$G$79,$J$59:$J$79))/SUMPRODUCT($B$59:$B$79,$J$59:$J$79)*100,"–")</f>
        <v>16.737157725082724</v>
      </c>
      <c r="I90" s="82">
        <v>16.47</v>
      </c>
      <c r="J90" s="71">
        <f>IF(AND(ISNUMBER($H90),ISNUMBER($I90),$I90&lt;&gt;0),($H90-$I90)/ABS($I90),"–")</f>
        <v>1.6220869768228629E-2</v>
      </c>
      <c r="K90" s="141" t="s">
        <v>583</v>
      </c>
      <c r="L90" s="141"/>
      <c r="M90" s="141"/>
      <c r="N90" s="141"/>
    </row>
    <row r="91" spans="1:14" ht="30" customHeight="1" x14ac:dyDescent="0.35">
      <c r="A91" s="4" t="s">
        <v>584</v>
      </c>
      <c r="B91" s="4"/>
      <c r="C91" s="4"/>
      <c r="D91" s="40" t="s">
        <v>530</v>
      </c>
      <c r="E91" s="81">
        <f>IFERROR(($E$11+SUM($G$32:$G$52))/SUM($B$32:$B$52)*100,"–")</f>
        <v>14.689945222756833</v>
      </c>
      <c r="F91" s="83">
        <v>14.64</v>
      </c>
      <c r="G91" s="69">
        <f>IF(AND(ISNUMBER($E91),ISNUMBER($F91),$F91&lt;&gt;0),($E91-$F91)/ABS($F91),"–")</f>
        <v>3.411558931477641E-3</v>
      </c>
      <c r="H91" s="81">
        <f>IFERROR(($E$11+SUM($G$59:$G$79))/SUM($B$59:$B$79)*100,"–")</f>
        <v>13.294527282771295</v>
      </c>
      <c r="I91" s="83">
        <v>13.25</v>
      </c>
      <c r="J91" s="69">
        <f>IF(AND(ISNUMBER($H91),ISNUMBER($I91),$I91&lt;&gt;0),($H91-$I91)/ABS($I91),"–")</f>
        <v>3.3605496431165891E-3</v>
      </c>
      <c r="K91" s="2" t="s">
        <v>585</v>
      </c>
      <c r="L91" s="2"/>
      <c r="M91" s="2"/>
      <c r="N91" s="2"/>
    </row>
    <row r="92" spans="1:14" ht="30" customHeight="1" x14ac:dyDescent="0.35">
      <c r="A92" s="1" t="s">
        <v>525</v>
      </c>
      <c r="B92" s="1"/>
      <c r="C92" s="1"/>
      <c r="D92" s="42" t="s">
        <v>501</v>
      </c>
      <c r="E92" s="84">
        <f>IFERROR(SUM($C$32:$C$52)/SUM($B$32:$B$52),"–")</f>
        <v>0.83400000000000019</v>
      </c>
      <c r="F92" s="85">
        <v>0.83</v>
      </c>
      <c r="G92" s="86">
        <f>IF(AND(ISNUMBER($E92),ISNUMBER($F92)),($E92-$F92)*100,"–")</f>
        <v>0.40000000000002256</v>
      </c>
      <c r="H92" s="84">
        <f>IFERROR(SUM($C$59:$C$79)/SUM($B$59:$B$79),"–")</f>
        <v>0</v>
      </c>
      <c r="I92" s="85">
        <v>0</v>
      </c>
      <c r="J92" s="86">
        <f>IF(AND(ISNUMBER($H92),ISNUMBER($I92)),($H92-$I92)*100,"–")</f>
        <v>0</v>
      </c>
      <c r="K92" s="141" t="s">
        <v>586</v>
      </c>
      <c r="L92" s="141"/>
      <c r="M92" s="141"/>
      <c r="N92" s="141"/>
    </row>
    <row r="93" spans="1:14" ht="30" customHeight="1" x14ac:dyDescent="0.35">
      <c r="A93" s="4" t="s">
        <v>587</v>
      </c>
      <c r="B93" s="4"/>
      <c r="C93" s="4"/>
      <c r="D93" s="40" t="s">
        <v>501</v>
      </c>
      <c r="E93" s="84">
        <f>IFERROR(SUM($C$32:$C$52)/($E$16*$E$15),"–")</f>
        <v>0.26297497651764712</v>
      </c>
      <c r="F93" s="87">
        <v>0.26</v>
      </c>
      <c r="G93" s="73">
        <f>IF(AND(ISNUMBER($E93),ISNUMBER($F93)),($E93-$F93)*100,"–")</f>
        <v>0.29749765176471099</v>
      </c>
      <c r="H93" s="84">
        <f>IFERROR(SUM($C$59:$C$79)/($E$16*$E$15),"–")</f>
        <v>0</v>
      </c>
      <c r="I93" s="88" t="s">
        <v>588</v>
      </c>
      <c r="J93" s="73" t="str">
        <f>IF(AND(ISNUMBER($H93),ISNUMBER($I93)),($H93-$I93)*100,"–")</f>
        <v>–</v>
      </c>
      <c r="K93" s="2" t="s">
        <v>589</v>
      </c>
      <c r="L93" s="2"/>
      <c r="M93" s="2"/>
      <c r="N93" s="2"/>
    </row>
    <row r="94" spans="1:14" ht="30" customHeight="1" x14ac:dyDescent="0.35">
      <c r="A94" s="1" t="s">
        <v>590</v>
      </c>
      <c r="B94" s="1"/>
      <c r="C94" s="1"/>
      <c r="D94" s="42" t="s">
        <v>533</v>
      </c>
      <c r="E94" s="44">
        <f>IFERROR($H$53/$E$15,"–")</f>
        <v>7683.6121910171014</v>
      </c>
      <c r="F94" s="70">
        <v>7817</v>
      </c>
      <c r="G94" s="71">
        <f>IF(AND(ISNUMBER($E94),ISNUMBER($F94),$F94&lt;&gt;0),($E94-$F94)/ABS($F94),"–")</f>
        <v>-1.706381079479322E-2</v>
      </c>
      <c r="H94" s="44">
        <f>IFERROR($H$80/$E$15,"–")</f>
        <v>-534.31447529411741</v>
      </c>
      <c r="I94" s="89" t="s">
        <v>591</v>
      </c>
      <c r="J94" s="71" t="str">
        <f>IF(AND(ISNUMBER($H94),ISNUMBER($I94),$I94&lt;&gt;0),($H94-$I94)/ABS($I94),"–")</f>
        <v>–</v>
      </c>
      <c r="K94" s="141" t="s">
        <v>592</v>
      </c>
      <c r="L94" s="141"/>
      <c r="M94" s="141"/>
      <c r="N94" s="141"/>
    </row>
    <row r="95" spans="1:14" ht="30" customHeight="1" x14ac:dyDescent="0.35">
      <c r="A95" s="4" t="s">
        <v>593</v>
      </c>
      <c r="B95" s="4"/>
      <c r="C95" s="4"/>
      <c r="D95" s="40" t="s">
        <v>530</v>
      </c>
      <c r="E95" s="81">
        <f>$N$53</f>
        <v>45.509780920843227</v>
      </c>
      <c r="F95" s="83">
        <v>45.83</v>
      </c>
      <c r="G95" s="69">
        <f>IF(AND(ISNUMBER($E95),ISNUMBER($F95),$F95&lt;&gt;0),($E95-$F95)/ABS($F95),"–")</f>
        <v>-6.9871062438745715E-3</v>
      </c>
      <c r="H95" s="81">
        <f>$N$80</f>
        <v>45.509780920843227</v>
      </c>
      <c r="I95" s="90" t="s">
        <v>588</v>
      </c>
      <c r="J95" s="69" t="str">
        <f>IF(AND(ISNUMBER($H95),ISNUMBER($I95),$I95&lt;&gt;0),($H95-$I95)/ABS($I95),"–")</f>
        <v>–</v>
      </c>
      <c r="K95" s="2" t="s">
        <v>594</v>
      </c>
      <c r="L95" s="2"/>
      <c r="M95" s="2"/>
      <c r="N95" s="2"/>
    </row>
    <row r="96" spans="1:14" ht="30" customHeight="1" x14ac:dyDescent="0.35">
      <c r="A96" s="1" t="s">
        <v>595</v>
      </c>
      <c r="B96" s="1"/>
      <c r="C96" s="1"/>
      <c r="D96" s="42" t="s">
        <v>596</v>
      </c>
      <c r="E96" s="74">
        <f>$B$53</f>
        <v>656911.9117647059</v>
      </c>
      <c r="F96" s="75">
        <v>659150</v>
      </c>
      <c r="G96" s="71">
        <f>IF(AND(ISNUMBER($E96),ISNUMBER($F96),$F96&lt;&gt;0),($E96-$F96)/ABS($F96),"–")</f>
        <v>-3.395415664559049E-3</v>
      </c>
      <c r="H96" s="74">
        <f>$B$80</f>
        <v>656911.9117647059</v>
      </c>
      <c r="I96" s="75">
        <v>659150</v>
      </c>
      <c r="J96" s="71">
        <f>IF(AND(ISNUMBER($H96),ISNUMBER($I96),$I96&lt;&gt;0),($H96-$I96)/ABS($I96),"–")</f>
        <v>-3.395415664559049E-3</v>
      </c>
      <c r="K96" s="141" t="s">
        <v>597</v>
      </c>
      <c r="L96" s="141"/>
      <c r="M96" s="141"/>
      <c r="N96" s="141"/>
    </row>
    <row r="97" spans="1:14" ht="30" customHeight="1" x14ac:dyDescent="0.35">
      <c r="A97" s="4" t="s">
        <v>598</v>
      </c>
      <c r="B97" s="4"/>
      <c r="C97" s="4"/>
      <c r="D97" s="40" t="s">
        <v>507</v>
      </c>
      <c r="E97" s="47">
        <f>$H$32</f>
        <v>6452.4904679999981</v>
      </c>
      <c r="F97" s="91">
        <v>6450.34</v>
      </c>
      <c r="G97" s="69">
        <f>IF(AND(ISNUMBER($E97),ISNUMBER($F97),$F97&lt;&gt;0),($E97-$F97)/ABS($F97),"–")</f>
        <v>3.3338831751473564E-4</v>
      </c>
      <c r="H97" s="47">
        <f>$H$59</f>
        <v>2151.44</v>
      </c>
      <c r="I97" s="91">
        <v>2151.44</v>
      </c>
      <c r="J97" s="69">
        <f>IF(AND(ISNUMBER($H97),ISNUMBER($I97),$I97&lt;&gt;0),($H97-$I97)/ABS($I97),"–")</f>
        <v>0</v>
      </c>
      <c r="K97" s="2" t="s">
        <v>599</v>
      </c>
      <c r="L97" s="2"/>
      <c r="M97" s="2"/>
      <c r="N97" s="2"/>
    </row>
    <row r="98" spans="1:14" ht="30" customHeight="1" x14ac:dyDescent="0.35">
      <c r="A98" s="1" t="s">
        <v>600</v>
      </c>
      <c r="B98" s="1"/>
      <c r="C98" s="1"/>
      <c r="D98" s="42" t="s">
        <v>512</v>
      </c>
      <c r="E98" s="45">
        <f>$E$15</f>
        <v>20.833333333333332</v>
      </c>
      <c r="F98" s="57">
        <v>20.8333333333333</v>
      </c>
      <c r="G98" s="71">
        <f>IF(AND(ISNUMBER($E98),ISNUMBER($F98),$F98&lt;&gt;0),($E98-$F98)/ABS($F98),"–")</f>
        <v>1.5347723092418188E-15</v>
      </c>
      <c r="H98" s="45">
        <f>$E$15</f>
        <v>20.833333333333332</v>
      </c>
      <c r="I98" s="57">
        <v>20.8333333333333</v>
      </c>
      <c r="J98" s="71">
        <f>IF(AND(ISNUMBER($H98),ISNUMBER($I98),$I98&lt;&gt;0),($H98-$I98)/ABS($I98),"–")</f>
        <v>1.5347723092418188E-15</v>
      </c>
      <c r="K98" s="141" t="s">
        <v>601</v>
      </c>
      <c r="L98" s="141"/>
      <c r="M98" s="141"/>
      <c r="N98" s="141"/>
    </row>
    <row r="99" spans="1:14" ht="30" customHeight="1" x14ac:dyDescent="0.35">
      <c r="A99" s="4" t="s">
        <v>602</v>
      </c>
      <c r="B99" s="4"/>
      <c r="C99" s="4"/>
      <c r="D99" s="40" t="s">
        <v>603</v>
      </c>
      <c r="E99" s="146" t="str">
        <f>IF(AND(ABS($E$86-$K$53)&lt;1,ABS($H$86-$K$80)&lt;1,ABS($M$53-$E$15)&lt;0.001,ABS($M$80-$E$15)&lt;0.001),"✓ Kapitalwert = Summe der Barwerte und Summe der Zeitanteile = Gesamtdauer – beide Jahrestabellen sind in sich konsistent.","⚠ Kontrolle fehlgeschlagen: Kapitalwert und Summe der Barwerte bzw. Zeitanteile und Gesamtdauer stimmen nicht überein.")</f>
        <v>✓ Kapitalwert = Summe der Barwerte und Summe der Zeitanteile = Gesamtdauer – beide Jahrestabellen sind in sich konsistent.</v>
      </c>
      <c r="F99" s="146"/>
      <c r="G99" s="146"/>
      <c r="H99" s="146"/>
      <c r="I99" s="146"/>
      <c r="J99" s="146"/>
      <c r="K99" s="146"/>
      <c r="L99" s="146"/>
      <c r="M99" s="146"/>
      <c r="N99" s="146"/>
    </row>
    <row r="101" spans="1:14" x14ac:dyDescent="0.35">
      <c r="A101" s="5" t="s">
        <v>604</v>
      </c>
      <c r="B101" s="5"/>
      <c r="C101" s="5"/>
      <c r="D101" s="5"/>
      <c r="E101" s="5"/>
      <c r="F101" s="5"/>
      <c r="G101" s="5"/>
      <c r="H101" s="5"/>
      <c r="I101" s="5"/>
      <c r="J101" s="5"/>
      <c r="K101" s="5"/>
      <c r="L101" s="5"/>
      <c r="M101" s="5"/>
      <c r="N101" s="5"/>
    </row>
    <row r="102" spans="1:14" ht="15.75" customHeight="1" x14ac:dyDescent="0.35">
      <c r="A102" s="147" t="s">
        <v>605</v>
      </c>
      <c r="B102" s="147"/>
      <c r="C102" s="147"/>
      <c r="D102" s="147"/>
      <c r="E102" s="147"/>
      <c r="F102" s="147"/>
      <c r="G102" s="147"/>
      <c r="H102" s="147"/>
      <c r="I102" s="147"/>
      <c r="J102" s="147"/>
      <c r="K102" s="147"/>
      <c r="L102" s="147"/>
      <c r="M102" s="147"/>
      <c r="N102" s="147"/>
    </row>
    <row r="103" spans="1:14" ht="29.25" customHeight="1" x14ac:dyDescent="0.35">
      <c r="A103" s="9" t="s">
        <v>606</v>
      </c>
      <c r="B103" s="9"/>
      <c r="C103" s="9"/>
      <c r="D103" s="9"/>
      <c r="E103" s="9"/>
      <c r="F103" s="9"/>
      <c r="G103" s="9"/>
      <c r="H103" s="9"/>
      <c r="I103" s="9"/>
      <c r="J103" s="9"/>
      <c r="K103" s="9"/>
      <c r="L103" s="9"/>
      <c r="M103" s="9"/>
      <c r="N103" s="9"/>
    </row>
    <row r="104" spans="1:14" ht="29.25" customHeight="1" x14ac:dyDescent="0.35">
      <c r="A104" s="9" t="s">
        <v>607</v>
      </c>
      <c r="B104" s="9"/>
      <c r="C104" s="9"/>
      <c r="D104" s="9"/>
      <c r="E104" s="9"/>
      <c r="F104" s="9"/>
      <c r="G104" s="9"/>
      <c r="H104" s="9"/>
      <c r="I104" s="9"/>
      <c r="J104" s="9"/>
      <c r="K104" s="9"/>
      <c r="L104" s="9"/>
      <c r="M104" s="9"/>
      <c r="N104" s="9"/>
    </row>
    <row r="105" spans="1:14" ht="29.25" customHeight="1" x14ac:dyDescent="0.35">
      <c r="A105" s="9" t="s">
        <v>608</v>
      </c>
      <c r="B105" s="9"/>
      <c r="C105" s="9"/>
      <c r="D105" s="9"/>
      <c r="E105" s="9"/>
      <c r="F105" s="9"/>
      <c r="G105" s="9"/>
      <c r="H105" s="9"/>
      <c r="I105" s="9"/>
      <c r="J105" s="9"/>
      <c r="K105" s="9"/>
      <c r="L105" s="9"/>
      <c r="M105" s="9"/>
      <c r="N105" s="9"/>
    </row>
    <row r="106" spans="1:14" ht="42" customHeight="1" x14ac:dyDescent="0.35">
      <c r="A106" s="9" t="s">
        <v>609</v>
      </c>
      <c r="B106" s="9"/>
      <c r="C106" s="9"/>
      <c r="D106" s="9"/>
      <c r="E106" s="9"/>
      <c r="F106" s="9"/>
      <c r="G106" s="9"/>
      <c r="H106" s="9"/>
      <c r="I106" s="9"/>
      <c r="J106" s="9"/>
      <c r="K106" s="9"/>
      <c r="L106" s="9"/>
      <c r="M106" s="9"/>
      <c r="N106" s="9"/>
    </row>
    <row r="107" spans="1:14" ht="15.75" customHeight="1" x14ac:dyDescent="0.35">
      <c r="A107" s="9" t="s">
        <v>610</v>
      </c>
      <c r="B107" s="9"/>
      <c r="C107" s="9"/>
      <c r="D107" s="9"/>
      <c r="E107" s="9"/>
      <c r="F107" s="9"/>
      <c r="G107" s="9"/>
      <c r="H107" s="9"/>
      <c r="I107" s="9"/>
      <c r="J107" s="9"/>
      <c r="K107" s="9"/>
      <c r="L107" s="9"/>
      <c r="M107" s="9"/>
      <c r="N107" s="9"/>
    </row>
    <row r="108" spans="1:14" ht="15.75" customHeight="1" x14ac:dyDescent="0.35">
      <c r="A108" s="9" t="s">
        <v>611</v>
      </c>
      <c r="B108" s="9"/>
      <c r="C108" s="9"/>
      <c r="D108" s="9"/>
      <c r="E108" s="9"/>
      <c r="F108" s="9"/>
      <c r="G108" s="9"/>
      <c r="H108" s="9"/>
      <c r="I108" s="9"/>
      <c r="J108" s="9"/>
      <c r="K108" s="9"/>
      <c r="L108" s="9"/>
      <c r="M108" s="9"/>
      <c r="N108" s="9"/>
    </row>
  </sheetData>
  <mergeCells count="102">
    <mergeCell ref="A101:N101"/>
    <mergeCell ref="A102:N102"/>
    <mergeCell ref="A103:N103"/>
    <mergeCell ref="A104:N104"/>
    <mergeCell ref="A105:N105"/>
    <mergeCell ref="A106:N106"/>
    <mergeCell ref="A107:N107"/>
    <mergeCell ref="A108:N108"/>
    <mergeCell ref="A95:C95"/>
    <mergeCell ref="K95:N95"/>
    <mergeCell ref="A96:C96"/>
    <mergeCell ref="K96:N96"/>
    <mergeCell ref="A97:C97"/>
    <mergeCell ref="K97:N97"/>
    <mergeCell ref="A98:C98"/>
    <mergeCell ref="K98:N98"/>
    <mergeCell ref="A99:C99"/>
    <mergeCell ref="E99:N99"/>
    <mergeCell ref="A90:C90"/>
    <mergeCell ref="K90:N90"/>
    <mergeCell ref="A91:C91"/>
    <mergeCell ref="K91:N91"/>
    <mergeCell ref="A92:C92"/>
    <mergeCell ref="K92:N92"/>
    <mergeCell ref="A93:C93"/>
    <mergeCell ref="K93:N93"/>
    <mergeCell ref="A94:C94"/>
    <mergeCell ref="K94:N94"/>
    <mergeCell ref="A85:C85"/>
    <mergeCell ref="K85:N85"/>
    <mergeCell ref="A86:C86"/>
    <mergeCell ref="K86:N86"/>
    <mergeCell ref="A87:C87"/>
    <mergeCell ref="K87:N87"/>
    <mergeCell ref="A88:C88"/>
    <mergeCell ref="K88:N88"/>
    <mergeCell ref="A89:C89"/>
    <mergeCell ref="K89:N89"/>
    <mergeCell ref="A29:N29"/>
    <mergeCell ref="A54:N54"/>
    <mergeCell ref="A55:N55"/>
    <mergeCell ref="A56:N56"/>
    <mergeCell ref="A81:N81"/>
    <mergeCell ref="A82:N82"/>
    <mergeCell ref="A83:N83"/>
    <mergeCell ref="A84:C84"/>
    <mergeCell ref="K84:N84"/>
    <mergeCell ref="A23:C23"/>
    <mergeCell ref="G23:N23"/>
    <mergeCell ref="A24:C24"/>
    <mergeCell ref="G24:N24"/>
    <mergeCell ref="A25:C25"/>
    <mergeCell ref="G25:N25"/>
    <mergeCell ref="A26:C26"/>
    <mergeCell ref="G26:N26"/>
    <mergeCell ref="A28:N28"/>
    <mergeCell ref="A18:N18"/>
    <mergeCell ref="A19:C19"/>
    <mergeCell ref="G19:N19"/>
    <mergeCell ref="A20:C20"/>
    <mergeCell ref="G20:N20"/>
    <mergeCell ref="A21:C21"/>
    <mergeCell ref="G21:N21"/>
    <mergeCell ref="A22:C22"/>
    <mergeCell ref="G22:N22"/>
    <mergeCell ref="A14:C14"/>
    <mergeCell ref="E14:F14"/>
    <mergeCell ref="G14:N14"/>
    <mergeCell ref="A15:C15"/>
    <mergeCell ref="E15:F15"/>
    <mergeCell ref="G15:N15"/>
    <mergeCell ref="A16:C16"/>
    <mergeCell ref="E16:F16"/>
    <mergeCell ref="G16:N16"/>
    <mergeCell ref="A11:C11"/>
    <mergeCell ref="E11:F11"/>
    <mergeCell ref="G11:N11"/>
    <mergeCell ref="A12:C12"/>
    <mergeCell ref="E12:F12"/>
    <mergeCell ref="G12:N12"/>
    <mergeCell ref="A13:C13"/>
    <mergeCell ref="E13:F13"/>
    <mergeCell ref="G13:N13"/>
    <mergeCell ref="A8:C8"/>
    <mergeCell ref="E8:F8"/>
    <mergeCell ref="G8:N8"/>
    <mergeCell ref="A9:C9"/>
    <mergeCell ref="E9:F9"/>
    <mergeCell ref="G9:N9"/>
    <mergeCell ref="A10:C10"/>
    <mergeCell ref="E10:F10"/>
    <mergeCell ref="G10:N10"/>
    <mergeCell ref="A1:N1"/>
    <mergeCell ref="A2:N2"/>
    <mergeCell ref="A4:N4"/>
    <mergeCell ref="A5:N5"/>
    <mergeCell ref="A6:C6"/>
    <mergeCell ref="E6:F6"/>
    <mergeCell ref="G6:N6"/>
    <mergeCell ref="A7:C7"/>
    <mergeCell ref="E7:F7"/>
    <mergeCell ref="G7:N7"/>
  </mergeCells>
  <pageMargins left="0.5" right="0.5" top="0.5" bottom="0.5" header="0.511811023622047" footer="0.511811023622047"/>
  <pageSetup paperSize="9" fitToHeight="0" orientation="landscape" horizontalDpi="300" verticalDpi="300"/>
  <rowBreaks count="3" manualBreakCount="3">
    <brk id="27" max="16383" man="1"/>
    <brk id="54" max="16383" man="1"/>
    <brk id="8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54"/>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328125" defaultRowHeight="14.5" x14ac:dyDescent="0.35"/>
  <cols>
    <col min="1" max="1" width="8" customWidth="1"/>
    <col min="2" max="2" width="42" customWidth="1"/>
    <col min="3" max="7" width="27" customWidth="1"/>
  </cols>
  <sheetData>
    <row r="1" spans="1:7" ht="18" x14ac:dyDescent="0.4">
      <c r="A1" s="14" t="s">
        <v>612</v>
      </c>
      <c r="B1" s="14"/>
      <c r="C1" s="14"/>
      <c r="D1" s="14"/>
      <c r="E1" s="14"/>
      <c r="F1" s="14"/>
      <c r="G1" s="14"/>
    </row>
    <row r="2" spans="1:7" x14ac:dyDescent="0.35">
      <c r="A2" s="13" t="s">
        <v>613</v>
      </c>
      <c r="B2" s="13"/>
      <c r="C2" s="13"/>
      <c r="D2" s="13"/>
      <c r="E2" s="13"/>
      <c r="F2" s="13"/>
      <c r="G2" s="13"/>
    </row>
    <row r="4" spans="1:7" x14ac:dyDescent="0.35">
      <c r="A4" s="5" t="s">
        <v>614</v>
      </c>
      <c r="B4" s="5"/>
      <c r="C4" s="5"/>
      <c r="D4" s="5"/>
      <c r="E4" s="5"/>
      <c r="F4" s="5"/>
      <c r="G4" s="5"/>
    </row>
    <row r="5" spans="1:7" ht="30" customHeight="1" x14ac:dyDescent="0.35">
      <c r="A5" s="16" t="s">
        <v>615</v>
      </c>
      <c r="B5" s="16" t="s">
        <v>616</v>
      </c>
      <c r="C5" s="16" t="s">
        <v>617</v>
      </c>
      <c r="D5" s="16" t="s">
        <v>618</v>
      </c>
      <c r="E5" s="8" t="s">
        <v>619</v>
      </c>
      <c r="F5" s="8"/>
      <c r="G5" s="16" t="s">
        <v>620</v>
      </c>
    </row>
    <row r="6" spans="1:7" ht="30" customHeight="1" x14ac:dyDescent="0.35">
      <c r="A6" s="37" t="s">
        <v>621</v>
      </c>
      <c r="B6" s="23" t="s">
        <v>622</v>
      </c>
      <c r="C6" s="18" t="s">
        <v>623</v>
      </c>
      <c r="D6" s="18" t="s">
        <v>624</v>
      </c>
      <c r="E6" s="10" t="s">
        <v>625</v>
      </c>
      <c r="F6" s="10"/>
      <c r="G6" s="28" t="s">
        <v>626</v>
      </c>
    </row>
    <row r="7" spans="1:7" ht="30" customHeight="1" x14ac:dyDescent="0.35">
      <c r="A7" s="38" t="s">
        <v>627</v>
      </c>
      <c r="B7" s="30" t="s">
        <v>628</v>
      </c>
      <c r="C7" s="34" t="s">
        <v>629</v>
      </c>
      <c r="D7" s="34" t="s">
        <v>624</v>
      </c>
      <c r="E7" s="7" t="s">
        <v>630</v>
      </c>
      <c r="F7" s="7"/>
      <c r="G7" s="35" t="s">
        <v>631</v>
      </c>
    </row>
    <row r="8" spans="1:7" ht="30" customHeight="1" x14ac:dyDescent="0.35">
      <c r="A8" s="37" t="s">
        <v>632</v>
      </c>
      <c r="B8" s="23" t="s">
        <v>279</v>
      </c>
      <c r="C8" s="18" t="s">
        <v>623</v>
      </c>
      <c r="D8" s="18" t="s">
        <v>633</v>
      </c>
      <c r="E8" s="10" t="s">
        <v>634</v>
      </c>
      <c r="F8" s="10"/>
      <c r="G8" s="28" t="s">
        <v>280</v>
      </c>
    </row>
    <row r="9" spans="1:7" ht="30" customHeight="1" x14ac:dyDescent="0.35">
      <c r="A9" s="38" t="s">
        <v>635</v>
      </c>
      <c r="B9" s="30" t="s">
        <v>273</v>
      </c>
      <c r="C9" s="34" t="s">
        <v>623</v>
      </c>
      <c r="D9" s="34" t="s">
        <v>636</v>
      </c>
      <c r="E9" s="7" t="s">
        <v>637</v>
      </c>
      <c r="F9" s="7"/>
      <c r="G9" s="35" t="s">
        <v>638</v>
      </c>
    </row>
    <row r="10" spans="1:7" ht="30" customHeight="1" x14ac:dyDescent="0.35">
      <c r="A10" s="37" t="s">
        <v>639</v>
      </c>
      <c r="B10" s="23" t="s">
        <v>640</v>
      </c>
      <c r="C10" s="18" t="s">
        <v>641</v>
      </c>
      <c r="D10" s="18" t="s">
        <v>642</v>
      </c>
      <c r="E10" s="10" t="s">
        <v>643</v>
      </c>
      <c r="F10" s="10"/>
      <c r="G10" s="28" t="s">
        <v>644</v>
      </c>
    </row>
    <row r="11" spans="1:7" ht="30" customHeight="1" x14ac:dyDescent="0.35">
      <c r="A11" s="38" t="s">
        <v>645</v>
      </c>
      <c r="B11" s="30" t="s">
        <v>646</v>
      </c>
      <c r="C11" s="34" t="s">
        <v>647</v>
      </c>
      <c r="D11" s="34" t="s">
        <v>648</v>
      </c>
      <c r="E11" s="7" t="s">
        <v>649</v>
      </c>
      <c r="F11" s="7"/>
      <c r="G11" s="35" t="s">
        <v>650</v>
      </c>
    </row>
    <row r="12" spans="1:7" ht="30" customHeight="1" x14ac:dyDescent="0.35">
      <c r="A12" s="37" t="s">
        <v>651</v>
      </c>
      <c r="B12" s="23" t="s">
        <v>652</v>
      </c>
      <c r="C12" s="18" t="s">
        <v>653</v>
      </c>
      <c r="D12" s="18" t="s">
        <v>654</v>
      </c>
      <c r="E12" s="10" t="s">
        <v>655</v>
      </c>
      <c r="F12" s="10"/>
      <c r="G12" s="28" t="s">
        <v>656</v>
      </c>
    </row>
    <row r="13" spans="1:7" ht="30" customHeight="1" x14ac:dyDescent="0.35">
      <c r="A13" s="38" t="s">
        <v>657</v>
      </c>
      <c r="B13" s="30" t="s">
        <v>658</v>
      </c>
      <c r="C13" s="34" t="s">
        <v>659</v>
      </c>
      <c r="D13" s="34" t="s">
        <v>660</v>
      </c>
      <c r="E13" s="7" t="s">
        <v>661</v>
      </c>
      <c r="F13" s="7"/>
      <c r="G13" s="35" t="s">
        <v>662</v>
      </c>
    </row>
    <row r="14" spans="1:7" ht="30" customHeight="1" x14ac:dyDescent="0.35">
      <c r="A14" s="37" t="s">
        <v>663</v>
      </c>
      <c r="B14" s="23" t="s">
        <v>664</v>
      </c>
      <c r="C14" s="18" t="s">
        <v>665</v>
      </c>
      <c r="D14" s="18" t="s">
        <v>666</v>
      </c>
      <c r="E14" s="10" t="s">
        <v>667</v>
      </c>
      <c r="F14" s="10"/>
      <c r="G14" s="28" t="s">
        <v>668</v>
      </c>
    </row>
    <row r="15" spans="1:7" ht="30" customHeight="1" x14ac:dyDescent="0.35">
      <c r="A15" s="38" t="s">
        <v>669</v>
      </c>
      <c r="B15" s="30" t="s">
        <v>670</v>
      </c>
      <c r="C15" s="34" t="s">
        <v>671</v>
      </c>
      <c r="D15" s="34" t="s">
        <v>672</v>
      </c>
      <c r="E15" s="7" t="s">
        <v>673</v>
      </c>
      <c r="F15" s="7"/>
      <c r="G15" s="35" t="s">
        <v>674</v>
      </c>
    </row>
    <row r="16" spans="1:7" ht="30" customHeight="1" x14ac:dyDescent="0.35">
      <c r="A16" s="37" t="s">
        <v>675</v>
      </c>
      <c r="B16" s="23" t="s">
        <v>676</v>
      </c>
      <c r="C16" s="18" t="s">
        <v>677</v>
      </c>
      <c r="D16" s="18" t="s">
        <v>672</v>
      </c>
      <c r="E16" s="10" t="s">
        <v>678</v>
      </c>
      <c r="F16" s="10"/>
      <c r="G16" s="28" t="s">
        <v>679</v>
      </c>
    </row>
    <row r="17" spans="1:7" ht="30" customHeight="1" x14ac:dyDescent="0.35">
      <c r="A17" s="38" t="s">
        <v>680</v>
      </c>
      <c r="B17" s="30" t="s">
        <v>532</v>
      </c>
      <c r="C17" s="34" t="s">
        <v>681</v>
      </c>
      <c r="D17" s="34" t="s">
        <v>682</v>
      </c>
      <c r="E17" s="7" t="s">
        <v>683</v>
      </c>
      <c r="F17" s="7"/>
      <c r="G17" s="35" t="s">
        <v>684</v>
      </c>
    </row>
    <row r="18" spans="1:7" ht="30" customHeight="1" x14ac:dyDescent="0.35">
      <c r="A18" s="37" t="s">
        <v>685</v>
      </c>
      <c r="B18" s="23" t="s">
        <v>686</v>
      </c>
      <c r="C18" s="18" t="s">
        <v>681</v>
      </c>
      <c r="D18" s="18" t="s">
        <v>687</v>
      </c>
      <c r="E18" s="10" t="s">
        <v>688</v>
      </c>
      <c r="F18" s="10"/>
      <c r="G18" s="28" t="s">
        <v>689</v>
      </c>
    </row>
    <row r="19" spans="1:7" ht="30" customHeight="1" x14ac:dyDescent="0.35">
      <c r="A19" s="38" t="s">
        <v>690</v>
      </c>
      <c r="B19" s="30" t="s">
        <v>691</v>
      </c>
      <c r="C19" s="34" t="s">
        <v>681</v>
      </c>
      <c r="D19" s="34" t="s">
        <v>672</v>
      </c>
      <c r="E19" s="7" t="s">
        <v>692</v>
      </c>
      <c r="F19" s="7"/>
      <c r="G19" s="35" t="s">
        <v>693</v>
      </c>
    </row>
    <row r="20" spans="1:7" ht="30" customHeight="1" x14ac:dyDescent="0.35">
      <c r="A20" s="37" t="s">
        <v>694</v>
      </c>
      <c r="B20" s="23" t="s">
        <v>695</v>
      </c>
      <c r="C20" s="18" t="s">
        <v>696</v>
      </c>
      <c r="D20" s="18" t="s">
        <v>697</v>
      </c>
      <c r="E20" s="10" t="s">
        <v>698</v>
      </c>
      <c r="F20" s="10"/>
      <c r="G20" s="28" t="s">
        <v>699</v>
      </c>
    </row>
    <row r="22" spans="1:7" ht="45" customHeight="1" x14ac:dyDescent="0.35">
      <c r="A22" s="9" t="s">
        <v>700</v>
      </c>
      <c r="B22" s="9"/>
      <c r="C22" s="9"/>
      <c r="D22" s="9"/>
      <c r="E22" s="9"/>
      <c r="F22" s="9"/>
      <c r="G22" s="9"/>
    </row>
    <row r="24" spans="1:7" x14ac:dyDescent="0.35">
      <c r="A24" s="5" t="s">
        <v>701</v>
      </c>
      <c r="B24" s="5"/>
      <c r="C24" s="5"/>
      <c r="D24" s="5"/>
      <c r="E24" s="5"/>
      <c r="F24" s="5"/>
      <c r="G24" s="5"/>
    </row>
    <row r="25" spans="1:7" ht="27" customHeight="1" x14ac:dyDescent="0.35">
      <c r="A25" s="9" t="s">
        <v>702</v>
      </c>
      <c r="B25" s="9"/>
      <c r="C25" s="9"/>
      <c r="D25" s="9"/>
      <c r="E25" s="9"/>
      <c r="F25" s="9"/>
      <c r="G25" s="9"/>
    </row>
    <row r="26" spans="1:7" ht="33" customHeight="1" x14ac:dyDescent="0.35">
      <c r="A26" s="16" t="s">
        <v>615</v>
      </c>
      <c r="B26" s="16" t="s">
        <v>616</v>
      </c>
      <c r="C26" s="16" t="s">
        <v>703</v>
      </c>
      <c r="D26" s="16" t="s">
        <v>704</v>
      </c>
      <c r="E26" s="16" t="s">
        <v>705</v>
      </c>
      <c r="F26" s="16" t="s">
        <v>706</v>
      </c>
      <c r="G26" s="16" t="s">
        <v>707</v>
      </c>
    </row>
    <row r="27" spans="1:7" ht="27" customHeight="1" x14ac:dyDescent="0.35">
      <c r="A27" s="37" t="s">
        <v>621</v>
      </c>
      <c r="B27" s="23" t="s">
        <v>622</v>
      </c>
      <c r="C27" s="20" t="s">
        <v>708</v>
      </c>
      <c r="D27" s="20" t="s">
        <v>709</v>
      </c>
      <c r="E27" s="20" t="s">
        <v>710</v>
      </c>
      <c r="F27" s="20" t="s">
        <v>710</v>
      </c>
      <c r="G27" s="20" t="s">
        <v>711</v>
      </c>
    </row>
    <row r="28" spans="1:7" ht="27" customHeight="1" x14ac:dyDescent="0.35">
      <c r="A28" s="38" t="s">
        <v>627</v>
      </c>
      <c r="B28" s="30" t="s">
        <v>712</v>
      </c>
      <c r="C28" s="92" t="s">
        <v>713</v>
      </c>
      <c r="D28" s="92" t="s">
        <v>713</v>
      </c>
      <c r="E28" s="92" t="s">
        <v>713</v>
      </c>
      <c r="F28" s="92" t="s">
        <v>713</v>
      </c>
      <c r="G28" s="92" t="s">
        <v>713</v>
      </c>
    </row>
    <row r="29" spans="1:7" ht="27" customHeight="1" x14ac:dyDescent="0.35">
      <c r="A29" s="37" t="s">
        <v>632</v>
      </c>
      <c r="B29" s="23" t="s">
        <v>714</v>
      </c>
      <c r="C29" s="93" t="s">
        <v>713</v>
      </c>
      <c r="D29" s="93" t="s">
        <v>713</v>
      </c>
      <c r="E29" s="93" t="s">
        <v>713</v>
      </c>
      <c r="F29" s="93" t="s">
        <v>713</v>
      </c>
      <c r="G29" s="93" t="s">
        <v>713</v>
      </c>
    </row>
    <row r="30" spans="1:7" ht="27" customHeight="1" x14ac:dyDescent="0.35">
      <c r="A30" s="38" t="s">
        <v>635</v>
      </c>
      <c r="B30" s="30" t="s">
        <v>273</v>
      </c>
      <c r="C30" s="92" t="s">
        <v>39</v>
      </c>
      <c r="D30" s="92" t="s">
        <v>39</v>
      </c>
      <c r="E30" s="34" t="s">
        <v>715</v>
      </c>
      <c r="F30" s="34" t="s">
        <v>716</v>
      </c>
      <c r="G30" s="92" t="s">
        <v>39</v>
      </c>
    </row>
    <row r="31" spans="1:7" ht="27" customHeight="1" x14ac:dyDescent="0.35">
      <c r="A31" s="37" t="s">
        <v>639</v>
      </c>
      <c r="B31" s="23" t="s">
        <v>640</v>
      </c>
      <c r="C31" s="93" t="s">
        <v>39</v>
      </c>
      <c r="D31" s="93" t="s">
        <v>39</v>
      </c>
      <c r="E31" s="94" t="s">
        <v>36</v>
      </c>
      <c r="F31" s="18" t="s">
        <v>716</v>
      </c>
      <c r="G31" s="93" t="s">
        <v>39</v>
      </c>
    </row>
    <row r="32" spans="1:7" ht="27" customHeight="1" x14ac:dyDescent="0.35">
      <c r="A32" s="38" t="s">
        <v>645</v>
      </c>
      <c r="B32" s="30" t="s">
        <v>717</v>
      </c>
      <c r="C32" s="92" t="s">
        <v>39</v>
      </c>
      <c r="D32" s="33" t="s">
        <v>718</v>
      </c>
      <c r="E32" s="34" t="s">
        <v>719</v>
      </c>
      <c r="F32" s="33" t="s">
        <v>720</v>
      </c>
      <c r="G32" s="33" t="s">
        <v>721</v>
      </c>
    </row>
    <row r="33" spans="1:7" ht="27" customHeight="1" x14ac:dyDescent="0.35">
      <c r="A33" s="37" t="s">
        <v>651</v>
      </c>
      <c r="B33" s="23" t="s">
        <v>652</v>
      </c>
      <c r="C33" s="93" t="s">
        <v>39</v>
      </c>
      <c r="D33" s="93" t="s">
        <v>39</v>
      </c>
      <c r="E33" s="93" t="s">
        <v>39</v>
      </c>
      <c r="F33" s="20" t="s">
        <v>722</v>
      </c>
      <c r="G33" s="20" t="s">
        <v>723</v>
      </c>
    </row>
    <row r="34" spans="1:7" ht="27" customHeight="1" x14ac:dyDescent="0.35">
      <c r="A34" s="38" t="s">
        <v>657</v>
      </c>
      <c r="B34" s="30" t="s">
        <v>658</v>
      </c>
      <c r="C34" s="34" t="s">
        <v>719</v>
      </c>
      <c r="D34" s="34" t="s">
        <v>719</v>
      </c>
      <c r="E34" s="34" t="s">
        <v>724</v>
      </c>
      <c r="F34" s="34" t="s">
        <v>725</v>
      </c>
      <c r="G34" s="34" t="s">
        <v>726</v>
      </c>
    </row>
    <row r="35" spans="1:7" ht="27" customHeight="1" x14ac:dyDescent="0.35">
      <c r="A35" s="37" t="s">
        <v>663</v>
      </c>
      <c r="B35" s="23" t="s">
        <v>664</v>
      </c>
      <c r="C35" s="94" t="s">
        <v>36</v>
      </c>
      <c r="D35" s="94" t="s">
        <v>36</v>
      </c>
      <c r="E35" s="20" t="s">
        <v>727</v>
      </c>
      <c r="F35" s="94" t="s">
        <v>36</v>
      </c>
      <c r="G35" s="94" t="s">
        <v>36</v>
      </c>
    </row>
    <row r="36" spans="1:7" ht="27" customHeight="1" x14ac:dyDescent="0.35">
      <c r="A36" s="38" t="s">
        <v>669</v>
      </c>
      <c r="B36" s="30" t="s">
        <v>670</v>
      </c>
      <c r="C36" s="92" t="s">
        <v>713</v>
      </c>
      <c r="D36" s="92" t="s">
        <v>713</v>
      </c>
      <c r="E36" s="92" t="s">
        <v>713</v>
      </c>
      <c r="F36" s="34" t="s">
        <v>728</v>
      </c>
      <c r="G36" s="92" t="s">
        <v>713</v>
      </c>
    </row>
    <row r="37" spans="1:7" ht="27" customHeight="1" x14ac:dyDescent="0.35">
      <c r="A37" s="37" t="s">
        <v>675</v>
      </c>
      <c r="B37" s="23" t="s">
        <v>676</v>
      </c>
      <c r="C37" s="94" t="s">
        <v>36</v>
      </c>
      <c r="D37" s="94" t="s">
        <v>36</v>
      </c>
      <c r="E37" s="94" t="s">
        <v>36</v>
      </c>
      <c r="F37" s="20" t="s">
        <v>729</v>
      </c>
      <c r="G37" s="94" t="s">
        <v>36</v>
      </c>
    </row>
    <row r="38" spans="1:7" ht="27" customHeight="1" x14ac:dyDescent="0.35">
      <c r="A38" s="38" t="s">
        <v>680</v>
      </c>
      <c r="B38" s="30" t="s">
        <v>532</v>
      </c>
      <c r="C38" s="95" t="s">
        <v>36</v>
      </c>
      <c r="D38" s="95" t="s">
        <v>36</v>
      </c>
      <c r="E38" s="33" t="s">
        <v>730</v>
      </c>
      <c r="F38" s="95" t="s">
        <v>36</v>
      </c>
      <c r="G38" s="95" t="s">
        <v>36</v>
      </c>
    </row>
    <row r="39" spans="1:7" ht="27" customHeight="1" x14ac:dyDescent="0.35">
      <c r="A39" s="37" t="s">
        <v>685</v>
      </c>
      <c r="B39" s="23" t="s">
        <v>686</v>
      </c>
      <c r="C39" s="18" t="s">
        <v>731</v>
      </c>
      <c r="D39" s="94" t="s">
        <v>36</v>
      </c>
      <c r="E39" s="20" t="s">
        <v>732</v>
      </c>
      <c r="F39" s="94" t="s">
        <v>36</v>
      </c>
      <c r="G39" s="94" t="s">
        <v>36</v>
      </c>
    </row>
    <row r="40" spans="1:7" ht="27" customHeight="1" x14ac:dyDescent="0.35">
      <c r="A40" s="38" t="s">
        <v>690</v>
      </c>
      <c r="B40" s="30" t="s">
        <v>691</v>
      </c>
      <c r="C40" s="92" t="s">
        <v>713</v>
      </c>
      <c r="D40" s="92" t="s">
        <v>713</v>
      </c>
      <c r="E40" s="92" t="s">
        <v>713</v>
      </c>
      <c r="F40" s="92" t="s">
        <v>713</v>
      </c>
      <c r="G40" s="92" t="s">
        <v>713</v>
      </c>
    </row>
    <row r="41" spans="1:7" ht="27" customHeight="1" x14ac:dyDescent="0.35">
      <c r="A41" s="37" t="s">
        <v>694</v>
      </c>
      <c r="B41" s="23" t="s">
        <v>733</v>
      </c>
      <c r="C41" s="93" t="s">
        <v>713</v>
      </c>
      <c r="D41" s="93" t="s">
        <v>713</v>
      </c>
      <c r="E41" s="93" t="s">
        <v>713</v>
      </c>
      <c r="F41" s="93" t="s">
        <v>713</v>
      </c>
      <c r="G41" s="93" t="s">
        <v>713</v>
      </c>
    </row>
    <row r="43" spans="1:7" ht="42" customHeight="1" x14ac:dyDescent="0.35">
      <c r="A43" s="9" t="s">
        <v>734</v>
      </c>
      <c r="B43" s="9"/>
      <c r="C43" s="9"/>
      <c r="D43" s="9"/>
      <c r="E43" s="9"/>
      <c r="F43" s="9"/>
      <c r="G43" s="9"/>
    </row>
    <row r="45" spans="1:7" x14ac:dyDescent="0.35">
      <c r="A45" s="5" t="s">
        <v>735</v>
      </c>
      <c r="B45" s="5"/>
      <c r="C45" s="5"/>
      <c r="D45" s="5"/>
      <c r="E45" s="5"/>
      <c r="F45" s="5"/>
      <c r="G45" s="5"/>
    </row>
    <row r="46" spans="1:7" ht="27" customHeight="1" x14ac:dyDescent="0.35">
      <c r="A46" s="147" t="s">
        <v>736</v>
      </c>
      <c r="B46" s="147"/>
      <c r="C46" s="147"/>
      <c r="D46" s="147"/>
      <c r="E46" s="147"/>
      <c r="F46" s="147"/>
      <c r="G46" s="147"/>
    </row>
    <row r="47" spans="1:7" ht="30" customHeight="1" x14ac:dyDescent="0.35">
      <c r="A47" s="16" t="s">
        <v>100</v>
      </c>
      <c r="B47" s="16" t="s">
        <v>737</v>
      </c>
      <c r="C47" s="16" t="s">
        <v>738</v>
      </c>
      <c r="D47" s="16" t="s">
        <v>739</v>
      </c>
      <c r="E47" s="8" t="s">
        <v>740</v>
      </c>
      <c r="F47" s="8"/>
      <c r="G47" s="8"/>
    </row>
    <row r="48" spans="1:7" ht="78" customHeight="1" x14ac:dyDescent="0.35">
      <c r="A48" s="37" t="s">
        <v>741</v>
      </c>
      <c r="B48" s="23" t="s">
        <v>742</v>
      </c>
      <c r="C48" s="18" t="s">
        <v>743</v>
      </c>
      <c r="D48" s="18" t="s">
        <v>744</v>
      </c>
      <c r="E48" s="10" t="s">
        <v>745</v>
      </c>
      <c r="F48" s="10"/>
      <c r="G48" s="10"/>
    </row>
    <row r="49" spans="1:7" ht="78" customHeight="1" x14ac:dyDescent="0.35">
      <c r="A49" s="38" t="s">
        <v>746</v>
      </c>
      <c r="B49" s="30" t="s">
        <v>747</v>
      </c>
      <c r="C49" s="34" t="s">
        <v>748</v>
      </c>
      <c r="D49" s="34" t="s">
        <v>749</v>
      </c>
      <c r="E49" s="7" t="s">
        <v>750</v>
      </c>
      <c r="F49" s="7"/>
      <c r="G49" s="7"/>
    </row>
    <row r="50" spans="1:7" ht="78" customHeight="1" x14ac:dyDescent="0.35">
      <c r="A50" s="37" t="s">
        <v>751</v>
      </c>
      <c r="B50" s="23" t="s">
        <v>752</v>
      </c>
      <c r="C50" s="18" t="s">
        <v>753</v>
      </c>
      <c r="D50" s="18" t="s">
        <v>754</v>
      </c>
      <c r="E50" s="10" t="s">
        <v>755</v>
      </c>
      <c r="F50" s="10"/>
      <c r="G50" s="10"/>
    </row>
    <row r="51" spans="1:7" ht="78" customHeight="1" x14ac:dyDescent="0.35">
      <c r="A51" s="38" t="s">
        <v>756</v>
      </c>
      <c r="B51" s="30" t="s">
        <v>757</v>
      </c>
      <c r="C51" s="34" t="s">
        <v>758</v>
      </c>
      <c r="D51" s="34" t="s">
        <v>759</v>
      </c>
      <c r="E51" s="7" t="s">
        <v>760</v>
      </c>
      <c r="F51" s="7"/>
      <c r="G51" s="7"/>
    </row>
    <row r="52" spans="1:7" ht="78" customHeight="1" x14ac:dyDescent="0.35">
      <c r="A52" s="37" t="s">
        <v>761</v>
      </c>
      <c r="B52" s="23" t="s">
        <v>762</v>
      </c>
      <c r="C52" s="18" t="s">
        <v>763</v>
      </c>
      <c r="D52" s="18" t="s">
        <v>764</v>
      </c>
      <c r="E52" s="10" t="s">
        <v>765</v>
      </c>
      <c r="F52" s="10"/>
      <c r="G52" s="10"/>
    </row>
    <row r="54" spans="1:7" ht="60" customHeight="1" x14ac:dyDescent="0.35">
      <c r="A54" s="9" t="s">
        <v>766</v>
      </c>
      <c r="B54" s="9"/>
      <c r="C54" s="9"/>
      <c r="D54" s="9"/>
      <c r="E54" s="9"/>
      <c r="F54" s="9"/>
      <c r="G54" s="9"/>
    </row>
  </sheetData>
  <autoFilter ref="A5:G20" xr:uid="{00000000-0009-0000-0000-000005000000}"/>
  <mergeCells count="32">
    <mergeCell ref="E52:G52"/>
    <mergeCell ref="A54:G54"/>
    <mergeCell ref="E47:G47"/>
    <mergeCell ref="E48:G48"/>
    <mergeCell ref="E49:G49"/>
    <mergeCell ref="E50:G50"/>
    <mergeCell ref="E51:G51"/>
    <mergeCell ref="A24:G24"/>
    <mergeCell ref="A25:G25"/>
    <mergeCell ref="A43:G43"/>
    <mergeCell ref="A45:G45"/>
    <mergeCell ref="A46:G46"/>
    <mergeCell ref="E17:F17"/>
    <mergeCell ref="E18:F18"/>
    <mergeCell ref="E19:F19"/>
    <mergeCell ref="E20:F20"/>
    <mergeCell ref="A22:G22"/>
    <mergeCell ref="E12:F12"/>
    <mergeCell ref="E13:F13"/>
    <mergeCell ref="E14:F14"/>
    <mergeCell ref="E15:F15"/>
    <mergeCell ref="E16:F16"/>
    <mergeCell ref="E7:F7"/>
    <mergeCell ref="E8:F8"/>
    <mergeCell ref="E9:F9"/>
    <mergeCell ref="E10:F10"/>
    <mergeCell ref="E11:F11"/>
    <mergeCell ref="A1:G1"/>
    <mergeCell ref="A2:G2"/>
    <mergeCell ref="A4:G4"/>
    <mergeCell ref="E5:F5"/>
    <mergeCell ref="E6:F6"/>
  </mergeCells>
  <pageMargins left="0.5" right="0.5" top="0.5" bottom="0.5" header="0.511811023622047" footer="0.511811023622047"/>
  <pageSetup paperSize="9" fitToHeight="0" orientation="landscape" horizontalDpi="300" verticalDpi="300"/>
  <rowBreaks count="2" manualBreakCount="2">
    <brk id="23" max="16383" man="1"/>
    <brk id="4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78"/>
  <sheetViews>
    <sheetView zoomScaleNormal="100" workbookViewId="0">
      <pane ySplit="3" topLeftCell="A4" activePane="bottomLeft" state="frozen"/>
      <selection pane="bottomLeft"/>
    </sheetView>
  </sheetViews>
  <sheetFormatPr baseColWidth="10" defaultColWidth="8.6328125" defaultRowHeight="14.5" x14ac:dyDescent="0.35"/>
  <cols>
    <col min="1" max="1" width="44" customWidth="1"/>
    <col min="2" max="3" width="17" customWidth="1"/>
    <col min="4" max="10" width="19" customWidth="1"/>
    <col min="11" max="11" width="15" customWidth="1"/>
  </cols>
  <sheetData>
    <row r="1" spans="1:11" ht="19.5" customHeight="1" x14ac:dyDescent="0.4">
      <c r="A1" s="14" t="s">
        <v>767</v>
      </c>
      <c r="B1" s="14"/>
      <c r="C1" s="14"/>
      <c r="D1" s="14"/>
      <c r="E1" s="14"/>
      <c r="F1" s="14"/>
      <c r="G1" s="14"/>
      <c r="H1" s="14"/>
      <c r="I1" s="14"/>
      <c r="J1" s="14"/>
      <c r="K1" s="14"/>
    </row>
    <row r="2" spans="1:11" ht="13.5" customHeight="1" x14ac:dyDescent="0.35">
      <c r="A2" s="13" t="s">
        <v>768</v>
      </c>
      <c r="B2" s="13"/>
      <c r="C2" s="13"/>
      <c r="D2" s="13"/>
      <c r="E2" s="13"/>
      <c r="F2" s="13"/>
      <c r="G2" s="13"/>
      <c r="H2" s="13"/>
      <c r="I2" s="13"/>
      <c r="J2" s="13"/>
      <c r="K2" s="13"/>
    </row>
    <row r="4" spans="1:11" ht="18" customHeight="1" x14ac:dyDescent="0.35">
      <c r="A4" s="15" t="s">
        <v>769</v>
      </c>
      <c r="B4" s="15"/>
      <c r="C4" s="15"/>
      <c r="D4" s="15"/>
      <c r="E4" s="15"/>
      <c r="F4" s="15"/>
      <c r="G4" s="15"/>
      <c r="H4" s="15"/>
      <c r="I4" s="15"/>
      <c r="J4" s="15"/>
      <c r="K4" s="15"/>
    </row>
    <row r="5" spans="1:11" ht="49.5" customHeight="1" x14ac:dyDescent="0.35">
      <c r="A5" s="16" t="s">
        <v>770</v>
      </c>
      <c r="B5" s="16" t="s">
        <v>771</v>
      </c>
      <c r="C5" s="16" t="s">
        <v>772</v>
      </c>
      <c r="D5" s="16" t="s">
        <v>773</v>
      </c>
      <c r="E5" s="16" t="s">
        <v>774</v>
      </c>
      <c r="F5" s="16" t="s">
        <v>775</v>
      </c>
      <c r="G5" s="16" t="s">
        <v>110</v>
      </c>
    </row>
    <row r="6" spans="1:11" ht="15" customHeight="1" x14ac:dyDescent="0.35">
      <c r="A6" s="36" t="s">
        <v>776</v>
      </c>
      <c r="B6" s="78">
        <v>10</v>
      </c>
      <c r="C6" s="96">
        <v>7.7</v>
      </c>
      <c r="D6" s="96">
        <v>12.22</v>
      </c>
      <c r="E6" s="96">
        <v>7.78</v>
      </c>
      <c r="F6" s="96">
        <v>12.34</v>
      </c>
      <c r="G6" s="39" t="s">
        <v>777</v>
      </c>
    </row>
    <row r="7" spans="1:11" ht="15" customHeight="1" x14ac:dyDescent="0.35">
      <c r="A7" s="97" t="s">
        <v>778</v>
      </c>
      <c r="B7" s="75">
        <v>40</v>
      </c>
      <c r="C7" s="82">
        <v>6.66</v>
      </c>
      <c r="D7" s="82">
        <v>10.24</v>
      </c>
      <c r="E7" s="82">
        <v>6.73</v>
      </c>
      <c r="F7" s="82">
        <v>10.35</v>
      </c>
      <c r="G7" s="98" t="s">
        <v>777</v>
      </c>
    </row>
    <row r="8" spans="1:11" ht="15" customHeight="1" x14ac:dyDescent="0.35">
      <c r="A8" s="36" t="s">
        <v>778</v>
      </c>
      <c r="B8" s="78">
        <v>100</v>
      </c>
      <c r="C8" s="83">
        <v>5.44</v>
      </c>
      <c r="D8" s="83">
        <v>10.24</v>
      </c>
      <c r="E8" s="83">
        <v>5.5</v>
      </c>
      <c r="F8" s="83">
        <v>10.35</v>
      </c>
      <c r="G8" s="39" t="s">
        <v>777</v>
      </c>
    </row>
    <row r="9" spans="1:11" ht="15" customHeight="1" x14ac:dyDescent="0.35">
      <c r="A9" s="97" t="s">
        <v>779</v>
      </c>
      <c r="B9" s="75">
        <v>100</v>
      </c>
      <c r="C9" s="82">
        <v>6.19</v>
      </c>
      <c r="D9" s="82">
        <v>6.19</v>
      </c>
      <c r="E9" s="82">
        <v>6.26</v>
      </c>
      <c r="F9" s="82">
        <v>6.26</v>
      </c>
      <c r="G9" s="98" t="s">
        <v>777</v>
      </c>
    </row>
    <row r="11" spans="1:11" ht="18" customHeight="1" x14ac:dyDescent="0.35">
      <c r="A11" s="15" t="s">
        <v>780</v>
      </c>
      <c r="B11" s="15"/>
      <c r="C11" s="15"/>
      <c r="D11" s="15"/>
      <c r="E11" s="15"/>
      <c r="F11" s="15"/>
      <c r="G11" s="15"/>
      <c r="H11" s="15"/>
      <c r="I11" s="15"/>
      <c r="J11" s="15"/>
      <c r="K11" s="15"/>
    </row>
    <row r="12" spans="1:11" ht="49.5" customHeight="1" x14ac:dyDescent="0.35">
      <c r="A12" s="16" t="s">
        <v>770</v>
      </c>
      <c r="B12" s="16" t="s">
        <v>771</v>
      </c>
      <c r="C12" s="16" t="s">
        <v>781</v>
      </c>
      <c r="D12" s="16" t="s">
        <v>782</v>
      </c>
      <c r="E12" s="16" t="s">
        <v>783</v>
      </c>
      <c r="F12" s="16" t="s">
        <v>784</v>
      </c>
      <c r="G12" s="16" t="s">
        <v>110</v>
      </c>
    </row>
    <row r="13" spans="1:11" ht="15" customHeight="1" x14ac:dyDescent="0.35">
      <c r="A13" s="36" t="s">
        <v>778</v>
      </c>
      <c r="B13" s="78">
        <v>10</v>
      </c>
      <c r="C13" s="96">
        <v>8.1</v>
      </c>
      <c r="D13" s="96">
        <v>12.62</v>
      </c>
      <c r="E13" s="96">
        <v>8.18</v>
      </c>
      <c r="F13" s="96">
        <v>12.74</v>
      </c>
      <c r="G13" s="39" t="s">
        <v>777</v>
      </c>
    </row>
    <row r="14" spans="1:11" ht="15" customHeight="1" x14ac:dyDescent="0.35">
      <c r="A14" s="97" t="s">
        <v>778</v>
      </c>
      <c r="B14" s="75">
        <v>40</v>
      </c>
      <c r="C14" s="82">
        <v>7.06</v>
      </c>
      <c r="D14" s="82">
        <v>10.64</v>
      </c>
      <c r="E14" s="82">
        <v>7.13</v>
      </c>
      <c r="F14" s="82">
        <v>10.75</v>
      </c>
      <c r="G14" s="98" t="s">
        <v>777</v>
      </c>
    </row>
    <row r="15" spans="1:11" ht="15" customHeight="1" x14ac:dyDescent="0.35">
      <c r="A15" s="36" t="s">
        <v>778</v>
      </c>
      <c r="B15" s="78">
        <v>100</v>
      </c>
      <c r="C15" s="83">
        <v>5.84</v>
      </c>
      <c r="D15" s="83">
        <v>10.64</v>
      </c>
      <c r="E15" s="83">
        <v>5.9</v>
      </c>
      <c r="F15" s="83">
        <v>10.75</v>
      </c>
      <c r="G15" s="39" t="s">
        <v>777</v>
      </c>
    </row>
    <row r="16" spans="1:11" ht="15" customHeight="1" x14ac:dyDescent="0.35">
      <c r="A16" s="97" t="s">
        <v>778</v>
      </c>
      <c r="B16" s="75">
        <v>400</v>
      </c>
      <c r="C16" s="82">
        <v>5.84</v>
      </c>
      <c r="D16" s="82">
        <v>8.85</v>
      </c>
      <c r="E16" s="82">
        <v>5.9</v>
      </c>
      <c r="F16" s="82">
        <v>8.94</v>
      </c>
      <c r="G16" s="98" t="s">
        <v>777</v>
      </c>
    </row>
    <row r="17" spans="1:11" ht="15" customHeight="1" x14ac:dyDescent="0.35">
      <c r="A17" s="36" t="s">
        <v>778</v>
      </c>
      <c r="B17" s="78">
        <v>1000</v>
      </c>
      <c r="C17" s="83">
        <v>5.84</v>
      </c>
      <c r="D17" s="83">
        <v>7.63</v>
      </c>
      <c r="E17" s="83">
        <v>5.9</v>
      </c>
      <c r="F17" s="83">
        <v>7.7</v>
      </c>
      <c r="G17" s="39" t="s">
        <v>777</v>
      </c>
    </row>
    <row r="18" spans="1:11" ht="15" customHeight="1" x14ac:dyDescent="0.35">
      <c r="A18" s="97" t="s">
        <v>785</v>
      </c>
      <c r="B18" s="75">
        <v>1000</v>
      </c>
      <c r="C18" s="82">
        <v>6.59</v>
      </c>
      <c r="D18" s="82">
        <v>6.59</v>
      </c>
      <c r="E18" s="82">
        <v>6.66</v>
      </c>
      <c r="F18" s="82">
        <v>6.66</v>
      </c>
      <c r="G18" s="98" t="s">
        <v>777</v>
      </c>
    </row>
    <row r="20" spans="1:11" ht="18" customHeight="1" x14ac:dyDescent="0.35">
      <c r="A20" s="15" t="s">
        <v>786</v>
      </c>
      <c r="B20" s="15"/>
      <c r="C20" s="15"/>
      <c r="D20" s="15"/>
      <c r="E20" s="15"/>
      <c r="F20" s="15"/>
      <c r="G20" s="15"/>
      <c r="H20" s="15"/>
      <c r="I20" s="15"/>
      <c r="J20" s="15"/>
      <c r="K20" s="15"/>
    </row>
    <row r="21" spans="1:11" ht="33.75" customHeight="1" x14ac:dyDescent="0.35">
      <c r="A21" s="16" t="s">
        <v>770</v>
      </c>
      <c r="B21" s="16" t="s">
        <v>771</v>
      </c>
      <c r="C21" s="16" t="s">
        <v>787</v>
      </c>
      <c r="D21" s="16" t="s">
        <v>788</v>
      </c>
      <c r="E21" s="8" t="s">
        <v>789</v>
      </c>
      <c r="F21" s="8"/>
      <c r="G21" s="16" t="s">
        <v>110</v>
      </c>
    </row>
    <row r="22" spans="1:11" ht="15" customHeight="1" x14ac:dyDescent="0.35">
      <c r="A22" s="36" t="s">
        <v>778</v>
      </c>
      <c r="B22" s="78">
        <v>10</v>
      </c>
      <c r="C22" s="99">
        <v>7.7785099999999998</v>
      </c>
      <c r="D22" s="99">
        <v>12.34327</v>
      </c>
      <c r="E22" s="148" t="s">
        <v>790</v>
      </c>
      <c r="F22" s="148"/>
      <c r="G22" s="39" t="s">
        <v>791</v>
      </c>
    </row>
    <row r="23" spans="1:11" ht="15" customHeight="1" x14ac:dyDescent="0.35">
      <c r="A23" s="97" t="s">
        <v>778</v>
      </c>
      <c r="B23" s="75">
        <v>40</v>
      </c>
      <c r="C23" s="100">
        <v>6.7324299999999999</v>
      </c>
      <c r="D23" s="100">
        <v>10.34619</v>
      </c>
      <c r="E23" s="149" t="s">
        <v>792</v>
      </c>
      <c r="F23" s="149"/>
      <c r="G23" s="98" t="s">
        <v>791</v>
      </c>
    </row>
    <row r="24" spans="1:11" ht="15" customHeight="1" x14ac:dyDescent="0.35">
      <c r="A24" s="36" t="s">
        <v>778</v>
      </c>
      <c r="B24" s="78">
        <v>100</v>
      </c>
      <c r="C24" s="99">
        <v>5.4961399999999996</v>
      </c>
      <c r="D24" s="99">
        <v>10.34619</v>
      </c>
      <c r="E24" s="148" t="s">
        <v>793</v>
      </c>
      <c r="F24" s="148"/>
      <c r="G24" s="39" t="s">
        <v>791</v>
      </c>
    </row>
    <row r="25" spans="1:11" ht="15" customHeight="1" x14ac:dyDescent="0.35">
      <c r="A25" s="97" t="s">
        <v>785</v>
      </c>
      <c r="B25" s="75">
        <v>100</v>
      </c>
      <c r="C25" s="100">
        <v>6.2569299999999997</v>
      </c>
      <c r="D25" s="92" t="s">
        <v>39</v>
      </c>
      <c r="E25" s="149" t="s">
        <v>794</v>
      </c>
      <c r="F25" s="149"/>
      <c r="G25" s="98" t="s">
        <v>791</v>
      </c>
    </row>
    <row r="27" spans="1:11" ht="18" customHeight="1" x14ac:dyDescent="0.35">
      <c r="A27" s="15" t="s">
        <v>795</v>
      </c>
      <c r="B27" s="15"/>
      <c r="C27" s="15"/>
      <c r="D27" s="15"/>
      <c r="E27" s="15"/>
      <c r="F27" s="15"/>
      <c r="G27" s="15"/>
      <c r="H27" s="15"/>
      <c r="I27" s="15"/>
      <c r="J27" s="15"/>
      <c r="K27" s="15"/>
    </row>
    <row r="28" spans="1:11" ht="30" customHeight="1" x14ac:dyDescent="0.35">
      <c r="A28" s="16" t="s">
        <v>796</v>
      </c>
      <c r="B28" s="16" t="s">
        <v>797</v>
      </c>
      <c r="C28" s="8" t="s">
        <v>798</v>
      </c>
      <c r="D28" s="8"/>
      <c r="E28" s="8"/>
      <c r="F28" s="8"/>
      <c r="G28" s="16" t="s">
        <v>110</v>
      </c>
    </row>
    <row r="29" spans="1:11" ht="30" customHeight="1" x14ac:dyDescent="0.35">
      <c r="A29" s="36" t="s">
        <v>799</v>
      </c>
      <c r="B29" s="96">
        <v>5.48</v>
      </c>
      <c r="C29" s="10" t="s">
        <v>800</v>
      </c>
      <c r="D29" s="10"/>
      <c r="E29" s="10"/>
      <c r="F29" s="10"/>
      <c r="G29" s="39" t="s">
        <v>801</v>
      </c>
    </row>
    <row r="30" spans="1:11" ht="30" customHeight="1" x14ac:dyDescent="0.35">
      <c r="A30" s="97" t="s">
        <v>802</v>
      </c>
      <c r="B30" s="101">
        <v>10.16</v>
      </c>
      <c r="C30" s="7" t="s">
        <v>800</v>
      </c>
      <c r="D30" s="7"/>
      <c r="E30" s="7"/>
      <c r="F30" s="7"/>
      <c r="G30" s="98" t="s">
        <v>801</v>
      </c>
    </row>
    <row r="32" spans="1:11" ht="18" customHeight="1" x14ac:dyDescent="0.35">
      <c r="A32" s="15" t="s">
        <v>803</v>
      </c>
      <c r="B32" s="15"/>
      <c r="C32" s="15"/>
      <c r="D32" s="15"/>
      <c r="E32" s="15"/>
      <c r="F32" s="15"/>
      <c r="G32" s="15"/>
      <c r="H32" s="15"/>
      <c r="I32" s="15"/>
      <c r="J32" s="15"/>
      <c r="K32" s="15"/>
    </row>
    <row r="33" spans="1:11" ht="30" customHeight="1" x14ac:dyDescent="0.35">
      <c r="A33" s="16" t="s">
        <v>804</v>
      </c>
      <c r="B33" s="16" t="s">
        <v>805</v>
      </c>
      <c r="C33" s="16" t="s">
        <v>806</v>
      </c>
      <c r="D33" s="16" t="s">
        <v>807</v>
      </c>
      <c r="E33" s="8" t="s">
        <v>798</v>
      </c>
      <c r="F33" s="8"/>
      <c r="G33" s="16" t="s">
        <v>110</v>
      </c>
    </row>
    <row r="34" spans="1:11" ht="25.5" customHeight="1" x14ac:dyDescent="0.35">
      <c r="A34" s="36" t="s">
        <v>808</v>
      </c>
      <c r="B34" s="83">
        <v>2.5099999999999998</v>
      </c>
      <c r="C34" s="83">
        <v>2.33</v>
      </c>
      <c r="D34" s="83">
        <v>1.57</v>
      </c>
      <c r="E34" s="10" t="s">
        <v>809</v>
      </c>
      <c r="F34" s="10"/>
      <c r="G34" s="39" t="s">
        <v>777</v>
      </c>
    </row>
    <row r="35" spans="1:11" ht="25.5" customHeight="1" x14ac:dyDescent="0.35">
      <c r="A35" s="97" t="s">
        <v>810</v>
      </c>
      <c r="B35" s="82">
        <v>2.54</v>
      </c>
      <c r="C35" s="82">
        <v>2.36</v>
      </c>
      <c r="D35" s="82">
        <v>1.59</v>
      </c>
      <c r="E35" s="7" t="s">
        <v>811</v>
      </c>
      <c r="F35" s="7"/>
      <c r="G35" s="98" t="s">
        <v>777</v>
      </c>
    </row>
    <row r="36" spans="1:11" ht="25.5" customHeight="1" x14ac:dyDescent="0.35">
      <c r="A36" s="36" t="s">
        <v>812</v>
      </c>
      <c r="B36" s="83">
        <v>2.67</v>
      </c>
      <c r="C36" s="83">
        <v>2.48</v>
      </c>
      <c r="D36" s="83">
        <v>1.67</v>
      </c>
      <c r="E36" s="10" t="s">
        <v>813</v>
      </c>
      <c r="F36" s="10"/>
      <c r="G36" s="39" t="s">
        <v>777</v>
      </c>
    </row>
    <row r="38" spans="1:11" ht="18" customHeight="1" x14ac:dyDescent="0.35">
      <c r="A38" s="15" t="s">
        <v>814</v>
      </c>
      <c r="B38" s="15"/>
      <c r="C38" s="15"/>
      <c r="D38" s="15"/>
      <c r="E38" s="15"/>
      <c r="F38" s="15"/>
      <c r="G38" s="15"/>
      <c r="H38" s="15"/>
      <c r="I38" s="15"/>
      <c r="J38" s="15"/>
      <c r="K38" s="15"/>
    </row>
    <row r="39" spans="1:11" ht="25.5" customHeight="1" x14ac:dyDescent="0.35">
      <c r="A39" s="9" t="s">
        <v>815</v>
      </c>
      <c r="B39" s="9"/>
      <c r="C39" s="9"/>
      <c r="D39" s="9"/>
      <c r="E39" s="9"/>
      <c r="F39" s="9"/>
      <c r="G39" s="9"/>
      <c r="H39" s="9"/>
      <c r="I39" s="9"/>
      <c r="J39" s="9"/>
      <c r="K39" s="9"/>
    </row>
    <row r="40" spans="1:11" ht="25.5" customHeight="1" x14ac:dyDescent="0.35">
      <c r="A40" s="36" t="s">
        <v>816</v>
      </c>
      <c r="B40" s="102">
        <v>30</v>
      </c>
      <c r="C40" s="39" t="s">
        <v>495</v>
      </c>
      <c r="D40" s="150" t="str">
        <f>IF($B$40&lt;=0,"⚠ Bitte eine Leistung größer null eintragen.",IF($B$40&gt;1000,"⚠ Über 1.000 kWp: Ausschreibungspflicht nach § 22 Abs. 3 EEG – der Mischsatz gilt hier nicht.",IF($B$40&gt;100,"Hinweis: über 100 kW besteht kein Anspruch auf die feste Einspeisevergütung (§ 53 Abs. 1 Nr. 2 EEG); nur Direktvermarktung.","Eingabe gültig – Ergebnisse siehe unten.")))</f>
        <v>Eingabe gültig – Ergebnisse siehe unten.</v>
      </c>
      <c r="E40" s="150"/>
      <c r="F40" s="150"/>
      <c r="G40" s="150"/>
      <c r="H40" s="150"/>
    </row>
    <row r="42" spans="1:11" ht="42" customHeight="1" x14ac:dyDescent="0.35">
      <c r="A42" s="16" t="s">
        <v>817</v>
      </c>
      <c r="B42" s="16" t="s">
        <v>818</v>
      </c>
      <c r="C42" s="16" t="s">
        <v>771</v>
      </c>
      <c r="D42" s="16" t="s">
        <v>819</v>
      </c>
      <c r="E42" s="16" t="s">
        <v>820</v>
      </c>
      <c r="F42" s="16" t="s">
        <v>821</v>
      </c>
      <c r="G42" s="16" t="s">
        <v>822</v>
      </c>
      <c r="H42" s="16" t="s">
        <v>823</v>
      </c>
    </row>
    <row r="43" spans="1:11" ht="15" customHeight="1" x14ac:dyDescent="0.35">
      <c r="A43" s="36" t="s">
        <v>824</v>
      </c>
      <c r="B43" s="78">
        <v>0</v>
      </c>
      <c r="C43" s="78">
        <v>10</v>
      </c>
      <c r="D43" s="81">
        <f>MIN($B$40,10)</f>
        <v>10</v>
      </c>
      <c r="E43" s="104">
        <f t="shared" ref="E43:F47" si="0">C13</f>
        <v>8.1</v>
      </c>
      <c r="F43" s="104">
        <f t="shared" si="0"/>
        <v>12.62</v>
      </c>
      <c r="G43" s="81">
        <f>D43*E43</f>
        <v>81</v>
      </c>
      <c r="H43" s="81">
        <f>D43*F43</f>
        <v>126.19999999999999</v>
      </c>
    </row>
    <row r="44" spans="1:11" ht="15" customHeight="1" x14ac:dyDescent="0.35">
      <c r="A44" s="97" t="s">
        <v>825</v>
      </c>
      <c r="B44" s="75">
        <v>10</v>
      </c>
      <c r="C44" s="75">
        <v>40</v>
      </c>
      <c r="D44" s="81">
        <f>MAX(0,MIN($B$40,40)-10)</f>
        <v>20</v>
      </c>
      <c r="E44" s="105">
        <f t="shared" si="0"/>
        <v>7.06</v>
      </c>
      <c r="F44" s="105">
        <f t="shared" si="0"/>
        <v>10.64</v>
      </c>
      <c r="G44" s="81">
        <f>D44*E44</f>
        <v>141.19999999999999</v>
      </c>
      <c r="H44" s="81">
        <f>D44*F44</f>
        <v>212.8</v>
      </c>
    </row>
    <row r="45" spans="1:11" ht="15" customHeight="1" x14ac:dyDescent="0.35">
      <c r="A45" s="36" t="s">
        <v>826</v>
      </c>
      <c r="B45" s="78">
        <v>40</v>
      </c>
      <c r="C45" s="78">
        <v>100</v>
      </c>
      <c r="D45" s="81">
        <f>MAX(0,MIN($B$40,100)-40)</f>
        <v>0</v>
      </c>
      <c r="E45" s="104">
        <f t="shared" si="0"/>
        <v>5.84</v>
      </c>
      <c r="F45" s="104">
        <f t="shared" si="0"/>
        <v>10.64</v>
      </c>
      <c r="G45" s="81">
        <f>D45*E45</f>
        <v>0</v>
      </c>
      <c r="H45" s="81">
        <f>D45*F45</f>
        <v>0</v>
      </c>
    </row>
    <row r="46" spans="1:11" ht="15" customHeight="1" x14ac:dyDescent="0.35">
      <c r="A46" s="97" t="s">
        <v>827</v>
      </c>
      <c r="B46" s="75">
        <v>100</v>
      </c>
      <c r="C46" s="75">
        <v>400</v>
      </c>
      <c r="D46" s="81">
        <f>MAX(0,MIN($B$40,400)-100)</f>
        <v>0</v>
      </c>
      <c r="E46" s="105">
        <f t="shared" si="0"/>
        <v>5.84</v>
      </c>
      <c r="F46" s="105">
        <f t="shared" si="0"/>
        <v>8.85</v>
      </c>
      <c r="G46" s="81">
        <f>D46*E46</f>
        <v>0</v>
      </c>
      <c r="H46" s="81">
        <f>D46*F46</f>
        <v>0</v>
      </c>
    </row>
    <row r="47" spans="1:11" ht="15" customHeight="1" x14ac:dyDescent="0.35">
      <c r="A47" s="36" t="s">
        <v>828</v>
      </c>
      <c r="B47" s="78">
        <v>400</v>
      </c>
      <c r="C47" s="78">
        <v>1000</v>
      </c>
      <c r="D47" s="81">
        <f>MAX(0,MIN($B$40,1000)-400)</f>
        <v>0</v>
      </c>
      <c r="E47" s="104">
        <f t="shared" si="0"/>
        <v>5.84</v>
      </c>
      <c r="F47" s="104">
        <f t="shared" si="0"/>
        <v>7.63</v>
      </c>
      <c r="G47" s="81">
        <f>D47*E47</f>
        <v>0</v>
      </c>
      <c r="H47" s="81">
        <f>D47*F47</f>
        <v>0</v>
      </c>
    </row>
    <row r="48" spans="1:11" ht="15" customHeight="1" x14ac:dyDescent="0.35">
      <c r="A48" s="106" t="s">
        <v>829</v>
      </c>
      <c r="B48" s="107"/>
      <c r="C48" s="107"/>
      <c r="D48" s="108">
        <f>SUM(D43:D47)</f>
        <v>30</v>
      </c>
      <c r="E48" s="107"/>
      <c r="F48" s="107"/>
      <c r="G48" s="108">
        <f>SUM(G43:G47)</f>
        <v>222.2</v>
      </c>
      <c r="H48" s="108">
        <f>SUM(H43:H47)</f>
        <v>339</v>
      </c>
    </row>
    <row r="50" spans="1:11" ht="42" customHeight="1" x14ac:dyDescent="0.35">
      <c r="A50" s="16" t="s">
        <v>830</v>
      </c>
      <c r="B50" s="16" t="s">
        <v>831</v>
      </c>
      <c r="C50" s="8" t="s">
        <v>832</v>
      </c>
      <c r="D50" s="8"/>
      <c r="E50" s="8"/>
      <c r="F50" s="16" t="s">
        <v>833</v>
      </c>
      <c r="G50" s="16" t="s">
        <v>834</v>
      </c>
      <c r="H50" s="16" t="s">
        <v>110</v>
      </c>
    </row>
    <row r="51" spans="1:11" ht="21.75" customHeight="1" x14ac:dyDescent="0.35">
      <c r="A51" s="36" t="s">
        <v>835</v>
      </c>
      <c r="B51" s="109">
        <f>IF($D$48&lt;=0,"",ROUND($G$48/$D$48,2))</f>
        <v>7.41</v>
      </c>
      <c r="C51" s="2" t="s">
        <v>836</v>
      </c>
      <c r="D51" s="2"/>
      <c r="E51" s="2"/>
      <c r="F51" s="110">
        <v>7.41</v>
      </c>
      <c r="G51" s="110">
        <v>6.43</v>
      </c>
      <c r="H51" s="39" t="s">
        <v>322</v>
      </c>
    </row>
    <row r="52" spans="1:11" ht="21.75" customHeight="1" x14ac:dyDescent="0.35">
      <c r="A52" s="36" t="s">
        <v>837</v>
      </c>
      <c r="B52" s="109">
        <f>IF($D$48&lt;=0,"",IF($B$40&gt;100,"– (nur ≤ 100 kW)",ROUND($B$51-0.4,2)))</f>
        <v>7.01</v>
      </c>
      <c r="C52" s="2" t="s">
        <v>838</v>
      </c>
      <c r="D52" s="2"/>
      <c r="E52" s="2"/>
      <c r="F52" s="110">
        <v>7.01</v>
      </c>
      <c r="G52" s="110">
        <v>6.03</v>
      </c>
      <c r="H52" s="39" t="s">
        <v>322</v>
      </c>
    </row>
    <row r="53" spans="1:11" ht="32.25" customHeight="1" x14ac:dyDescent="0.35">
      <c r="A53" s="36" t="s">
        <v>839</v>
      </c>
      <c r="B53" s="109">
        <f>IF($D$48&lt;=0,"",ROUND($H$48/$D$48,2))</f>
        <v>11.3</v>
      </c>
      <c r="C53" s="2" t="s">
        <v>840</v>
      </c>
      <c r="D53" s="2"/>
      <c r="E53" s="2"/>
      <c r="F53" s="110">
        <v>11.3</v>
      </c>
      <c r="G53" s="111" t="s">
        <v>841</v>
      </c>
      <c r="H53" s="39" t="s">
        <v>322</v>
      </c>
    </row>
    <row r="54" spans="1:11" ht="21.75" customHeight="1" x14ac:dyDescent="0.35">
      <c r="A54" s="36" t="s">
        <v>842</v>
      </c>
      <c r="B54" s="109">
        <f>IF($D$48&lt;=0,"",IF($B$40&gt;100,"– (nur ≤ 100 kW)",ROUND($B$53-0.4,2)))</f>
        <v>10.9</v>
      </c>
      <c r="C54" s="2" t="s">
        <v>843</v>
      </c>
      <c r="D54" s="2"/>
      <c r="E54" s="2"/>
      <c r="F54" s="110">
        <v>10.9</v>
      </c>
      <c r="G54" s="111" t="s">
        <v>841</v>
      </c>
      <c r="H54" s="39" t="s">
        <v>322</v>
      </c>
    </row>
    <row r="55" spans="1:11" ht="25.5" customHeight="1" x14ac:dyDescent="0.35">
      <c r="A55" s="106" t="s">
        <v>844</v>
      </c>
      <c r="B55" s="151" t="str">
        <f>IF($B$40=30,IF(AND($B$51=F51,$B$52=F52,$B$53=F53,$B$54=F54),"✓ Rechner reproduziert die Master-Werte für 30 kWp (7,41 / 7,01 / 11,30 / 10,90).","⚠ Abweichung zum vorgerechneten Beispiel 30 kWp – bitte prüfen."),IF($B$40=100,IF(AND($B$51=G51,$B$52=G52),"✓ Rechner reproduziert das BNetzA-Beispiel für 100 kWp (6,43 / 6,03).","⚠ Abweichung zum BNetzA-Beispiel 100 kWp – bitte prüfen."),"Kontrolle greift nur bei einer Eingabe von 30 oder 100 kWp."))</f>
        <v>✓ Rechner reproduziert die Master-Werte für 30 kWp (7,41 / 7,01 / 11,30 / 10,90).</v>
      </c>
      <c r="C55" s="151"/>
      <c r="D55" s="151"/>
      <c r="E55" s="151"/>
      <c r="F55" s="151"/>
      <c r="G55" s="151"/>
      <c r="H55" s="151"/>
    </row>
    <row r="56" spans="1:11" ht="30" customHeight="1" x14ac:dyDescent="0.35">
      <c r="A56" s="9" t="s">
        <v>845</v>
      </c>
      <c r="B56" s="9"/>
      <c r="C56" s="9"/>
      <c r="D56" s="9"/>
      <c r="E56" s="9"/>
      <c r="F56" s="9"/>
      <c r="G56" s="9"/>
      <c r="H56" s="9"/>
      <c r="I56" s="9"/>
      <c r="J56" s="9"/>
      <c r="K56" s="9"/>
    </row>
    <row r="58" spans="1:11" ht="18" customHeight="1" x14ac:dyDescent="0.35">
      <c r="A58" s="15" t="s">
        <v>846</v>
      </c>
      <c r="B58" s="15"/>
      <c r="C58" s="15"/>
      <c r="D58" s="15"/>
      <c r="E58" s="15"/>
      <c r="F58" s="15"/>
      <c r="G58" s="15"/>
      <c r="H58" s="15"/>
      <c r="I58" s="15"/>
      <c r="J58" s="15"/>
      <c r="K58" s="15"/>
    </row>
    <row r="59" spans="1:11" ht="43.5" customHeight="1" x14ac:dyDescent="0.35">
      <c r="A59" s="11" t="s">
        <v>847</v>
      </c>
      <c r="B59" s="11"/>
      <c r="C59" s="11"/>
      <c r="D59" s="11"/>
      <c r="E59" s="11"/>
      <c r="F59" s="11"/>
      <c r="G59" s="11"/>
      <c r="H59" s="11"/>
      <c r="I59" s="11"/>
      <c r="J59" s="11"/>
      <c r="K59" s="11"/>
    </row>
    <row r="60" spans="1:11" ht="57.75" customHeight="1" x14ac:dyDescent="0.35">
      <c r="A60" s="11" t="s">
        <v>848</v>
      </c>
      <c r="B60" s="11"/>
      <c r="C60" s="11"/>
      <c r="D60" s="11"/>
      <c r="E60" s="11"/>
      <c r="F60" s="11"/>
      <c r="G60" s="11"/>
      <c r="H60" s="11"/>
      <c r="I60" s="11"/>
      <c r="J60" s="11"/>
      <c r="K60" s="11"/>
    </row>
    <row r="61" spans="1:11" ht="30" customHeight="1" x14ac:dyDescent="0.35">
      <c r="A61" s="12" t="s">
        <v>849</v>
      </c>
      <c r="B61" s="12"/>
      <c r="C61" s="12"/>
      <c r="D61" s="12"/>
      <c r="E61" s="12"/>
      <c r="F61" s="12"/>
      <c r="G61" s="12"/>
      <c r="H61" s="12"/>
      <c r="I61" s="12"/>
      <c r="J61" s="12"/>
      <c r="K61" s="12"/>
    </row>
    <row r="63" spans="1:11" ht="18" customHeight="1" x14ac:dyDescent="0.35">
      <c r="A63" s="15" t="s">
        <v>850</v>
      </c>
      <c r="B63" s="15"/>
      <c r="C63" s="15"/>
      <c r="D63" s="15"/>
      <c r="E63" s="15"/>
      <c r="F63" s="15"/>
      <c r="G63" s="15"/>
      <c r="H63" s="15"/>
      <c r="I63" s="15"/>
      <c r="J63" s="15"/>
      <c r="K63" s="15"/>
    </row>
    <row r="64" spans="1:11" ht="60" customHeight="1" x14ac:dyDescent="0.35">
      <c r="A64" s="147" t="s">
        <v>851</v>
      </c>
      <c r="B64" s="147"/>
      <c r="C64" s="147"/>
      <c r="D64" s="147"/>
      <c r="E64" s="147"/>
      <c r="F64" s="147"/>
      <c r="G64" s="147"/>
      <c r="H64" s="147"/>
      <c r="I64" s="147"/>
      <c r="J64" s="147"/>
      <c r="K64" s="147"/>
    </row>
    <row r="65" spans="1:11" ht="36" customHeight="1" x14ac:dyDescent="0.35">
      <c r="A65" s="16" t="s">
        <v>852</v>
      </c>
      <c r="B65" s="16" t="s">
        <v>770</v>
      </c>
      <c r="C65" s="16" t="s">
        <v>853</v>
      </c>
      <c r="D65" s="16" t="s">
        <v>854</v>
      </c>
      <c r="E65" s="16" t="s">
        <v>855</v>
      </c>
      <c r="F65" s="16" t="s">
        <v>856</v>
      </c>
      <c r="G65" s="16" t="s">
        <v>857</v>
      </c>
      <c r="H65" s="16" t="s">
        <v>858</v>
      </c>
      <c r="I65" s="16" t="s">
        <v>859</v>
      </c>
      <c r="J65" s="16" t="s">
        <v>860</v>
      </c>
      <c r="K65" s="16" t="s">
        <v>110</v>
      </c>
    </row>
    <row r="66" spans="1:11" ht="15" customHeight="1" x14ac:dyDescent="0.35">
      <c r="A66" s="36" t="s">
        <v>861</v>
      </c>
      <c r="B66" s="112" t="s">
        <v>778</v>
      </c>
      <c r="C66" s="78">
        <v>10</v>
      </c>
      <c r="D66" s="83">
        <v>8.6</v>
      </c>
      <c r="E66" s="83">
        <v>0.4</v>
      </c>
      <c r="F66" s="83">
        <v>4.8</v>
      </c>
      <c r="G66" s="83">
        <v>8.1999999999999993</v>
      </c>
      <c r="H66" s="83">
        <v>13</v>
      </c>
      <c r="I66" s="83">
        <v>8.6</v>
      </c>
      <c r="J66" s="83">
        <v>13.4</v>
      </c>
      <c r="K66" s="39" t="s">
        <v>862</v>
      </c>
    </row>
    <row r="67" spans="1:11" ht="15" customHeight="1" x14ac:dyDescent="0.35">
      <c r="A67" s="97" t="s">
        <v>861</v>
      </c>
      <c r="B67" s="113" t="s">
        <v>778</v>
      </c>
      <c r="C67" s="75">
        <v>40</v>
      </c>
      <c r="D67" s="82">
        <v>7.5</v>
      </c>
      <c r="E67" s="82">
        <v>0.4</v>
      </c>
      <c r="F67" s="82">
        <v>3.8</v>
      </c>
      <c r="G67" s="82">
        <v>7.1</v>
      </c>
      <c r="H67" s="82">
        <v>10.9</v>
      </c>
      <c r="I67" s="82">
        <v>7.5</v>
      </c>
      <c r="J67" s="82">
        <v>11.3</v>
      </c>
      <c r="K67" s="98" t="s">
        <v>862</v>
      </c>
    </row>
    <row r="68" spans="1:11" ht="15" customHeight="1" x14ac:dyDescent="0.35">
      <c r="A68" s="36" t="s">
        <v>861</v>
      </c>
      <c r="B68" s="112" t="s">
        <v>778</v>
      </c>
      <c r="C68" s="78">
        <v>100</v>
      </c>
      <c r="D68" s="83">
        <v>6.2</v>
      </c>
      <c r="E68" s="83">
        <v>0.4</v>
      </c>
      <c r="F68" s="83">
        <v>5.0999999999999996</v>
      </c>
      <c r="G68" s="83">
        <v>5.8</v>
      </c>
      <c r="H68" s="83">
        <v>10.9</v>
      </c>
      <c r="I68" s="83">
        <v>6.2</v>
      </c>
      <c r="J68" s="83">
        <v>11.3</v>
      </c>
      <c r="K68" s="39" t="s">
        <v>862</v>
      </c>
    </row>
    <row r="69" spans="1:11" ht="15" customHeight="1" x14ac:dyDescent="0.35">
      <c r="A69" s="97" t="s">
        <v>861</v>
      </c>
      <c r="B69" s="113" t="s">
        <v>778</v>
      </c>
      <c r="C69" s="75">
        <v>400</v>
      </c>
      <c r="D69" s="82">
        <v>6.2</v>
      </c>
      <c r="E69" s="82">
        <v>0.4</v>
      </c>
      <c r="F69" s="82">
        <v>3.2</v>
      </c>
      <c r="G69" s="92" t="s">
        <v>39</v>
      </c>
      <c r="H69" s="92" t="s">
        <v>39</v>
      </c>
      <c r="I69" s="82">
        <v>6.2</v>
      </c>
      <c r="J69" s="82">
        <v>9.4</v>
      </c>
      <c r="K69" s="98" t="s">
        <v>862</v>
      </c>
    </row>
    <row r="70" spans="1:11" ht="15" customHeight="1" x14ac:dyDescent="0.35">
      <c r="A70" s="36" t="s">
        <v>861</v>
      </c>
      <c r="B70" s="112" t="s">
        <v>778</v>
      </c>
      <c r="C70" s="78">
        <v>1000</v>
      </c>
      <c r="D70" s="83">
        <v>6.2</v>
      </c>
      <c r="E70" s="83">
        <v>0.4</v>
      </c>
      <c r="F70" s="83">
        <v>1.9</v>
      </c>
      <c r="G70" s="93" t="s">
        <v>39</v>
      </c>
      <c r="H70" s="93" t="s">
        <v>39</v>
      </c>
      <c r="I70" s="83">
        <v>6.2</v>
      </c>
      <c r="J70" s="83">
        <v>8.1</v>
      </c>
      <c r="K70" s="39" t="s">
        <v>862</v>
      </c>
    </row>
    <row r="71" spans="1:11" ht="15" customHeight="1" x14ac:dyDescent="0.35">
      <c r="A71" s="97" t="s">
        <v>861</v>
      </c>
      <c r="B71" s="113" t="s">
        <v>785</v>
      </c>
      <c r="C71" s="75">
        <v>1000</v>
      </c>
      <c r="D71" s="82">
        <v>7</v>
      </c>
      <c r="E71" s="82">
        <v>0.4</v>
      </c>
      <c r="F71" s="82">
        <v>0</v>
      </c>
      <c r="G71" s="82">
        <v>6.6</v>
      </c>
      <c r="H71" s="82">
        <v>6.6</v>
      </c>
      <c r="I71" s="82">
        <v>7</v>
      </c>
      <c r="J71" s="82">
        <v>7</v>
      </c>
      <c r="K71" s="98" t="s">
        <v>862</v>
      </c>
    </row>
    <row r="72" spans="1:11" ht="15" customHeight="1" x14ac:dyDescent="0.35">
      <c r="A72" s="36" t="s">
        <v>863</v>
      </c>
      <c r="B72" s="112" t="s">
        <v>778</v>
      </c>
      <c r="C72" s="78">
        <v>10</v>
      </c>
      <c r="D72" s="83">
        <v>8.51</v>
      </c>
      <c r="E72" s="83">
        <v>0.4</v>
      </c>
      <c r="F72" s="83">
        <v>4.75</v>
      </c>
      <c r="G72" s="83">
        <v>8.11</v>
      </c>
      <c r="H72" s="83">
        <v>12.87</v>
      </c>
      <c r="I72" s="83">
        <v>8.51</v>
      </c>
      <c r="J72" s="83">
        <v>13.27</v>
      </c>
      <c r="K72" s="39" t="s">
        <v>862</v>
      </c>
    </row>
    <row r="73" spans="1:11" ht="15" customHeight="1" x14ac:dyDescent="0.35">
      <c r="A73" s="97" t="s">
        <v>863</v>
      </c>
      <c r="B73" s="113" t="s">
        <v>778</v>
      </c>
      <c r="C73" s="75">
        <v>40</v>
      </c>
      <c r="D73" s="82">
        <v>7.43</v>
      </c>
      <c r="E73" s="82">
        <v>0.4</v>
      </c>
      <c r="F73" s="82">
        <v>3.76</v>
      </c>
      <c r="G73" s="82">
        <v>7.03</v>
      </c>
      <c r="H73" s="82">
        <v>10.79</v>
      </c>
      <c r="I73" s="82">
        <v>7.43</v>
      </c>
      <c r="J73" s="82">
        <v>11.19</v>
      </c>
      <c r="K73" s="98" t="s">
        <v>862</v>
      </c>
    </row>
    <row r="74" spans="1:11" ht="15" customHeight="1" x14ac:dyDescent="0.35">
      <c r="A74" s="36" t="s">
        <v>863</v>
      </c>
      <c r="B74" s="112" t="s">
        <v>778</v>
      </c>
      <c r="C74" s="78">
        <v>100</v>
      </c>
      <c r="D74" s="83">
        <v>6.14</v>
      </c>
      <c r="E74" s="83">
        <v>0.4</v>
      </c>
      <c r="F74" s="83">
        <v>5.05</v>
      </c>
      <c r="G74" s="83">
        <v>5.74</v>
      </c>
      <c r="H74" s="83">
        <v>10.79</v>
      </c>
      <c r="I74" s="83">
        <v>6.14</v>
      </c>
      <c r="J74" s="83">
        <v>11.19</v>
      </c>
      <c r="K74" s="39" t="s">
        <v>862</v>
      </c>
    </row>
    <row r="75" spans="1:11" ht="15" customHeight="1" x14ac:dyDescent="0.35">
      <c r="A75" s="97" t="s">
        <v>863</v>
      </c>
      <c r="B75" s="113" t="s">
        <v>778</v>
      </c>
      <c r="C75" s="75">
        <v>400</v>
      </c>
      <c r="D75" s="82">
        <v>6.14</v>
      </c>
      <c r="E75" s="82">
        <v>0.4</v>
      </c>
      <c r="F75" s="82">
        <v>3.17</v>
      </c>
      <c r="G75" s="92" t="s">
        <v>39</v>
      </c>
      <c r="H75" s="92" t="s">
        <v>39</v>
      </c>
      <c r="I75" s="82">
        <v>6.14</v>
      </c>
      <c r="J75" s="82">
        <v>9.31</v>
      </c>
      <c r="K75" s="98" t="s">
        <v>862</v>
      </c>
    </row>
    <row r="76" spans="1:11" ht="15" customHeight="1" x14ac:dyDescent="0.35">
      <c r="A76" s="36" t="s">
        <v>863</v>
      </c>
      <c r="B76" s="112" t="s">
        <v>778</v>
      </c>
      <c r="C76" s="78">
        <v>1000</v>
      </c>
      <c r="D76" s="83">
        <v>6.14</v>
      </c>
      <c r="E76" s="83">
        <v>0.4</v>
      </c>
      <c r="F76" s="83">
        <v>1.88</v>
      </c>
      <c r="G76" s="93" t="s">
        <v>39</v>
      </c>
      <c r="H76" s="93" t="s">
        <v>39</v>
      </c>
      <c r="I76" s="83">
        <v>6.14</v>
      </c>
      <c r="J76" s="83">
        <v>8.02</v>
      </c>
      <c r="K76" s="39" t="s">
        <v>862</v>
      </c>
    </row>
    <row r="77" spans="1:11" ht="15" customHeight="1" x14ac:dyDescent="0.35">
      <c r="A77" s="97" t="s">
        <v>863</v>
      </c>
      <c r="B77" s="113" t="s">
        <v>785</v>
      </c>
      <c r="C77" s="75">
        <v>1000</v>
      </c>
      <c r="D77" s="82">
        <v>6.93</v>
      </c>
      <c r="E77" s="82">
        <v>0.4</v>
      </c>
      <c r="F77" s="82">
        <v>0</v>
      </c>
      <c r="G77" s="82">
        <v>6.53</v>
      </c>
      <c r="H77" s="82">
        <v>6.53</v>
      </c>
      <c r="I77" s="82">
        <v>6.93</v>
      </c>
      <c r="J77" s="82">
        <v>6.93</v>
      </c>
      <c r="K77" s="98" t="s">
        <v>862</v>
      </c>
    </row>
    <row r="78" spans="1:11" ht="42" customHeight="1" x14ac:dyDescent="0.35">
      <c r="A78" s="9" t="s">
        <v>864</v>
      </c>
      <c r="B78" s="9"/>
      <c r="C78" s="9"/>
      <c r="D78" s="9"/>
      <c r="E78" s="9"/>
      <c r="F78" s="9"/>
      <c r="G78" s="9"/>
      <c r="H78" s="9"/>
      <c r="I78" s="9"/>
      <c r="J78" s="9"/>
      <c r="K78" s="9"/>
    </row>
  </sheetData>
  <autoFilter ref="A65:K77" xr:uid="{00000000-0009-0000-0000-000006000000}"/>
  <mergeCells count="28">
    <mergeCell ref="A61:K61"/>
    <mergeCell ref="A64:K64"/>
    <mergeCell ref="A78:K78"/>
    <mergeCell ref="C54:E54"/>
    <mergeCell ref="B55:H55"/>
    <mergeCell ref="A56:K56"/>
    <mergeCell ref="A59:K59"/>
    <mergeCell ref="A60:K60"/>
    <mergeCell ref="D40:H40"/>
    <mergeCell ref="C50:E50"/>
    <mergeCell ref="C51:E51"/>
    <mergeCell ref="C52:E52"/>
    <mergeCell ref="C53:E53"/>
    <mergeCell ref="E33:F33"/>
    <mergeCell ref="E34:F34"/>
    <mergeCell ref="E35:F35"/>
    <mergeCell ref="E36:F36"/>
    <mergeCell ref="A39:K39"/>
    <mergeCell ref="E24:F24"/>
    <mergeCell ref="E25:F25"/>
    <mergeCell ref="C28:F28"/>
    <mergeCell ref="C29:F29"/>
    <mergeCell ref="C30:F30"/>
    <mergeCell ref="A1:K1"/>
    <mergeCell ref="A2:K2"/>
    <mergeCell ref="E21:F21"/>
    <mergeCell ref="E22:F22"/>
    <mergeCell ref="E23:F23"/>
  </mergeCells>
  <pageMargins left="0.5" right="0.4" top="0.6" bottom="0.6" header="0.511811023622047" footer="0.3"/>
  <pageSetup paperSize="9" fitToHeight="0" orientation="landscape" horizontalDpi="300" verticalDpi="300"/>
  <headerFooter>
    <oddFooter>&amp;L&amp;8 Betreibermodelle und Verguetungen Photovoltaik - Stand: 25.08.2026&amp;R&amp;8 Seite &amp;P von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37"/>
  <sheetViews>
    <sheetView zoomScaleNormal="100" workbookViewId="0">
      <pane ySplit="3" topLeftCell="A4" activePane="bottomLeft" state="frozen"/>
      <selection pane="bottomLeft"/>
    </sheetView>
  </sheetViews>
  <sheetFormatPr baseColWidth="10" defaultColWidth="8.6328125" defaultRowHeight="14.5" x14ac:dyDescent="0.35"/>
  <cols>
    <col min="1" max="1" width="46" customWidth="1"/>
    <col min="2" max="6" width="20" customWidth="1"/>
    <col min="7" max="7" width="30" customWidth="1"/>
    <col min="8" max="8" width="16" customWidth="1"/>
  </cols>
  <sheetData>
    <row r="1" spans="1:8" ht="19.5" customHeight="1" x14ac:dyDescent="0.4">
      <c r="A1" s="14" t="s">
        <v>865</v>
      </c>
      <c r="B1" s="14"/>
      <c r="C1" s="14"/>
      <c r="D1" s="14"/>
      <c r="E1" s="14"/>
      <c r="F1" s="14"/>
      <c r="G1" s="14"/>
      <c r="H1" s="14"/>
    </row>
    <row r="2" spans="1:8" ht="13.5" customHeight="1" x14ac:dyDescent="0.35">
      <c r="A2" s="13" t="s">
        <v>866</v>
      </c>
      <c r="B2" s="13"/>
      <c r="C2" s="13"/>
      <c r="D2" s="13"/>
      <c r="E2" s="13"/>
      <c r="F2" s="13"/>
      <c r="G2" s="13"/>
      <c r="H2" s="13"/>
    </row>
    <row r="4" spans="1:8" ht="18" customHeight="1" x14ac:dyDescent="0.35">
      <c r="A4" s="15" t="s">
        <v>867</v>
      </c>
      <c r="B4" s="15"/>
      <c r="C4" s="15"/>
      <c r="D4" s="15"/>
      <c r="E4" s="15"/>
      <c r="F4" s="15"/>
      <c r="G4" s="15"/>
      <c r="H4" s="15"/>
    </row>
    <row r="5" spans="1:8" ht="42" customHeight="1" x14ac:dyDescent="0.35">
      <c r="A5" s="16" t="s">
        <v>796</v>
      </c>
      <c r="B5" s="16" t="s">
        <v>868</v>
      </c>
      <c r="C5" s="16" t="s">
        <v>869</v>
      </c>
      <c r="D5" s="16" t="s">
        <v>870</v>
      </c>
      <c r="E5" s="16" t="s">
        <v>871</v>
      </c>
      <c r="F5" s="16" t="s">
        <v>872</v>
      </c>
      <c r="G5" s="16" t="s">
        <v>798</v>
      </c>
      <c r="H5" s="16" t="s">
        <v>110</v>
      </c>
    </row>
    <row r="6" spans="1:8" ht="15" customHeight="1" x14ac:dyDescent="0.35">
      <c r="A6" s="36" t="s">
        <v>873</v>
      </c>
      <c r="B6" s="112" t="s">
        <v>874</v>
      </c>
      <c r="C6" s="96">
        <v>4.9400000000000004</v>
      </c>
      <c r="D6" s="83">
        <v>5.79</v>
      </c>
      <c r="E6" s="83">
        <v>3.99</v>
      </c>
      <c r="F6" s="83">
        <v>5.0999999999999996</v>
      </c>
      <c r="G6" s="18" t="s">
        <v>875</v>
      </c>
      <c r="H6" s="39" t="s">
        <v>876</v>
      </c>
    </row>
    <row r="7" spans="1:8" ht="15" customHeight="1" x14ac:dyDescent="0.35">
      <c r="A7" s="97" t="s">
        <v>873</v>
      </c>
      <c r="B7" s="113" t="s">
        <v>877</v>
      </c>
      <c r="C7" s="101">
        <v>4.79</v>
      </c>
      <c r="D7" s="82">
        <v>5.9</v>
      </c>
      <c r="E7" s="82">
        <v>4.38</v>
      </c>
      <c r="F7" s="82">
        <v>4.97</v>
      </c>
      <c r="G7" s="34"/>
      <c r="H7" s="98" t="s">
        <v>876</v>
      </c>
    </row>
    <row r="8" spans="1:8" ht="15" customHeight="1" x14ac:dyDescent="0.35">
      <c r="A8" s="36" t="s">
        <v>873</v>
      </c>
      <c r="B8" s="112" t="s">
        <v>878</v>
      </c>
      <c r="C8" s="96">
        <v>4.66</v>
      </c>
      <c r="D8" s="93" t="s">
        <v>39</v>
      </c>
      <c r="E8" s="93" t="s">
        <v>39</v>
      </c>
      <c r="F8" s="93" t="s">
        <v>39</v>
      </c>
      <c r="G8" s="18"/>
      <c r="H8" s="39" t="s">
        <v>876</v>
      </c>
    </row>
    <row r="9" spans="1:8" ht="15" customHeight="1" x14ac:dyDescent="0.35">
      <c r="A9" s="97" t="s">
        <v>873</v>
      </c>
      <c r="B9" s="113" t="s">
        <v>879</v>
      </c>
      <c r="C9" s="101">
        <v>4.84</v>
      </c>
      <c r="D9" s="92" t="s">
        <v>39</v>
      </c>
      <c r="E9" s="92" t="s">
        <v>39</v>
      </c>
      <c r="F9" s="92" t="s">
        <v>39</v>
      </c>
      <c r="G9" s="34"/>
      <c r="H9" s="98" t="s">
        <v>876</v>
      </c>
    </row>
    <row r="10" spans="1:8" ht="15" customHeight="1" x14ac:dyDescent="0.35">
      <c r="A10" s="36" t="s">
        <v>873</v>
      </c>
      <c r="B10" s="112" t="s">
        <v>880</v>
      </c>
      <c r="C10" s="96">
        <v>5</v>
      </c>
      <c r="D10" s="93" t="s">
        <v>39</v>
      </c>
      <c r="E10" s="93" t="s">
        <v>39</v>
      </c>
      <c r="F10" s="93" t="s">
        <v>39</v>
      </c>
      <c r="G10" s="18"/>
      <c r="H10" s="39" t="s">
        <v>876</v>
      </c>
    </row>
    <row r="11" spans="1:8" ht="15" customHeight="1" x14ac:dyDescent="0.35">
      <c r="A11" s="97" t="s">
        <v>802</v>
      </c>
      <c r="B11" s="113" t="s">
        <v>881</v>
      </c>
      <c r="C11" s="101">
        <v>9.56</v>
      </c>
      <c r="D11" s="82">
        <v>10</v>
      </c>
      <c r="E11" s="92" t="s">
        <v>39</v>
      </c>
      <c r="F11" s="92" t="s">
        <v>39</v>
      </c>
      <c r="G11" s="114" t="s">
        <v>882</v>
      </c>
      <c r="H11" s="98" t="s">
        <v>883</v>
      </c>
    </row>
    <row r="12" spans="1:8" ht="15" customHeight="1" x14ac:dyDescent="0.35">
      <c r="A12" s="36" t="s">
        <v>802</v>
      </c>
      <c r="B12" s="112" t="s">
        <v>884</v>
      </c>
      <c r="C12" s="96">
        <v>9.7200000000000006</v>
      </c>
      <c r="D12" s="83">
        <v>10</v>
      </c>
      <c r="E12" s="93" t="s">
        <v>39</v>
      </c>
      <c r="F12" s="93" t="s">
        <v>39</v>
      </c>
      <c r="G12" s="103" t="s">
        <v>885</v>
      </c>
      <c r="H12" s="39" t="s">
        <v>883</v>
      </c>
    </row>
    <row r="13" spans="1:8" ht="45.75" customHeight="1" x14ac:dyDescent="0.35">
      <c r="A13" s="97" t="s">
        <v>802</v>
      </c>
      <c r="B13" s="113" t="s">
        <v>878</v>
      </c>
      <c r="C13" s="101">
        <v>9.1</v>
      </c>
      <c r="D13" s="92" t="s">
        <v>39</v>
      </c>
      <c r="E13" s="92" t="s">
        <v>39</v>
      </c>
      <c r="F13" s="92" t="s">
        <v>39</v>
      </c>
      <c r="G13" s="34" t="s">
        <v>886</v>
      </c>
      <c r="H13" s="98" t="s">
        <v>883</v>
      </c>
    </row>
    <row r="14" spans="1:8" ht="23.25" customHeight="1" x14ac:dyDescent="0.35">
      <c r="A14" s="36" t="s">
        <v>802</v>
      </c>
      <c r="B14" s="112" t="s">
        <v>879</v>
      </c>
      <c r="C14" s="96">
        <v>9.2200000000000006</v>
      </c>
      <c r="D14" s="93" t="s">
        <v>39</v>
      </c>
      <c r="E14" s="93" t="s">
        <v>39</v>
      </c>
      <c r="F14" s="93" t="s">
        <v>39</v>
      </c>
      <c r="G14" s="18" t="s">
        <v>887</v>
      </c>
      <c r="H14" s="39" t="s">
        <v>883</v>
      </c>
    </row>
    <row r="15" spans="1:8" ht="23.25" customHeight="1" x14ac:dyDescent="0.35">
      <c r="A15" s="97" t="s">
        <v>802</v>
      </c>
      <c r="B15" s="113" t="s">
        <v>880</v>
      </c>
      <c r="C15" s="101">
        <v>9.66</v>
      </c>
      <c r="D15" s="92" t="s">
        <v>39</v>
      </c>
      <c r="E15" s="92" t="s">
        <v>39</v>
      </c>
      <c r="F15" s="92" t="s">
        <v>39</v>
      </c>
      <c r="G15" s="34" t="s">
        <v>887</v>
      </c>
      <c r="H15" s="98" t="s">
        <v>883</v>
      </c>
    </row>
    <row r="16" spans="1:8" ht="27.75" customHeight="1" x14ac:dyDescent="0.35">
      <c r="A16" s="9" t="s">
        <v>888</v>
      </c>
      <c r="B16" s="9"/>
      <c r="C16" s="9"/>
      <c r="D16" s="9"/>
      <c r="E16" s="9"/>
      <c r="F16" s="9"/>
      <c r="G16" s="9"/>
      <c r="H16" s="9"/>
    </row>
    <row r="18" spans="1:8" ht="18" customHeight="1" x14ac:dyDescent="0.35">
      <c r="A18" s="15" t="s">
        <v>889</v>
      </c>
      <c r="B18" s="15"/>
      <c r="C18" s="15"/>
      <c r="D18" s="15"/>
      <c r="E18" s="15"/>
      <c r="F18" s="15"/>
      <c r="G18" s="15"/>
      <c r="H18" s="15"/>
    </row>
    <row r="19" spans="1:8" ht="19.5" customHeight="1" x14ac:dyDescent="0.35">
      <c r="A19" s="16" t="s">
        <v>890</v>
      </c>
      <c r="B19" s="16" t="s">
        <v>891</v>
      </c>
      <c r="C19" s="16" t="s">
        <v>892</v>
      </c>
      <c r="D19" s="16" t="s">
        <v>893</v>
      </c>
      <c r="E19" s="16" t="s">
        <v>894</v>
      </c>
      <c r="F19" s="16" t="s">
        <v>895</v>
      </c>
      <c r="G19" s="16" t="s">
        <v>896</v>
      </c>
      <c r="H19" s="16" t="s">
        <v>897</v>
      </c>
    </row>
    <row r="20" spans="1:8" ht="15" customHeight="1" x14ac:dyDescent="0.35">
      <c r="A20" s="97" t="s">
        <v>898</v>
      </c>
      <c r="B20" s="115">
        <v>11.019</v>
      </c>
      <c r="C20" s="115">
        <v>7.7169999999999996</v>
      </c>
      <c r="D20" s="115">
        <v>5.4550000000000001</v>
      </c>
      <c r="E20" s="116">
        <v>1.3169999999999999</v>
      </c>
      <c r="F20" s="115">
        <v>3.1629999999999998</v>
      </c>
      <c r="G20" s="115">
        <v>6.19</v>
      </c>
      <c r="H20" s="115">
        <v>5.226</v>
      </c>
    </row>
    <row r="21" spans="1:8" ht="27.75" customHeight="1" x14ac:dyDescent="0.35">
      <c r="A21" s="9" t="s">
        <v>899</v>
      </c>
      <c r="B21" s="9"/>
      <c r="C21" s="9"/>
      <c r="D21" s="9"/>
      <c r="E21" s="9"/>
      <c r="F21" s="9"/>
      <c r="G21" s="9"/>
      <c r="H21" s="9"/>
    </row>
    <row r="23" spans="1:8" ht="18" customHeight="1" x14ac:dyDescent="0.35">
      <c r="A23" s="15" t="s">
        <v>900</v>
      </c>
      <c r="B23" s="15"/>
      <c r="C23" s="15"/>
      <c r="D23" s="15"/>
      <c r="E23" s="15"/>
      <c r="F23" s="15"/>
      <c r="G23" s="15"/>
      <c r="H23" s="15"/>
    </row>
    <row r="24" spans="1:8" ht="30" customHeight="1" x14ac:dyDescent="0.35">
      <c r="A24" s="16" t="s">
        <v>901</v>
      </c>
      <c r="B24" s="16" t="s">
        <v>492</v>
      </c>
      <c r="C24" s="16" t="s">
        <v>491</v>
      </c>
      <c r="D24" s="8" t="s">
        <v>798</v>
      </c>
      <c r="E24" s="8"/>
      <c r="F24" s="8"/>
      <c r="G24" s="8"/>
      <c r="H24" s="16" t="s">
        <v>110</v>
      </c>
    </row>
    <row r="25" spans="1:8" ht="33.75" customHeight="1" x14ac:dyDescent="0.35">
      <c r="A25" s="23" t="s">
        <v>902</v>
      </c>
      <c r="B25" s="117">
        <v>4.508</v>
      </c>
      <c r="C25" s="39" t="s">
        <v>530</v>
      </c>
      <c r="D25" s="10" t="s">
        <v>903</v>
      </c>
      <c r="E25" s="10"/>
      <c r="F25" s="10"/>
      <c r="G25" s="10"/>
      <c r="H25" s="39" t="s">
        <v>904</v>
      </c>
    </row>
    <row r="26" spans="1:8" ht="33.75" customHeight="1" x14ac:dyDescent="0.35">
      <c r="A26" s="30" t="s">
        <v>905</v>
      </c>
      <c r="B26" s="118">
        <v>4.6239999999999997</v>
      </c>
      <c r="C26" s="98" t="s">
        <v>530</v>
      </c>
      <c r="D26" s="7"/>
      <c r="E26" s="7"/>
      <c r="F26" s="7"/>
      <c r="G26" s="7"/>
      <c r="H26" s="98" t="s">
        <v>904</v>
      </c>
    </row>
    <row r="27" spans="1:8" ht="33.75" customHeight="1" x14ac:dyDescent="0.35">
      <c r="A27" s="23" t="s">
        <v>906</v>
      </c>
      <c r="B27" s="119">
        <v>8.9320000000000004</v>
      </c>
      <c r="C27" s="39" t="s">
        <v>530</v>
      </c>
      <c r="D27" s="10"/>
      <c r="E27" s="10"/>
      <c r="F27" s="10"/>
      <c r="G27" s="10"/>
      <c r="H27" s="39" t="s">
        <v>907</v>
      </c>
    </row>
    <row r="28" spans="1:8" ht="33.75" customHeight="1" x14ac:dyDescent="0.35">
      <c r="A28" s="30" t="s">
        <v>908</v>
      </c>
      <c r="B28" s="82">
        <v>6.17</v>
      </c>
      <c r="C28" s="98" t="s">
        <v>530</v>
      </c>
      <c r="D28" s="7" t="s">
        <v>909</v>
      </c>
      <c r="E28" s="7"/>
      <c r="F28" s="7"/>
      <c r="G28" s="7"/>
      <c r="H28" s="98" t="s">
        <v>907</v>
      </c>
    </row>
    <row r="29" spans="1:8" ht="33.75" customHeight="1" x14ac:dyDescent="0.35">
      <c r="A29" s="23" t="s">
        <v>910</v>
      </c>
      <c r="B29" s="83">
        <v>3.5</v>
      </c>
      <c r="C29" s="39" t="s">
        <v>530</v>
      </c>
      <c r="D29" s="10" t="s">
        <v>911</v>
      </c>
      <c r="E29" s="10"/>
      <c r="F29" s="10"/>
      <c r="G29" s="10"/>
      <c r="H29" s="39" t="s">
        <v>912</v>
      </c>
    </row>
    <row r="30" spans="1:8" ht="33.75" customHeight="1" x14ac:dyDescent="0.35">
      <c r="A30" s="30" t="s">
        <v>913</v>
      </c>
      <c r="B30" s="82">
        <v>4.5</v>
      </c>
      <c r="C30" s="98" t="s">
        <v>530</v>
      </c>
      <c r="D30" s="7" t="s">
        <v>911</v>
      </c>
      <c r="E30" s="7"/>
      <c r="F30" s="7"/>
      <c r="G30" s="7"/>
      <c r="H30" s="98" t="s">
        <v>912</v>
      </c>
    </row>
    <row r="31" spans="1:8" ht="33.75" customHeight="1" x14ac:dyDescent="0.35">
      <c r="A31" s="120" t="s">
        <v>914</v>
      </c>
      <c r="B31" s="121">
        <v>37</v>
      </c>
      <c r="C31" s="122" t="s">
        <v>530</v>
      </c>
      <c r="D31" s="152" t="s">
        <v>915</v>
      </c>
      <c r="E31" s="152"/>
      <c r="F31" s="152"/>
      <c r="G31" s="152"/>
      <c r="H31" s="122" t="s">
        <v>916</v>
      </c>
    </row>
    <row r="32" spans="1:8" ht="33.75" customHeight="1" x14ac:dyDescent="0.35">
      <c r="A32" s="30" t="s">
        <v>917</v>
      </c>
      <c r="B32" s="82">
        <v>17.2</v>
      </c>
      <c r="C32" s="98" t="s">
        <v>918</v>
      </c>
      <c r="D32" s="7" t="s">
        <v>919</v>
      </c>
      <c r="E32" s="7"/>
      <c r="F32" s="7"/>
      <c r="G32" s="7"/>
      <c r="H32" s="98" t="s">
        <v>916</v>
      </c>
    </row>
    <row r="34" spans="1:8" ht="18" customHeight="1" x14ac:dyDescent="0.35">
      <c r="A34" s="15" t="s">
        <v>920</v>
      </c>
      <c r="B34" s="15"/>
      <c r="C34" s="15"/>
      <c r="D34" s="15"/>
      <c r="E34" s="15"/>
      <c r="F34" s="15"/>
      <c r="G34" s="15"/>
      <c r="H34" s="15"/>
    </row>
    <row r="35" spans="1:8" ht="57.75" customHeight="1" x14ac:dyDescent="0.35">
      <c r="A35" s="12" t="s">
        <v>921</v>
      </c>
      <c r="B35" s="12"/>
      <c r="C35" s="12"/>
      <c r="D35" s="12"/>
      <c r="E35" s="12"/>
      <c r="F35" s="12"/>
      <c r="G35" s="12"/>
      <c r="H35" s="12"/>
    </row>
    <row r="37" spans="1:8" ht="30" customHeight="1" x14ac:dyDescent="0.35">
      <c r="A37" s="11" t="s">
        <v>922</v>
      </c>
      <c r="B37" s="11"/>
      <c r="C37" s="11"/>
      <c r="D37" s="11"/>
      <c r="E37" s="11"/>
      <c r="F37" s="11"/>
      <c r="G37" s="11"/>
      <c r="H37" s="11"/>
    </row>
  </sheetData>
  <autoFilter ref="A5:H15" xr:uid="{00000000-0009-0000-0000-000007000000}"/>
  <mergeCells count="15">
    <mergeCell ref="D30:G30"/>
    <mergeCell ref="D31:G31"/>
    <mergeCell ref="D32:G32"/>
    <mergeCell ref="A35:H35"/>
    <mergeCell ref="A37:H37"/>
    <mergeCell ref="D25:G25"/>
    <mergeCell ref="D26:G26"/>
    <mergeCell ref="D27:G27"/>
    <mergeCell ref="D28:G28"/>
    <mergeCell ref="D29:G29"/>
    <mergeCell ref="A1:H1"/>
    <mergeCell ref="A2:H2"/>
    <mergeCell ref="A16:H16"/>
    <mergeCell ref="A21:H21"/>
    <mergeCell ref="D24:G24"/>
  </mergeCells>
  <pageMargins left="0.5" right="0.4" top="0.6" bottom="0.6" header="0.511811023622047" footer="0.3"/>
  <pageSetup paperSize="9" fitToHeight="0" orientation="landscape" horizontalDpi="300" verticalDpi="300"/>
  <headerFooter>
    <oddFooter>&amp;L&amp;8 Betreibermodelle und Verguetungen Photovoltaik - Stand: 25.08.2026&amp;R&amp;8 Seite &amp;P von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94"/>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328125" defaultRowHeight="14.5" x14ac:dyDescent="0.35"/>
  <cols>
    <col min="1" max="1" width="22" customWidth="1"/>
    <col min="2" max="2" width="46" customWidth="1"/>
    <col min="3" max="3" width="14" customWidth="1"/>
    <col min="4" max="4" width="26" customWidth="1"/>
    <col min="5" max="5" width="30" customWidth="1"/>
    <col min="6" max="6" width="24" customWidth="1"/>
    <col min="7" max="7" width="54" customWidth="1"/>
  </cols>
  <sheetData>
    <row r="1" spans="1:7" ht="19.5" customHeight="1" x14ac:dyDescent="0.4">
      <c r="A1" s="14" t="s">
        <v>923</v>
      </c>
      <c r="B1" s="14"/>
      <c r="C1" s="14"/>
      <c r="D1" s="14"/>
      <c r="E1" s="14"/>
      <c r="F1" s="14"/>
      <c r="G1" s="14"/>
    </row>
    <row r="2" spans="1:7" ht="13.5" customHeight="1" x14ac:dyDescent="0.35">
      <c r="A2" s="13" t="s">
        <v>924</v>
      </c>
      <c r="B2" s="13"/>
      <c r="C2" s="13"/>
      <c r="D2" s="13"/>
      <c r="E2" s="13"/>
      <c r="F2" s="13"/>
      <c r="G2" s="13"/>
    </row>
    <row r="4" spans="1:7" ht="42" customHeight="1" x14ac:dyDescent="0.35">
      <c r="A4" s="16" t="s">
        <v>925</v>
      </c>
      <c r="B4" s="16" t="s">
        <v>926</v>
      </c>
      <c r="C4" s="16" t="s">
        <v>491</v>
      </c>
      <c r="D4" s="16" t="s">
        <v>927</v>
      </c>
      <c r="E4" s="16" t="s">
        <v>928</v>
      </c>
      <c r="F4" s="16" t="s">
        <v>929</v>
      </c>
      <c r="G4" s="16" t="s">
        <v>930</v>
      </c>
    </row>
    <row r="5" spans="1:7" ht="25.5" customHeight="1" x14ac:dyDescent="0.35">
      <c r="A5" s="28" t="s">
        <v>931</v>
      </c>
      <c r="B5" s="18" t="s">
        <v>932</v>
      </c>
      <c r="C5" s="40" t="s">
        <v>933</v>
      </c>
      <c r="D5" s="18" t="s">
        <v>934</v>
      </c>
      <c r="E5" s="18" t="s">
        <v>934</v>
      </c>
      <c r="F5" s="40" t="s">
        <v>39</v>
      </c>
      <c r="G5" s="28" t="s">
        <v>935</v>
      </c>
    </row>
    <row r="6" spans="1:7" ht="25.5" customHeight="1" x14ac:dyDescent="0.35">
      <c r="A6" s="28" t="s">
        <v>931</v>
      </c>
      <c r="B6" s="18" t="s">
        <v>494</v>
      </c>
      <c r="C6" s="40" t="s">
        <v>495</v>
      </c>
      <c r="D6" s="83">
        <v>30</v>
      </c>
      <c r="E6" s="83">
        <v>30</v>
      </c>
      <c r="F6" s="123">
        <f>D6-E6</f>
        <v>0</v>
      </c>
      <c r="G6" s="28"/>
    </row>
    <row r="7" spans="1:7" ht="25.5" customHeight="1" x14ac:dyDescent="0.35">
      <c r="A7" s="28" t="s">
        <v>931</v>
      </c>
      <c r="B7" s="18" t="s">
        <v>804</v>
      </c>
      <c r="C7" s="40" t="s">
        <v>933</v>
      </c>
      <c r="D7" s="18" t="s">
        <v>936</v>
      </c>
      <c r="E7" s="18" t="s">
        <v>936</v>
      </c>
      <c r="F7" s="40" t="s">
        <v>39</v>
      </c>
      <c r="G7" s="28" t="s">
        <v>937</v>
      </c>
    </row>
    <row r="8" spans="1:7" ht="25.5" customHeight="1" x14ac:dyDescent="0.35">
      <c r="A8" s="28" t="s">
        <v>931</v>
      </c>
      <c r="B8" s="18" t="s">
        <v>938</v>
      </c>
      <c r="C8" s="40" t="s">
        <v>933</v>
      </c>
      <c r="D8" s="18" t="s">
        <v>939</v>
      </c>
      <c r="E8" s="18" t="s">
        <v>939</v>
      </c>
      <c r="F8" s="40" t="s">
        <v>39</v>
      </c>
      <c r="G8" s="28" t="s">
        <v>940</v>
      </c>
    </row>
    <row r="9" spans="1:7" ht="25.5" customHeight="1" x14ac:dyDescent="0.35">
      <c r="A9" s="28" t="s">
        <v>931</v>
      </c>
      <c r="B9" s="18" t="s">
        <v>941</v>
      </c>
      <c r="C9" s="40" t="s">
        <v>933</v>
      </c>
      <c r="D9" s="18" t="s">
        <v>942</v>
      </c>
      <c r="E9" s="18" t="s">
        <v>942</v>
      </c>
      <c r="F9" s="40" t="s">
        <v>39</v>
      </c>
      <c r="G9" s="28"/>
    </row>
    <row r="10" spans="1:7" ht="25.5" customHeight="1" x14ac:dyDescent="0.35">
      <c r="A10" s="28" t="s">
        <v>931</v>
      </c>
      <c r="B10" s="18" t="s">
        <v>943</v>
      </c>
      <c r="C10" s="40" t="s">
        <v>933</v>
      </c>
      <c r="D10" s="18" t="s">
        <v>944</v>
      </c>
      <c r="E10" s="18" t="s">
        <v>944</v>
      </c>
      <c r="F10" s="40" t="s">
        <v>39</v>
      </c>
      <c r="G10" s="28"/>
    </row>
    <row r="11" spans="1:7" ht="25.5" customHeight="1" x14ac:dyDescent="0.35">
      <c r="A11" s="28" t="s">
        <v>931</v>
      </c>
      <c r="B11" s="18" t="s">
        <v>945</v>
      </c>
      <c r="C11" s="40" t="s">
        <v>933</v>
      </c>
      <c r="D11" s="18" t="s">
        <v>946</v>
      </c>
      <c r="E11" s="18" t="s">
        <v>946</v>
      </c>
      <c r="F11" s="40" t="s">
        <v>39</v>
      </c>
      <c r="G11" s="28"/>
    </row>
    <row r="12" spans="1:7" ht="25.5" customHeight="1" x14ac:dyDescent="0.35">
      <c r="A12" s="28" t="s">
        <v>931</v>
      </c>
      <c r="B12" s="18" t="s">
        <v>497</v>
      </c>
      <c r="C12" s="40" t="s">
        <v>947</v>
      </c>
      <c r="D12" s="78">
        <v>1078</v>
      </c>
      <c r="E12" s="78">
        <v>1078</v>
      </c>
      <c r="F12" s="124">
        <f>D12-E12</f>
        <v>0</v>
      </c>
      <c r="G12" s="28"/>
    </row>
    <row r="13" spans="1:7" ht="25.5" customHeight="1" x14ac:dyDescent="0.35">
      <c r="A13" s="28" t="s">
        <v>931</v>
      </c>
      <c r="B13" s="18" t="s">
        <v>948</v>
      </c>
      <c r="C13" s="40" t="s">
        <v>519</v>
      </c>
      <c r="D13" s="78">
        <v>32340</v>
      </c>
      <c r="E13" s="78">
        <v>32340</v>
      </c>
      <c r="F13" s="124">
        <f>D13-E13</f>
        <v>0</v>
      </c>
      <c r="G13" s="28" t="s">
        <v>949</v>
      </c>
    </row>
    <row r="14" spans="1:7" ht="25.5" customHeight="1" x14ac:dyDescent="0.35">
      <c r="A14" s="28" t="s">
        <v>931</v>
      </c>
      <c r="B14" s="18" t="s">
        <v>950</v>
      </c>
      <c r="C14" s="40" t="s">
        <v>501</v>
      </c>
      <c r="D14" s="72">
        <v>0.05</v>
      </c>
      <c r="E14" s="72">
        <v>0.05</v>
      </c>
      <c r="F14" s="125">
        <f>D14-E14</f>
        <v>0</v>
      </c>
      <c r="G14" s="28"/>
    </row>
    <row r="15" spans="1:7" ht="25.5" customHeight="1" x14ac:dyDescent="0.35">
      <c r="A15" s="28" t="s">
        <v>931</v>
      </c>
      <c r="B15" s="18" t="s">
        <v>951</v>
      </c>
      <c r="C15" s="40" t="s">
        <v>933</v>
      </c>
      <c r="D15" s="18" t="s">
        <v>952</v>
      </c>
      <c r="E15" s="18" t="s">
        <v>952</v>
      </c>
      <c r="F15" s="40" t="s">
        <v>39</v>
      </c>
      <c r="G15" s="28"/>
    </row>
    <row r="16" spans="1:7" ht="25.5" customHeight="1" x14ac:dyDescent="0.35">
      <c r="A16" s="28" t="s">
        <v>931</v>
      </c>
      <c r="B16" s="18" t="s">
        <v>953</v>
      </c>
      <c r="C16" s="40" t="s">
        <v>504</v>
      </c>
      <c r="D16" s="68">
        <v>1800</v>
      </c>
      <c r="E16" s="68">
        <v>1800</v>
      </c>
      <c r="F16" s="126">
        <f>D16-E16</f>
        <v>0</v>
      </c>
      <c r="G16" s="28"/>
    </row>
    <row r="17" spans="1:7" ht="25.5" customHeight="1" x14ac:dyDescent="0.35">
      <c r="A17" s="28" t="s">
        <v>931</v>
      </c>
      <c r="B17" s="18" t="s">
        <v>506</v>
      </c>
      <c r="C17" s="40" t="s">
        <v>507</v>
      </c>
      <c r="D17" s="68">
        <v>54000</v>
      </c>
      <c r="E17" s="68">
        <v>54000</v>
      </c>
      <c r="F17" s="126">
        <f>D17-E17</f>
        <v>0</v>
      </c>
      <c r="G17" s="28" t="s">
        <v>954</v>
      </c>
    </row>
    <row r="18" spans="1:7" ht="25.5" customHeight="1" x14ac:dyDescent="0.35">
      <c r="A18" s="28" t="s">
        <v>931</v>
      </c>
      <c r="B18" s="18" t="s">
        <v>955</v>
      </c>
      <c r="C18" s="40" t="s">
        <v>933</v>
      </c>
      <c r="D18" s="18" t="s">
        <v>956</v>
      </c>
      <c r="E18" s="18" t="s">
        <v>956</v>
      </c>
      <c r="F18" s="40" t="s">
        <v>39</v>
      </c>
      <c r="G18" s="28"/>
    </row>
    <row r="19" spans="1:7" ht="25.5" customHeight="1" x14ac:dyDescent="0.35">
      <c r="A19" s="28" t="s">
        <v>931</v>
      </c>
      <c r="B19" s="18" t="s">
        <v>957</v>
      </c>
      <c r="C19" s="40" t="s">
        <v>501</v>
      </c>
      <c r="D19" s="72">
        <v>3.5000000000000003E-2</v>
      </c>
      <c r="E19" s="72">
        <v>3.5000000000000003E-2</v>
      </c>
      <c r="F19" s="125">
        <f>D19-E19</f>
        <v>0</v>
      </c>
      <c r="G19" s="28"/>
    </row>
    <row r="20" spans="1:7" ht="36" customHeight="1" x14ac:dyDescent="0.35">
      <c r="A20" s="28" t="s">
        <v>931</v>
      </c>
      <c r="B20" s="18" t="s">
        <v>958</v>
      </c>
      <c r="C20" s="40" t="s">
        <v>933</v>
      </c>
      <c r="D20" s="18" t="s">
        <v>959</v>
      </c>
      <c r="E20" s="18" t="s">
        <v>959</v>
      </c>
      <c r="F20" s="40" t="s">
        <v>39</v>
      </c>
      <c r="G20" s="28" t="s">
        <v>960</v>
      </c>
    </row>
    <row r="21" spans="1:7" ht="36" customHeight="1" x14ac:dyDescent="0.35">
      <c r="A21" s="35" t="s">
        <v>961</v>
      </c>
      <c r="B21" s="34" t="s">
        <v>962</v>
      </c>
      <c r="C21" s="42" t="s">
        <v>933</v>
      </c>
      <c r="D21" s="34" t="s">
        <v>963</v>
      </c>
      <c r="E21" s="34" t="s">
        <v>964</v>
      </c>
      <c r="F21" s="42" t="s">
        <v>39</v>
      </c>
      <c r="G21" s="35" t="s">
        <v>965</v>
      </c>
    </row>
    <row r="22" spans="1:7" ht="25.5" customHeight="1" x14ac:dyDescent="0.35">
      <c r="A22" s="35" t="s">
        <v>961</v>
      </c>
      <c r="B22" s="34" t="s">
        <v>966</v>
      </c>
      <c r="C22" s="42" t="s">
        <v>933</v>
      </c>
      <c r="D22" s="34" t="s">
        <v>967</v>
      </c>
      <c r="E22" s="34" t="s">
        <v>952</v>
      </c>
      <c r="F22" s="42" t="s">
        <v>39</v>
      </c>
      <c r="G22" s="35"/>
    </row>
    <row r="23" spans="1:7" ht="36" customHeight="1" x14ac:dyDescent="0.35">
      <c r="A23" s="35" t="s">
        <v>961</v>
      </c>
      <c r="B23" s="34" t="s">
        <v>968</v>
      </c>
      <c r="C23" s="42" t="s">
        <v>933</v>
      </c>
      <c r="D23" s="34" t="s">
        <v>969</v>
      </c>
      <c r="E23" s="34" t="s">
        <v>970</v>
      </c>
      <c r="F23" s="42" t="s">
        <v>39</v>
      </c>
      <c r="G23" s="35" t="s">
        <v>971</v>
      </c>
    </row>
    <row r="24" spans="1:7" ht="25.5" customHeight="1" x14ac:dyDescent="0.35">
      <c r="A24" s="35" t="s">
        <v>961</v>
      </c>
      <c r="B24" s="34" t="s">
        <v>972</v>
      </c>
      <c r="C24" s="42" t="s">
        <v>933</v>
      </c>
      <c r="D24" s="34" t="s">
        <v>969</v>
      </c>
      <c r="E24" s="34" t="s">
        <v>969</v>
      </c>
      <c r="F24" s="42" t="s">
        <v>39</v>
      </c>
      <c r="G24" s="35"/>
    </row>
    <row r="25" spans="1:7" ht="25.5" customHeight="1" x14ac:dyDescent="0.35">
      <c r="A25" s="35" t="s">
        <v>961</v>
      </c>
      <c r="B25" s="34" t="s">
        <v>973</v>
      </c>
      <c r="C25" s="42" t="s">
        <v>933</v>
      </c>
      <c r="D25" s="34" t="s">
        <v>952</v>
      </c>
      <c r="E25" s="34" t="s">
        <v>39</v>
      </c>
      <c r="F25" s="42" t="s">
        <v>39</v>
      </c>
      <c r="G25" s="35"/>
    </row>
    <row r="26" spans="1:7" ht="25.5" customHeight="1" x14ac:dyDescent="0.35">
      <c r="A26" s="35" t="s">
        <v>961</v>
      </c>
      <c r="B26" s="34" t="s">
        <v>974</v>
      </c>
      <c r="C26" s="42" t="s">
        <v>501</v>
      </c>
      <c r="D26" s="127">
        <v>0.19</v>
      </c>
      <c r="E26" s="127">
        <v>0.19</v>
      </c>
      <c r="F26" s="128">
        <f>D26-E26</f>
        <v>0</v>
      </c>
      <c r="G26" s="35" t="s">
        <v>975</v>
      </c>
    </row>
    <row r="27" spans="1:7" ht="25.5" customHeight="1" x14ac:dyDescent="0.35">
      <c r="A27" s="35" t="s">
        <v>961</v>
      </c>
      <c r="B27" s="34" t="s">
        <v>976</v>
      </c>
      <c r="C27" s="42" t="s">
        <v>530</v>
      </c>
      <c r="D27" s="82">
        <v>30</v>
      </c>
      <c r="E27" s="92" t="s">
        <v>39</v>
      </c>
      <c r="F27" s="42" t="s">
        <v>39</v>
      </c>
      <c r="G27" s="35" t="s">
        <v>977</v>
      </c>
    </row>
    <row r="28" spans="1:7" ht="25.5" customHeight="1" x14ac:dyDescent="0.35">
      <c r="A28" s="35" t="s">
        <v>961</v>
      </c>
      <c r="B28" s="34" t="s">
        <v>978</v>
      </c>
      <c r="C28" s="42" t="s">
        <v>538</v>
      </c>
      <c r="D28" s="127">
        <v>0.04</v>
      </c>
      <c r="E28" s="92" t="s">
        <v>39</v>
      </c>
      <c r="F28" s="42" t="s">
        <v>39</v>
      </c>
      <c r="G28" s="35"/>
    </row>
    <row r="29" spans="1:7" ht="25.5" customHeight="1" x14ac:dyDescent="0.35">
      <c r="A29" s="35" t="s">
        <v>961</v>
      </c>
      <c r="B29" s="34" t="s">
        <v>979</v>
      </c>
      <c r="C29" s="42" t="s">
        <v>533</v>
      </c>
      <c r="D29" s="70">
        <v>100</v>
      </c>
      <c r="E29" s="92" t="s">
        <v>39</v>
      </c>
      <c r="F29" s="42" t="s">
        <v>39</v>
      </c>
      <c r="G29" s="35" t="s">
        <v>980</v>
      </c>
    </row>
    <row r="30" spans="1:7" ht="25.5" customHeight="1" x14ac:dyDescent="0.35">
      <c r="A30" s="35" t="s">
        <v>961</v>
      </c>
      <c r="B30" s="34" t="s">
        <v>981</v>
      </c>
      <c r="C30" s="42" t="s">
        <v>519</v>
      </c>
      <c r="D30" s="75">
        <v>100000</v>
      </c>
      <c r="E30" s="92" t="s">
        <v>39</v>
      </c>
      <c r="F30" s="42" t="s">
        <v>39</v>
      </c>
      <c r="G30" s="35"/>
    </row>
    <row r="31" spans="1:7" ht="25.5" customHeight="1" x14ac:dyDescent="0.35">
      <c r="A31" s="35" t="s">
        <v>961</v>
      </c>
      <c r="B31" s="34" t="s">
        <v>982</v>
      </c>
      <c r="C31" s="42" t="s">
        <v>933</v>
      </c>
      <c r="D31" s="34" t="s">
        <v>983</v>
      </c>
      <c r="E31" s="34" t="s">
        <v>39</v>
      </c>
      <c r="F31" s="42" t="s">
        <v>39</v>
      </c>
      <c r="G31" s="35"/>
    </row>
    <row r="32" spans="1:7" ht="25.5" customHeight="1" x14ac:dyDescent="0.35">
      <c r="A32" s="35" t="s">
        <v>961</v>
      </c>
      <c r="B32" s="34" t="s">
        <v>984</v>
      </c>
      <c r="C32" s="42" t="s">
        <v>519</v>
      </c>
      <c r="D32" s="75">
        <v>26962</v>
      </c>
      <c r="E32" s="75">
        <v>0</v>
      </c>
      <c r="F32" s="129">
        <f>D32-E32</f>
        <v>26962</v>
      </c>
      <c r="G32" s="35"/>
    </row>
    <row r="33" spans="1:7" ht="25.5" customHeight="1" x14ac:dyDescent="0.35">
      <c r="A33" s="35" t="s">
        <v>961</v>
      </c>
      <c r="B33" s="34" t="s">
        <v>985</v>
      </c>
      <c r="C33" s="42" t="s">
        <v>501</v>
      </c>
      <c r="D33" s="127">
        <v>0.83399999999999996</v>
      </c>
      <c r="E33" s="127">
        <v>0</v>
      </c>
      <c r="F33" s="128">
        <f>D33-E33</f>
        <v>0.83399999999999996</v>
      </c>
      <c r="G33" s="35"/>
    </row>
    <row r="34" spans="1:7" ht="25.5" customHeight="1" x14ac:dyDescent="0.35">
      <c r="A34" s="35" t="s">
        <v>961</v>
      </c>
      <c r="B34" s="34" t="s">
        <v>986</v>
      </c>
      <c r="C34" s="42" t="s">
        <v>519</v>
      </c>
      <c r="D34" s="75">
        <v>5378</v>
      </c>
      <c r="E34" s="75">
        <v>32340</v>
      </c>
      <c r="F34" s="129">
        <f>D34-E34</f>
        <v>-26962</v>
      </c>
      <c r="G34" s="35"/>
    </row>
    <row r="35" spans="1:7" ht="36" customHeight="1" x14ac:dyDescent="0.35">
      <c r="A35" s="35" t="s">
        <v>961</v>
      </c>
      <c r="B35" s="34" t="s">
        <v>987</v>
      </c>
      <c r="C35" s="42" t="s">
        <v>501</v>
      </c>
      <c r="D35" s="127">
        <v>0.16600000000000001</v>
      </c>
      <c r="E35" s="127">
        <v>1</v>
      </c>
      <c r="F35" s="128">
        <f>D35-E35</f>
        <v>-0.83399999999999996</v>
      </c>
      <c r="G35" s="35" t="s">
        <v>988</v>
      </c>
    </row>
    <row r="36" spans="1:7" ht="25.5" customHeight="1" x14ac:dyDescent="0.35">
      <c r="A36" s="35" t="s">
        <v>961</v>
      </c>
      <c r="B36" s="34" t="s">
        <v>989</v>
      </c>
      <c r="C36" s="42" t="s">
        <v>519</v>
      </c>
      <c r="D36" s="75">
        <v>73038</v>
      </c>
      <c r="E36" s="92" t="s">
        <v>39</v>
      </c>
      <c r="F36" s="42" t="s">
        <v>39</v>
      </c>
      <c r="G36" s="35"/>
    </row>
    <row r="37" spans="1:7" ht="36" customHeight="1" x14ac:dyDescent="0.35">
      <c r="A37" s="35" t="s">
        <v>961</v>
      </c>
      <c r="B37" s="34" t="s">
        <v>990</v>
      </c>
      <c r="C37" s="42" t="s">
        <v>533</v>
      </c>
      <c r="D37" s="70">
        <v>2040</v>
      </c>
      <c r="E37" s="70">
        <v>1600</v>
      </c>
      <c r="F37" s="130">
        <f t="shared" ref="F37:F43" si="0">D37-E37</f>
        <v>440</v>
      </c>
      <c r="G37" s="35" t="s">
        <v>991</v>
      </c>
    </row>
    <row r="38" spans="1:7" ht="25.5" customHeight="1" x14ac:dyDescent="0.35">
      <c r="A38" s="35" t="s">
        <v>961</v>
      </c>
      <c r="B38" s="34" t="s">
        <v>992</v>
      </c>
      <c r="C38" s="42" t="s">
        <v>533</v>
      </c>
      <c r="D38" s="70">
        <v>540</v>
      </c>
      <c r="E38" s="70">
        <v>0</v>
      </c>
      <c r="F38" s="130">
        <f t="shared" si="0"/>
        <v>540</v>
      </c>
      <c r="G38" s="35" t="s">
        <v>993</v>
      </c>
    </row>
    <row r="39" spans="1:7" ht="25.5" customHeight="1" x14ac:dyDescent="0.35">
      <c r="A39" s="35" t="s">
        <v>961</v>
      </c>
      <c r="B39" s="34" t="s">
        <v>994</v>
      </c>
      <c r="C39" s="42" t="s">
        <v>533</v>
      </c>
      <c r="D39" s="70">
        <v>500</v>
      </c>
      <c r="E39" s="70">
        <v>500</v>
      </c>
      <c r="F39" s="130">
        <f t="shared" si="0"/>
        <v>0</v>
      </c>
      <c r="G39" s="35"/>
    </row>
    <row r="40" spans="1:7" ht="25.5" customHeight="1" x14ac:dyDescent="0.35">
      <c r="A40" s="35" t="s">
        <v>961</v>
      </c>
      <c r="B40" s="34" t="s">
        <v>995</v>
      </c>
      <c r="C40" s="42" t="s">
        <v>533</v>
      </c>
      <c r="D40" s="70">
        <v>1000</v>
      </c>
      <c r="E40" s="70">
        <v>1000</v>
      </c>
      <c r="F40" s="130">
        <f t="shared" si="0"/>
        <v>0</v>
      </c>
      <c r="G40" s="35"/>
    </row>
    <row r="41" spans="1:7" ht="25.5" customHeight="1" x14ac:dyDescent="0.35">
      <c r="A41" s="35" t="s">
        <v>961</v>
      </c>
      <c r="B41" s="34" t="s">
        <v>996</v>
      </c>
      <c r="C41" s="42" t="s">
        <v>533</v>
      </c>
      <c r="D41" s="70">
        <v>0</v>
      </c>
      <c r="E41" s="70">
        <v>100</v>
      </c>
      <c r="F41" s="130">
        <f t="shared" si="0"/>
        <v>-100</v>
      </c>
      <c r="G41" s="35" t="s">
        <v>997</v>
      </c>
    </row>
    <row r="42" spans="1:7" ht="25.5" customHeight="1" x14ac:dyDescent="0.35">
      <c r="A42" s="35" t="s">
        <v>961</v>
      </c>
      <c r="B42" s="34" t="s">
        <v>998</v>
      </c>
      <c r="C42" s="42" t="s">
        <v>999</v>
      </c>
      <c r="D42" s="131">
        <v>68</v>
      </c>
      <c r="E42" s="131">
        <v>53.33</v>
      </c>
      <c r="F42" s="132">
        <f t="shared" si="0"/>
        <v>14.670000000000002</v>
      </c>
      <c r="G42" s="35"/>
    </row>
    <row r="43" spans="1:7" ht="25.5" customHeight="1" x14ac:dyDescent="0.35">
      <c r="A43" s="35" t="s">
        <v>961</v>
      </c>
      <c r="B43" s="34" t="s">
        <v>1000</v>
      </c>
      <c r="C43" s="42" t="s">
        <v>507</v>
      </c>
      <c r="D43" s="70">
        <v>42500</v>
      </c>
      <c r="E43" s="70">
        <v>33333</v>
      </c>
      <c r="F43" s="130">
        <f t="shared" si="0"/>
        <v>9167</v>
      </c>
      <c r="G43" s="35"/>
    </row>
    <row r="44" spans="1:7" ht="25.5" customHeight="1" x14ac:dyDescent="0.35">
      <c r="A44" s="35" t="s">
        <v>961</v>
      </c>
      <c r="B44" s="34" t="s">
        <v>1001</v>
      </c>
      <c r="C44" s="42" t="s">
        <v>933</v>
      </c>
      <c r="D44" s="34" t="s">
        <v>578</v>
      </c>
      <c r="E44" s="34" t="s">
        <v>578</v>
      </c>
      <c r="F44" s="42" t="s">
        <v>39</v>
      </c>
      <c r="G44" s="35"/>
    </row>
    <row r="45" spans="1:7" ht="25.5" customHeight="1" x14ac:dyDescent="0.35">
      <c r="A45" s="28" t="s">
        <v>1002</v>
      </c>
      <c r="B45" s="18" t="s">
        <v>1003</v>
      </c>
      <c r="C45" s="40" t="s">
        <v>507</v>
      </c>
      <c r="D45" s="68">
        <v>54000</v>
      </c>
      <c r="E45" s="68">
        <v>54000</v>
      </c>
      <c r="F45" s="126">
        <f t="shared" ref="F45:F50" si="1">D45-E45</f>
        <v>0</v>
      </c>
      <c r="G45" s="28" t="s">
        <v>1004</v>
      </c>
    </row>
    <row r="46" spans="1:7" ht="25.5" customHeight="1" x14ac:dyDescent="0.35">
      <c r="A46" s="28" t="s">
        <v>1002</v>
      </c>
      <c r="B46" s="18" t="s">
        <v>957</v>
      </c>
      <c r="C46" s="40" t="s">
        <v>501</v>
      </c>
      <c r="D46" s="72">
        <v>3.5000000000000003E-2</v>
      </c>
      <c r="E46" s="72">
        <v>3.5000000000000003E-2</v>
      </c>
      <c r="F46" s="125">
        <f t="shared" si="1"/>
        <v>0</v>
      </c>
      <c r="G46" s="28"/>
    </row>
    <row r="47" spans="1:7" ht="25.5" customHeight="1" x14ac:dyDescent="0.35">
      <c r="A47" s="28" t="s">
        <v>1002</v>
      </c>
      <c r="B47" s="23" t="s">
        <v>1005</v>
      </c>
      <c r="C47" s="40" t="s">
        <v>507</v>
      </c>
      <c r="D47" s="133">
        <v>92568</v>
      </c>
      <c r="E47" s="133">
        <v>-22979</v>
      </c>
      <c r="F47" s="133">
        <f t="shared" si="1"/>
        <v>115547</v>
      </c>
      <c r="G47" s="28" t="s">
        <v>1006</v>
      </c>
    </row>
    <row r="48" spans="1:7" ht="25.5" customHeight="1" x14ac:dyDescent="0.35">
      <c r="A48" s="28" t="s">
        <v>1002</v>
      </c>
      <c r="B48" s="23" t="s">
        <v>1007</v>
      </c>
      <c r="C48" s="40" t="s">
        <v>501</v>
      </c>
      <c r="D48" s="134">
        <v>0.15989999999999999</v>
      </c>
      <c r="E48" s="134">
        <v>-2.1000000000000001E-2</v>
      </c>
      <c r="F48" s="134">
        <f t="shared" si="1"/>
        <v>0.18089999999999998</v>
      </c>
      <c r="G48" s="28" t="s">
        <v>1008</v>
      </c>
    </row>
    <row r="49" spans="1:7" ht="25.5" customHeight="1" x14ac:dyDescent="0.35">
      <c r="A49" s="28" t="s">
        <v>1002</v>
      </c>
      <c r="B49" s="18" t="s">
        <v>1009</v>
      </c>
      <c r="C49" s="40" t="s">
        <v>501</v>
      </c>
      <c r="D49" s="72">
        <v>8.5800000000000001E-2</v>
      </c>
      <c r="E49" s="72">
        <v>7.7999999999999996E-3</v>
      </c>
      <c r="F49" s="125">
        <f t="shared" si="1"/>
        <v>7.8E-2</v>
      </c>
      <c r="G49" s="28" t="s">
        <v>1008</v>
      </c>
    </row>
    <row r="50" spans="1:7" ht="25.5" customHeight="1" x14ac:dyDescent="0.35">
      <c r="A50" s="28" t="s">
        <v>1002</v>
      </c>
      <c r="B50" s="23" t="s">
        <v>571</v>
      </c>
      <c r="C50" s="40" t="s">
        <v>507</v>
      </c>
      <c r="D50" s="133">
        <v>162850</v>
      </c>
      <c r="E50" s="133">
        <v>-10867</v>
      </c>
      <c r="F50" s="133">
        <f t="shared" si="1"/>
        <v>173717</v>
      </c>
      <c r="G50" s="28"/>
    </row>
    <row r="51" spans="1:7" ht="25.5" customHeight="1" x14ac:dyDescent="0.35">
      <c r="A51" s="28" t="s">
        <v>1002</v>
      </c>
      <c r="B51" s="18" t="s">
        <v>577</v>
      </c>
      <c r="C51" s="40" t="s">
        <v>512</v>
      </c>
      <c r="D51" s="78">
        <v>8</v>
      </c>
      <c r="E51" s="18" t="s">
        <v>578</v>
      </c>
      <c r="F51" s="40" t="s">
        <v>1010</v>
      </c>
      <c r="G51" s="28" t="s">
        <v>1010</v>
      </c>
    </row>
    <row r="52" spans="1:7" ht="25.5" customHeight="1" x14ac:dyDescent="0.35">
      <c r="A52" s="28" t="s">
        <v>1002</v>
      </c>
      <c r="B52" s="18" t="s">
        <v>580</v>
      </c>
      <c r="C52" s="40" t="s">
        <v>512</v>
      </c>
      <c r="D52" s="78">
        <v>9</v>
      </c>
      <c r="E52" s="18" t="s">
        <v>578</v>
      </c>
      <c r="F52" s="40" t="s">
        <v>1010</v>
      </c>
      <c r="G52" s="28" t="s">
        <v>1010</v>
      </c>
    </row>
    <row r="53" spans="1:7" ht="36" customHeight="1" x14ac:dyDescent="0.35">
      <c r="A53" s="28" t="s">
        <v>1002</v>
      </c>
      <c r="B53" s="18" t="s">
        <v>1011</v>
      </c>
      <c r="C53" s="40" t="s">
        <v>530</v>
      </c>
      <c r="D53" s="83">
        <v>17.850000000000001</v>
      </c>
      <c r="E53" s="83">
        <v>16.47</v>
      </c>
      <c r="F53" s="123">
        <f>D53-E53</f>
        <v>1.3800000000000026</v>
      </c>
      <c r="G53" s="28" t="s">
        <v>1012</v>
      </c>
    </row>
    <row r="54" spans="1:7" ht="25.5" customHeight="1" x14ac:dyDescent="0.35">
      <c r="A54" s="28" t="s">
        <v>1002</v>
      </c>
      <c r="B54" s="18" t="s">
        <v>1013</v>
      </c>
      <c r="C54" s="40" t="s">
        <v>530</v>
      </c>
      <c r="D54" s="83">
        <v>14.64</v>
      </c>
      <c r="E54" s="83">
        <v>13.25</v>
      </c>
      <c r="F54" s="123">
        <f>D54-E54</f>
        <v>1.3900000000000006</v>
      </c>
      <c r="G54" s="28" t="s">
        <v>1014</v>
      </c>
    </row>
    <row r="55" spans="1:7" ht="25.5" customHeight="1" x14ac:dyDescent="0.35">
      <c r="A55" s="28" t="s">
        <v>1002</v>
      </c>
      <c r="B55" s="23" t="s">
        <v>1015</v>
      </c>
      <c r="C55" s="40" t="s">
        <v>530</v>
      </c>
      <c r="D55" s="96">
        <v>7.47</v>
      </c>
      <c r="E55" s="96">
        <v>11.6</v>
      </c>
      <c r="F55" s="96">
        <f>D55-E55</f>
        <v>-4.13</v>
      </c>
      <c r="G55" s="28" t="s">
        <v>1016</v>
      </c>
    </row>
    <row r="56" spans="1:7" ht="25.5" customHeight="1" x14ac:dyDescent="0.35">
      <c r="A56" s="28" t="s">
        <v>1002</v>
      </c>
      <c r="B56" s="18" t="s">
        <v>525</v>
      </c>
      <c r="C56" s="40" t="s">
        <v>501</v>
      </c>
      <c r="D56" s="72">
        <v>0.83</v>
      </c>
      <c r="E56" s="72">
        <v>0</v>
      </c>
      <c r="F56" s="125">
        <f>D56-E56</f>
        <v>0.83</v>
      </c>
      <c r="G56" s="28" t="s">
        <v>1008</v>
      </c>
    </row>
    <row r="57" spans="1:7" ht="36" customHeight="1" x14ac:dyDescent="0.35">
      <c r="A57" s="28" t="s">
        <v>1002</v>
      </c>
      <c r="B57" s="18" t="s">
        <v>1017</v>
      </c>
      <c r="C57" s="40" t="s">
        <v>501</v>
      </c>
      <c r="D57" s="72">
        <v>0.26</v>
      </c>
      <c r="E57" s="18" t="s">
        <v>588</v>
      </c>
      <c r="F57" s="40" t="s">
        <v>1010</v>
      </c>
      <c r="G57" s="28" t="s">
        <v>1018</v>
      </c>
    </row>
    <row r="58" spans="1:7" ht="36" customHeight="1" x14ac:dyDescent="0.35">
      <c r="A58" s="28" t="s">
        <v>1002</v>
      </c>
      <c r="B58" s="18" t="s">
        <v>1019</v>
      </c>
      <c r="C58" s="40" t="s">
        <v>507</v>
      </c>
      <c r="D58" s="68">
        <v>162850</v>
      </c>
      <c r="E58" s="18" t="s">
        <v>1020</v>
      </c>
      <c r="F58" s="40" t="s">
        <v>1010</v>
      </c>
      <c r="G58" s="28" t="s">
        <v>1021</v>
      </c>
    </row>
    <row r="59" spans="1:7" ht="36" customHeight="1" x14ac:dyDescent="0.35">
      <c r="A59" s="28" t="s">
        <v>1002</v>
      </c>
      <c r="B59" s="18" t="s">
        <v>590</v>
      </c>
      <c r="C59" s="40" t="s">
        <v>533</v>
      </c>
      <c r="D59" s="68">
        <v>7817</v>
      </c>
      <c r="E59" s="18" t="s">
        <v>39</v>
      </c>
      <c r="F59" s="40" t="s">
        <v>1010</v>
      </c>
      <c r="G59" s="28" t="s">
        <v>1022</v>
      </c>
    </row>
    <row r="60" spans="1:7" ht="36" customHeight="1" x14ac:dyDescent="0.35">
      <c r="A60" s="28" t="s">
        <v>1002</v>
      </c>
      <c r="B60" s="18" t="s">
        <v>593</v>
      </c>
      <c r="C60" s="40" t="s">
        <v>530</v>
      </c>
      <c r="D60" s="83">
        <v>45.83</v>
      </c>
      <c r="E60" s="18" t="s">
        <v>588</v>
      </c>
      <c r="F60" s="40" t="s">
        <v>1010</v>
      </c>
      <c r="G60" s="28" t="s">
        <v>1023</v>
      </c>
    </row>
    <row r="62" spans="1:7" ht="18" customHeight="1" x14ac:dyDescent="0.35">
      <c r="A62" s="15" t="s">
        <v>1024</v>
      </c>
      <c r="B62" s="15"/>
      <c r="C62" s="15"/>
      <c r="D62" s="15"/>
      <c r="E62" s="15"/>
      <c r="F62" s="15"/>
      <c r="G62" s="15"/>
    </row>
    <row r="63" spans="1:7" ht="30" customHeight="1" x14ac:dyDescent="0.35">
      <c r="A63" s="16" t="s">
        <v>1025</v>
      </c>
      <c r="B63" s="16" t="s">
        <v>1026</v>
      </c>
      <c r="C63" s="16" t="s">
        <v>1027</v>
      </c>
      <c r="D63" s="8" t="s">
        <v>1028</v>
      </c>
      <c r="E63" s="8"/>
      <c r="F63" s="8"/>
      <c r="G63" s="16" t="s">
        <v>930</v>
      </c>
    </row>
    <row r="64" spans="1:7" ht="33.75" customHeight="1" x14ac:dyDescent="0.35">
      <c r="A64" s="23" t="s">
        <v>1029</v>
      </c>
      <c r="B64" s="110">
        <v>7.47</v>
      </c>
      <c r="C64" s="28" t="s">
        <v>1030</v>
      </c>
      <c r="D64" s="10" t="s">
        <v>1031</v>
      </c>
      <c r="E64" s="10"/>
      <c r="F64" s="10"/>
      <c r="G64" s="28"/>
    </row>
    <row r="65" spans="1:7" ht="33.75" customHeight="1" x14ac:dyDescent="0.35">
      <c r="A65" s="23" t="s">
        <v>1032</v>
      </c>
      <c r="B65" s="110">
        <v>4.13</v>
      </c>
      <c r="C65" s="28" t="s">
        <v>1030</v>
      </c>
      <c r="D65" s="10" t="s">
        <v>1033</v>
      </c>
      <c r="E65" s="10"/>
      <c r="F65" s="10"/>
      <c r="G65" s="28"/>
    </row>
    <row r="66" spans="1:7" ht="33.75" customHeight="1" x14ac:dyDescent="0.35">
      <c r="A66" s="23" t="s">
        <v>1034</v>
      </c>
      <c r="B66" s="110">
        <v>11.6</v>
      </c>
      <c r="C66" s="28" t="s">
        <v>1030</v>
      </c>
      <c r="D66" s="10" t="s">
        <v>1035</v>
      </c>
      <c r="E66" s="10"/>
      <c r="F66" s="10"/>
      <c r="G66" s="28"/>
    </row>
    <row r="67" spans="1:7" ht="33.75" customHeight="1" x14ac:dyDescent="0.35">
      <c r="A67" s="23" t="s">
        <v>1036</v>
      </c>
      <c r="B67" s="110">
        <v>7.87</v>
      </c>
      <c r="C67" s="28" t="s">
        <v>1030</v>
      </c>
      <c r="D67" s="10" t="s">
        <v>1037</v>
      </c>
      <c r="E67" s="10"/>
      <c r="F67" s="10"/>
      <c r="G67" s="28"/>
    </row>
    <row r="68" spans="1:7" ht="33.75" customHeight="1" x14ac:dyDescent="0.35">
      <c r="A68" s="120" t="s">
        <v>279</v>
      </c>
      <c r="B68" s="135">
        <v>6.3</v>
      </c>
      <c r="C68" s="136" t="s">
        <v>1030</v>
      </c>
      <c r="D68" s="152" t="s">
        <v>1038</v>
      </c>
      <c r="E68" s="152"/>
      <c r="F68" s="152"/>
      <c r="G68" s="17" t="s">
        <v>1039</v>
      </c>
    </row>
    <row r="69" spans="1:7" ht="33.75" customHeight="1" x14ac:dyDescent="0.35">
      <c r="A69" s="120" t="s">
        <v>1040</v>
      </c>
      <c r="B69" s="135">
        <v>2.62</v>
      </c>
      <c r="C69" s="136" t="s">
        <v>1041</v>
      </c>
      <c r="D69" s="152" t="s">
        <v>1042</v>
      </c>
      <c r="E69" s="152"/>
      <c r="F69" s="152"/>
      <c r="G69" s="17" t="s">
        <v>1043</v>
      </c>
    </row>
    <row r="70" spans="1:7" ht="33.75" customHeight="1" x14ac:dyDescent="0.35">
      <c r="A70" s="23" t="s">
        <v>1044</v>
      </c>
      <c r="B70" s="110">
        <v>2.54</v>
      </c>
      <c r="C70" s="28" t="s">
        <v>1041</v>
      </c>
      <c r="D70" s="10" t="s">
        <v>1045</v>
      </c>
      <c r="E70" s="10"/>
      <c r="F70" s="10"/>
      <c r="G70" s="28"/>
    </row>
    <row r="71" spans="1:7" ht="33.75" customHeight="1" x14ac:dyDescent="0.35">
      <c r="A71" s="23" t="s">
        <v>1046</v>
      </c>
      <c r="B71" s="110">
        <v>0.4</v>
      </c>
      <c r="C71" s="28" t="s">
        <v>1041</v>
      </c>
      <c r="D71" s="10" t="s">
        <v>1047</v>
      </c>
      <c r="E71" s="10"/>
      <c r="F71" s="10"/>
      <c r="G71" s="28"/>
    </row>
    <row r="72" spans="1:7" ht="33.75" customHeight="1" x14ac:dyDescent="0.35">
      <c r="A72" s="23" t="s">
        <v>1048</v>
      </c>
      <c r="B72" s="110">
        <v>4</v>
      </c>
      <c r="C72" s="28" t="s">
        <v>1041</v>
      </c>
      <c r="D72" s="10" t="s">
        <v>1049</v>
      </c>
      <c r="E72" s="10"/>
      <c r="F72" s="10"/>
      <c r="G72" s="28"/>
    </row>
    <row r="73" spans="1:7" ht="33.75" customHeight="1" x14ac:dyDescent="0.35">
      <c r="A73" s="23" t="s">
        <v>295</v>
      </c>
      <c r="B73" s="110">
        <v>8</v>
      </c>
      <c r="C73" s="28" t="s">
        <v>1041</v>
      </c>
      <c r="D73" s="10" t="s">
        <v>1050</v>
      </c>
      <c r="E73" s="10"/>
      <c r="F73" s="10"/>
      <c r="G73" s="28"/>
    </row>
    <row r="74" spans="1:7" ht="33.75" customHeight="1" x14ac:dyDescent="0.35">
      <c r="A74" s="23" t="s">
        <v>300</v>
      </c>
      <c r="B74" s="110">
        <v>3.5</v>
      </c>
      <c r="C74" s="28" t="s">
        <v>1041</v>
      </c>
      <c r="D74" s="10" t="s">
        <v>1051</v>
      </c>
      <c r="E74" s="10"/>
      <c r="F74" s="10"/>
      <c r="G74" s="28"/>
    </row>
    <row r="76" spans="1:7" ht="18" customHeight="1" x14ac:dyDescent="0.35">
      <c r="A76" s="15" t="s">
        <v>1052</v>
      </c>
      <c r="B76" s="15"/>
      <c r="C76" s="15"/>
      <c r="D76" s="15"/>
      <c r="E76" s="15"/>
      <c r="F76" s="15"/>
      <c r="G76" s="15"/>
    </row>
    <row r="77" spans="1:7" ht="43.5" customHeight="1" x14ac:dyDescent="0.35">
      <c r="A77" s="12" t="s">
        <v>1053</v>
      </c>
      <c r="B77" s="12"/>
      <c r="C77" s="12"/>
      <c r="D77" s="12"/>
      <c r="E77" s="12"/>
      <c r="F77" s="12"/>
      <c r="G77" s="12"/>
    </row>
    <row r="78" spans="1:7" ht="43.5" customHeight="1" x14ac:dyDescent="0.35">
      <c r="A78" s="12" t="s">
        <v>1054</v>
      </c>
      <c r="B78" s="12"/>
      <c r="C78" s="12"/>
      <c r="D78" s="12"/>
      <c r="E78" s="12"/>
      <c r="F78" s="12"/>
      <c r="G78" s="12"/>
    </row>
    <row r="79" spans="1:7" ht="43.5" customHeight="1" x14ac:dyDescent="0.35">
      <c r="A79" s="12" t="s">
        <v>1055</v>
      </c>
      <c r="B79" s="12"/>
      <c r="C79" s="12"/>
      <c r="D79" s="12"/>
      <c r="E79" s="12"/>
      <c r="F79" s="12"/>
      <c r="G79" s="12"/>
    </row>
    <row r="80" spans="1:7" ht="43.5" customHeight="1" x14ac:dyDescent="0.35">
      <c r="A80" s="12" t="s">
        <v>1056</v>
      </c>
      <c r="B80" s="12"/>
      <c r="C80" s="12"/>
      <c r="D80" s="12"/>
      <c r="E80" s="12"/>
      <c r="F80" s="12"/>
      <c r="G80" s="12"/>
    </row>
    <row r="82" spans="1:7" ht="31.5" customHeight="1" x14ac:dyDescent="0.35">
      <c r="A82" s="11" t="s">
        <v>1057</v>
      </c>
      <c r="B82" s="11"/>
      <c r="C82" s="11"/>
      <c r="D82" s="11"/>
      <c r="E82" s="11"/>
      <c r="F82" s="11"/>
      <c r="G82" s="11"/>
    </row>
    <row r="84" spans="1:7" x14ac:dyDescent="0.35">
      <c r="A84" s="5" t="s">
        <v>1058</v>
      </c>
      <c r="B84" s="5"/>
      <c r="C84" s="5"/>
      <c r="D84" s="5"/>
      <c r="E84" s="5"/>
      <c r="F84" s="5"/>
      <c r="G84" s="5"/>
    </row>
    <row r="85" spans="1:7" ht="30" customHeight="1" x14ac:dyDescent="0.35">
      <c r="A85" s="9" t="s">
        <v>1059</v>
      </c>
      <c r="B85" s="9"/>
      <c r="C85" s="9"/>
      <c r="D85" s="9"/>
      <c r="E85" s="9"/>
      <c r="F85" s="9"/>
      <c r="G85" s="9"/>
    </row>
    <row r="86" spans="1:7" ht="30" customHeight="1" x14ac:dyDescent="0.35">
      <c r="A86" s="16" t="s">
        <v>925</v>
      </c>
      <c r="B86" s="16" t="s">
        <v>1060</v>
      </c>
      <c r="C86" s="16" t="s">
        <v>491</v>
      </c>
      <c r="D86" s="16" t="s">
        <v>1061</v>
      </c>
      <c r="E86" s="16" t="s">
        <v>1062</v>
      </c>
      <c r="F86" s="16" t="s">
        <v>1063</v>
      </c>
      <c r="G86" s="16" t="s">
        <v>1064</v>
      </c>
    </row>
    <row r="87" spans="1:7" ht="27" customHeight="1" x14ac:dyDescent="0.35">
      <c r="A87" s="28" t="s">
        <v>1065</v>
      </c>
      <c r="B87" s="18" t="s">
        <v>1066</v>
      </c>
      <c r="C87" s="40" t="s">
        <v>530</v>
      </c>
      <c r="D87" s="83">
        <v>7.47</v>
      </c>
      <c r="E87" s="96">
        <v>7.01</v>
      </c>
      <c r="F87" s="123">
        <f>E87-D87</f>
        <v>-0.45999999999999996</v>
      </c>
      <c r="G87" s="28" t="s">
        <v>1067</v>
      </c>
    </row>
    <row r="88" spans="1:7" ht="27" customHeight="1" x14ac:dyDescent="0.35">
      <c r="A88" s="35" t="s">
        <v>1065</v>
      </c>
      <c r="B88" s="34" t="s">
        <v>1034</v>
      </c>
      <c r="C88" s="42" t="s">
        <v>530</v>
      </c>
      <c r="D88" s="82">
        <v>11.6</v>
      </c>
      <c r="E88" s="101">
        <v>10.9</v>
      </c>
      <c r="F88" s="137">
        <f>E88-D88</f>
        <v>-0.69999999999999929</v>
      </c>
      <c r="G88" s="35" t="s">
        <v>1068</v>
      </c>
    </row>
    <row r="89" spans="1:7" ht="27" customHeight="1" x14ac:dyDescent="0.35">
      <c r="A89" s="28" t="s">
        <v>1065</v>
      </c>
      <c r="B89" s="18" t="s">
        <v>1069</v>
      </c>
      <c r="C89" s="40" t="s">
        <v>530</v>
      </c>
      <c r="D89" s="83">
        <v>7.87</v>
      </c>
      <c r="E89" s="96">
        <v>7.41</v>
      </c>
      <c r="F89" s="123">
        <f>E89-D89</f>
        <v>-0.45999999999999996</v>
      </c>
      <c r="G89" s="28" t="s">
        <v>1070</v>
      </c>
    </row>
    <row r="90" spans="1:7" ht="27" customHeight="1" x14ac:dyDescent="0.35">
      <c r="A90" s="35" t="s">
        <v>1065</v>
      </c>
      <c r="B90" s="34" t="s">
        <v>1071</v>
      </c>
      <c r="C90" s="42" t="s">
        <v>530</v>
      </c>
      <c r="D90" s="82">
        <v>12</v>
      </c>
      <c r="E90" s="101">
        <v>11.3</v>
      </c>
      <c r="F90" s="137">
        <f>E90-D90</f>
        <v>-0.69999999999999929</v>
      </c>
      <c r="G90" s="35" t="s">
        <v>1072</v>
      </c>
    </row>
    <row r="92" spans="1:7" ht="42" customHeight="1" x14ac:dyDescent="0.35">
      <c r="A92" s="9" t="s">
        <v>1073</v>
      </c>
      <c r="B92" s="9"/>
      <c r="C92" s="9"/>
      <c r="D92" s="9"/>
      <c r="E92" s="9"/>
      <c r="F92" s="9"/>
      <c r="G92" s="9"/>
    </row>
    <row r="93" spans="1:7" ht="42" customHeight="1" x14ac:dyDescent="0.35">
      <c r="A93" s="9" t="s">
        <v>1074</v>
      </c>
      <c r="B93" s="9"/>
      <c r="C93" s="9"/>
      <c r="D93" s="9"/>
      <c r="E93" s="9"/>
      <c r="F93" s="9"/>
      <c r="G93" s="9"/>
    </row>
    <row r="94" spans="1:7" ht="30" customHeight="1" x14ac:dyDescent="0.35">
      <c r="A94" s="9" t="s">
        <v>1075</v>
      </c>
      <c r="B94" s="9"/>
      <c r="C94" s="9"/>
      <c r="D94" s="9"/>
      <c r="E94" s="9"/>
      <c r="F94" s="9"/>
      <c r="G94" s="9"/>
    </row>
  </sheetData>
  <autoFilter ref="A4:G60" xr:uid="{00000000-0009-0000-0000-000008000000}"/>
  <mergeCells count="24">
    <mergeCell ref="A85:G85"/>
    <mergeCell ref="A92:G92"/>
    <mergeCell ref="A93:G93"/>
    <mergeCell ref="A94:G94"/>
    <mergeCell ref="A78:G78"/>
    <mergeCell ref="A79:G79"/>
    <mergeCell ref="A80:G80"/>
    <mergeCell ref="A82:G82"/>
    <mergeCell ref="A84:G84"/>
    <mergeCell ref="D71:F71"/>
    <mergeCell ref="D72:F72"/>
    <mergeCell ref="D73:F73"/>
    <mergeCell ref="D74:F74"/>
    <mergeCell ref="A77:G77"/>
    <mergeCell ref="D66:F66"/>
    <mergeCell ref="D67:F67"/>
    <mergeCell ref="D68:F68"/>
    <mergeCell ref="D69:F69"/>
    <mergeCell ref="D70:F70"/>
    <mergeCell ref="A1:G1"/>
    <mergeCell ref="A2:G2"/>
    <mergeCell ref="D63:F63"/>
    <mergeCell ref="D64:F64"/>
    <mergeCell ref="D65:F65"/>
  </mergeCells>
  <pageMargins left="0.5" right="0.4" top="0.6" bottom="0.6" header="0.511811023622047" footer="0.3"/>
  <pageSetup paperSize="9" fitToHeight="0" orientation="landscape" horizontalDpi="300" verticalDpi="300"/>
  <headerFooter>
    <oddFooter>&amp;L&amp;8 Betreibermodelle und Verguetungen Photovoltaik - Stand: 25.08.2026&amp;R&amp;8 Seite &amp;P von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36"/>
  <sheetViews>
    <sheetView zoomScaleNormal="100" workbookViewId="0">
      <pane ySplit="7" topLeftCell="A8" activePane="bottomLeft" state="frozen"/>
      <selection pane="bottomLeft"/>
    </sheetView>
  </sheetViews>
  <sheetFormatPr baseColWidth="10" defaultColWidth="8.6328125" defaultRowHeight="14.5" x14ac:dyDescent="0.35"/>
  <cols>
    <col min="1" max="1" width="34" customWidth="1"/>
    <col min="2" max="2" width="96" customWidth="1"/>
    <col min="3" max="3" width="78" customWidth="1"/>
    <col min="4" max="4" width="34" customWidth="1"/>
  </cols>
  <sheetData>
    <row r="1" spans="1:4" ht="18" x14ac:dyDescent="0.4">
      <c r="A1" s="14" t="s">
        <v>1076</v>
      </c>
      <c r="B1" s="14"/>
      <c r="C1" s="14"/>
      <c r="D1" s="14"/>
    </row>
    <row r="2" spans="1:4" x14ac:dyDescent="0.35">
      <c r="A2" s="13" t="s">
        <v>1077</v>
      </c>
      <c r="B2" s="13"/>
      <c r="C2" s="13"/>
      <c r="D2" s="13"/>
    </row>
    <row r="4" spans="1:4" x14ac:dyDescent="0.35">
      <c r="A4" s="5" t="s">
        <v>1078</v>
      </c>
      <c r="B4" s="5"/>
      <c r="C4" s="5"/>
      <c r="D4" s="5"/>
    </row>
    <row r="5" spans="1:4" ht="45" customHeight="1" x14ac:dyDescent="0.35">
      <c r="A5" s="9" t="s">
        <v>1079</v>
      </c>
      <c r="B5" s="9"/>
      <c r="C5" s="9"/>
      <c r="D5" s="9"/>
    </row>
    <row r="7" spans="1:4" ht="30" customHeight="1" x14ac:dyDescent="0.35">
      <c r="A7" s="16" t="s">
        <v>1080</v>
      </c>
      <c r="B7" s="16" t="s">
        <v>1081</v>
      </c>
      <c r="C7" s="16" t="s">
        <v>1082</v>
      </c>
      <c r="D7" s="16" t="s">
        <v>1083</v>
      </c>
    </row>
    <row r="8" spans="1:4" ht="81.75" customHeight="1" x14ac:dyDescent="0.35">
      <c r="A8" s="23" t="s">
        <v>1084</v>
      </c>
      <c r="B8" s="18" t="s">
        <v>1085</v>
      </c>
      <c r="C8" s="19" t="s">
        <v>1086</v>
      </c>
      <c r="D8" s="28" t="s">
        <v>1087</v>
      </c>
    </row>
    <row r="9" spans="1:4" ht="95.25" customHeight="1" x14ac:dyDescent="0.35">
      <c r="A9" s="30" t="s">
        <v>1088</v>
      </c>
      <c r="B9" s="34" t="s">
        <v>1089</v>
      </c>
      <c r="C9" s="19" t="s">
        <v>1090</v>
      </c>
      <c r="D9" s="35" t="s">
        <v>1091</v>
      </c>
    </row>
    <row r="10" spans="1:4" ht="95.25" customHeight="1" x14ac:dyDescent="0.35">
      <c r="A10" s="23" t="s">
        <v>209</v>
      </c>
      <c r="B10" s="18" t="s">
        <v>1092</v>
      </c>
      <c r="C10" s="28" t="s">
        <v>1093</v>
      </c>
      <c r="D10" s="28" t="s">
        <v>1094</v>
      </c>
    </row>
    <row r="11" spans="1:4" ht="43.5" customHeight="1" x14ac:dyDescent="0.35">
      <c r="A11" s="30" t="s">
        <v>1095</v>
      </c>
      <c r="B11" s="34" t="s">
        <v>1096</v>
      </c>
      <c r="C11" s="35" t="s">
        <v>1093</v>
      </c>
      <c r="D11" s="35" t="s">
        <v>1097</v>
      </c>
    </row>
    <row r="12" spans="1:4" ht="69" customHeight="1" x14ac:dyDescent="0.35">
      <c r="A12" s="23" t="s">
        <v>1098</v>
      </c>
      <c r="B12" s="18" t="s">
        <v>1099</v>
      </c>
      <c r="C12" s="28" t="s">
        <v>1093</v>
      </c>
      <c r="D12" s="28" t="s">
        <v>1100</v>
      </c>
    </row>
    <row r="13" spans="1:4" ht="69" customHeight="1" x14ac:dyDescent="0.35">
      <c r="A13" s="30" t="s">
        <v>1101</v>
      </c>
      <c r="B13" s="34" t="s">
        <v>1102</v>
      </c>
      <c r="C13" s="19" t="s">
        <v>1103</v>
      </c>
      <c r="D13" s="35" t="s">
        <v>1104</v>
      </c>
    </row>
    <row r="14" spans="1:4" ht="108" customHeight="1" x14ac:dyDescent="0.35">
      <c r="A14" s="23" t="s">
        <v>1105</v>
      </c>
      <c r="B14" s="18" t="s">
        <v>1106</v>
      </c>
      <c r="C14" s="19" t="s">
        <v>1107</v>
      </c>
      <c r="D14" s="28" t="s">
        <v>1108</v>
      </c>
    </row>
    <row r="15" spans="1:4" ht="56.25" customHeight="1" x14ac:dyDescent="0.35">
      <c r="A15" s="30" t="s">
        <v>1109</v>
      </c>
      <c r="B15" s="34" t="s">
        <v>1110</v>
      </c>
      <c r="C15" s="35" t="s">
        <v>1093</v>
      </c>
      <c r="D15" s="35" t="s">
        <v>1111</v>
      </c>
    </row>
    <row r="16" spans="1:4" ht="56.25" customHeight="1" x14ac:dyDescent="0.35">
      <c r="A16" s="23" t="s">
        <v>1112</v>
      </c>
      <c r="B16" s="18" t="s">
        <v>1113</v>
      </c>
      <c r="C16" s="28" t="s">
        <v>1093</v>
      </c>
      <c r="D16" s="28" t="s">
        <v>1114</v>
      </c>
    </row>
    <row r="17" spans="1:4" ht="81.75" customHeight="1" x14ac:dyDescent="0.35">
      <c r="A17" s="30" t="s">
        <v>1032</v>
      </c>
      <c r="B17" s="34" t="s">
        <v>1115</v>
      </c>
      <c r="C17" s="35" t="s">
        <v>1093</v>
      </c>
      <c r="D17" s="35" t="s">
        <v>1116</v>
      </c>
    </row>
    <row r="18" spans="1:4" ht="108" customHeight="1" x14ac:dyDescent="0.35">
      <c r="A18" s="23" t="s">
        <v>1117</v>
      </c>
      <c r="B18" s="18" t="s">
        <v>1118</v>
      </c>
      <c r="C18" s="28" t="s">
        <v>1093</v>
      </c>
      <c r="D18" s="28" t="s">
        <v>1119</v>
      </c>
    </row>
    <row r="19" spans="1:4" ht="95.25" customHeight="1" x14ac:dyDescent="0.35">
      <c r="A19" s="30" t="s">
        <v>295</v>
      </c>
      <c r="B19" s="34" t="s">
        <v>1120</v>
      </c>
      <c r="C19" s="35" t="s">
        <v>1093</v>
      </c>
      <c r="D19" s="35" t="s">
        <v>1121</v>
      </c>
    </row>
    <row r="20" spans="1:4" ht="95.25" customHeight="1" x14ac:dyDescent="0.35">
      <c r="A20" s="23" t="s">
        <v>1122</v>
      </c>
      <c r="B20" s="18" t="s">
        <v>1123</v>
      </c>
      <c r="C20" s="19" t="s">
        <v>1124</v>
      </c>
      <c r="D20" s="28" t="s">
        <v>1125</v>
      </c>
    </row>
    <row r="21" spans="1:4" ht="108" customHeight="1" x14ac:dyDescent="0.35">
      <c r="A21" s="30" t="s">
        <v>1126</v>
      </c>
      <c r="B21" s="34" t="s">
        <v>1127</v>
      </c>
      <c r="C21" s="19" t="s">
        <v>1128</v>
      </c>
      <c r="D21" s="35" t="s">
        <v>1129</v>
      </c>
    </row>
    <row r="22" spans="1:4" ht="81.75" customHeight="1" x14ac:dyDescent="0.35">
      <c r="A22" s="23" t="s">
        <v>1130</v>
      </c>
      <c r="B22" s="18" t="s">
        <v>1131</v>
      </c>
      <c r="C22" s="28" t="s">
        <v>1093</v>
      </c>
      <c r="D22" s="28" t="s">
        <v>1132</v>
      </c>
    </row>
    <row r="23" spans="1:4" ht="56.25" customHeight="1" x14ac:dyDescent="0.35">
      <c r="A23" s="30" t="s">
        <v>207</v>
      </c>
      <c r="B23" s="34" t="s">
        <v>1133</v>
      </c>
      <c r="C23" s="35" t="s">
        <v>1093</v>
      </c>
      <c r="D23" s="35" t="s">
        <v>1134</v>
      </c>
    </row>
    <row r="24" spans="1:4" ht="69" customHeight="1" x14ac:dyDescent="0.35">
      <c r="A24" s="23" t="s">
        <v>509</v>
      </c>
      <c r="B24" s="18" t="s">
        <v>1135</v>
      </c>
      <c r="C24" s="28" t="s">
        <v>1093</v>
      </c>
      <c r="D24" s="28" t="s">
        <v>1136</v>
      </c>
    </row>
    <row r="25" spans="1:4" ht="108" customHeight="1" x14ac:dyDescent="0.35">
      <c r="A25" s="30" t="s">
        <v>300</v>
      </c>
      <c r="B25" s="34" t="s">
        <v>1137</v>
      </c>
      <c r="C25" s="19" t="s">
        <v>1138</v>
      </c>
      <c r="D25" s="35" t="s">
        <v>1139</v>
      </c>
    </row>
    <row r="26" spans="1:4" ht="69" customHeight="1" x14ac:dyDescent="0.35">
      <c r="A26" s="23" t="s">
        <v>1140</v>
      </c>
      <c r="B26" s="18" t="s">
        <v>1141</v>
      </c>
      <c r="C26" s="19" t="s">
        <v>1142</v>
      </c>
      <c r="D26" s="28" t="s">
        <v>1143</v>
      </c>
    </row>
    <row r="27" spans="1:4" ht="56.25" customHeight="1" x14ac:dyDescent="0.35">
      <c r="A27" s="30" t="s">
        <v>1144</v>
      </c>
      <c r="B27" s="34" t="s">
        <v>1145</v>
      </c>
      <c r="C27" s="35" t="s">
        <v>1093</v>
      </c>
      <c r="D27" s="35" t="s">
        <v>1146</v>
      </c>
    </row>
    <row r="28" spans="1:4" ht="69" customHeight="1" x14ac:dyDescent="0.35">
      <c r="A28" s="23" t="s">
        <v>1147</v>
      </c>
      <c r="B28" s="18" t="s">
        <v>1148</v>
      </c>
      <c r="C28" s="19" t="s">
        <v>1149</v>
      </c>
      <c r="D28" s="28" t="s">
        <v>1150</v>
      </c>
    </row>
    <row r="29" spans="1:4" ht="69" customHeight="1" x14ac:dyDescent="0.35">
      <c r="A29" s="30" t="s">
        <v>1151</v>
      </c>
      <c r="B29" s="34" t="s">
        <v>1152</v>
      </c>
      <c r="C29" s="35" t="s">
        <v>1093</v>
      </c>
      <c r="D29" s="35" t="s">
        <v>1153</v>
      </c>
    </row>
    <row r="30" spans="1:4" ht="69" customHeight="1" x14ac:dyDescent="0.35">
      <c r="A30" s="23" t="s">
        <v>1048</v>
      </c>
      <c r="B30" s="18" t="s">
        <v>1154</v>
      </c>
      <c r="C30" s="19" t="s">
        <v>1155</v>
      </c>
      <c r="D30" s="28" t="s">
        <v>1156</v>
      </c>
    </row>
    <row r="31" spans="1:4" ht="56.25" customHeight="1" x14ac:dyDescent="0.35">
      <c r="A31" s="30" t="s">
        <v>1157</v>
      </c>
      <c r="B31" s="34" t="s">
        <v>1158</v>
      </c>
      <c r="C31" s="19" t="s">
        <v>1159</v>
      </c>
      <c r="D31" s="35" t="s">
        <v>1160</v>
      </c>
    </row>
    <row r="32" spans="1:4" ht="108" customHeight="1" x14ac:dyDescent="0.35">
      <c r="A32" s="23" t="s">
        <v>1161</v>
      </c>
      <c r="B32" s="18" t="s">
        <v>1162</v>
      </c>
      <c r="C32" s="28" t="s">
        <v>1093</v>
      </c>
      <c r="D32" s="28" t="s">
        <v>1163</v>
      </c>
    </row>
    <row r="33" spans="1:4" ht="81.75" customHeight="1" x14ac:dyDescent="0.35">
      <c r="A33" s="30" t="s">
        <v>1164</v>
      </c>
      <c r="B33" s="34" t="s">
        <v>1165</v>
      </c>
      <c r="C33" s="35" t="s">
        <v>1093</v>
      </c>
      <c r="D33" s="35" t="s">
        <v>1166</v>
      </c>
    </row>
    <row r="34" spans="1:4" ht="81.75" customHeight="1" x14ac:dyDescent="0.35">
      <c r="A34" s="23" t="s">
        <v>1167</v>
      </c>
      <c r="B34" s="18" t="s">
        <v>1168</v>
      </c>
      <c r="C34" s="28" t="s">
        <v>1093</v>
      </c>
      <c r="D34" s="28" t="s">
        <v>1169</v>
      </c>
    </row>
    <row r="36" spans="1:4" ht="30" customHeight="1" x14ac:dyDescent="0.35">
      <c r="A36" s="9" t="s">
        <v>1170</v>
      </c>
      <c r="B36" s="9"/>
      <c r="C36" s="9"/>
      <c r="D36" s="9"/>
    </row>
  </sheetData>
  <autoFilter ref="A7:D34" xr:uid="{00000000-0009-0000-0000-000009000000}"/>
  <mergeCells count="5">
    <mergeCell ref="A1:D1"/>
    <mergeCell ref="A2:D2"/>
    <mergeCell ref="A4:D4"/>
    <mergeCell ref="A5:D5"/>
    <mergeCell ref="A36:D36"/>
  </mergeCells>
  <pageMargins left="0.5" right="0.5" top="0.5" bottom="0.5"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45"/>
  <sheetViews>
    <sheetView zoomScaleNormal="100" workbookViewId="0">
      <pane ySplit="3" topLeftCell="A4" activePane="bottomLeft" state="frozen"/>
      <selection pane="bottomLeft"/>
    </sheetView>
  </sheetViews>
  <sheetFormatPr baseColWidth="10" defaultColWidth="8.6328125" defaultRowHeight="14.5" x14ac:dyDescent="0.35"/>
  <cols>
    <col min="1" max="1" width="6" customWidth="1"/>
    <col min="2" max="2" width="74" customWidth="1"/>
    <col min="3" max="3" width="62" customWidth="1"/>
  </cols>
  <sheetData>
    <row r="1" spans="1:3" ht="19.5" customHeight="1" x14ac:dyDescent="0.4">
      <c r="A1" s="14" t="s">
        <v>1171</v>
      </c>
      <c r="B1" s="14"/>
      <c r="C1" s="14"/>
    </row>
    <row r="2" spans="1:3" ht="13.5" customHeight="1" x14ac:dyDescent="0.35">
      <c r="A2" s="13" t="s">
        <v>1172</v>
      </c>
      <c r="B2" s="13"/>
      <c r="C2" s="13"/>
    </row>
    <row r="3" spans="1:3" ht="25.5" customHeight="1" x14ac:dyDescent="0.35">
      <c r="A3" s="16" t="s">
        <v>100</v>
      </c>
      <c r="B3" s="16" t="s">
        <v>110</v>
      </c>
      <c r="C3" s="16" t="s">
        <v>1173</v>
      </c>
    </row>
    <row r="4" spans="1:3" ht="30" customHeight="1" x14ac:dyDescent="0.35">
      <c r="A4" s="25">
        <v>1</v>
      </c>
      <c r="B4" s="18" t="s">
        <v>1174</v>
      </c>
      <c r="C4" s="138" t="s">
        <v>1175</v>
      </c>
    </row>
    <row r="5" spans="1:3" ht="30" customHeight="1" x14ac:dyDescent="0.35">
      <c r="A5" s="29">
        <v>2</v>
      </c>
      <c r="B5" s="34" t="s">
        <v>1176</v>
      </c>
      <c r="C5" s="139" t="s">
        <v>1177</v>
      </c>
    </row>
    <row r="6" spans="1:3" ht="30" customHeight="1" x14ac:dyDescent="0.35">
      <c r="A6" s="25">
        <v>3</v>
      </c>
      <c r="B6" s="18" t="s">
        <v>1178</v>
      </c>
      <c r="C6" s="28" t="s">
        <v>1179</v>
      </c>
    </row>
    <row r="7" spans="1:3" ht="30" customHeight="1" x14ac:dyDescent="0.35">
      <c r="A7" s="29">
        <v>4</v>
      </c>
      <c r="B7" s="34" t="s">
        <v>1180</v>
      </c>
      <c r="C7" s="139" t="s">
        <v>1181</v>
      </c>
    </row>
    <row r="8" spans="1:3" ht="30" customHeight="1" x14ac:dyDescent="0.35">
      <c r="A8" s="25">
        <v>5</v>
      </c>
      <c r="B8" s="18" t="s">
        <v>1182</v>
      </c>
      <c r="C8" s="28" t="s">
        <v>1183</v>
      </c>
    </row>
    <row r="9" spans="1:3" ht="30" customHeight="1" x14ac:dyDescent="0.35">
      <c r="A9" s="29">
        <v>6</v>
      </c>
      <c r="B9" s="34" t="s">
        <v>1184</v>
      </c>
      <c r="C9" s="35" t="s">
        <v>1183</v>
      </c>
    </row>
    <row r="10" spans="1:3" ht="30" customHeight="1" x14ac:dyDescent="0.35">
      <c r="A10" s="25">
        <v>7</v>
      </c>
      <c r="B10" s="18" t="s">
        <v>1185</v>
      </c>
      <c r="C10" s="28" t="s">
        <v>1186</v>
      </c>
    </row>
    <row r="11" spans="1:3" ht="30" customHeight="1" x14ac:dyDescent="0.35">
      <c r="A11" s="29">
        <v>8</v>
      </c>
      <c r="B11" s="34" t="s">
        <v>1187</v>
      </c>
      <c r="C11" s="35" t="s">
        <v>1188</v>
      </c>
    </row>
    <row r="12" spans="1:3" ht="30" customHeight="1" x14ac:dyDescent="0.35">
      <c r="A12" s="25">
        <v>9</v>
      </c>
      <c r="B12" s="18" t="s">
        <v>1189</v>
      </c>
      <c r="C12" s="28" t="s">
        <v>1190</v>
      </c>
    </row>
    <row r="13" spans="1:3" ht="30" customHeight="1" x14ac:dyDescent="0.35">
      <c r="A13" s="29">
        <v>10</v>
      </c>
      <c r="B13" s="34" t="s">
        <v>1191</v>
      </c>
      <c r="C13" s="139" t="s">
        <v>1192</v>
      </c>
    </row>
    <row r="14" spans="1:3" ht="30" customHeight="1" x14ac:dyDescent="0.35">
      <c r="A14" s="25">
        <v>11</v>
      </c>
      <c r="B14" s="18" t="s">
        <v>1193</v>
      </c>
      <c r="C14" s="138" t="s">
        <v>1194</v>
      </c>
    </row>
    <row r="15" spans="1:3" ht="30" customHeight="1" x14ac:dyDescent="0.35">
      <c r="A15" s="29">
        <v>12</v>
      </c>
      <c r="B15" s="34" t="s">
        <v>1195</v>
      </c>
      <c r="C15" s="35" t="s">
        <v>1196</v>
      </c>
    </row>
    <row r="16" spans="1:3" ht="30" customHeight="1" x14ac:dyDescent="0.35">
      <c r="A16" s="25">
        <v>13</v>
      </c>
      <c r="B16" s="18" t="s">
        <v>1197</v>
      </c>
      <c r="C16" s="138" t="s">
        <v>1198</v>
      </c>
    </row>
    <row r="17" spans="1:3" ht="30" customHeight="1" x14ac:dyDescent="0.35">
      <c r="A17" s="29">
        <v>14</v>
      </c>
      <c r="B17" s="34" t="s">
        <v>1199</v>
      </c>
      <c r="C17" s="35" t="s">
        <v>1200</v>
      </c>
    </row>
    <row r="18" spans="1:3" ht="30" customHeight="1" x14ac:dyDescent="0.35">
      <c r="A18" s="25">
        <v>15</v>
      </c>
      <c r="B18" s="18" t="s">
        <v>1201</v>
      </c>
      <c r="C18" s="28" t="s">
        <v>1202</v>
      </c>
    </row>
    <row r="19" spans="1:3" ht="30" customHeight="1" x14ac:dyDescent="0.35">
      <c r="A19" s="29">
        <v>16</v>
      </c>
      <c r="B19" s="34" t="s">
        <v>1203</v>
      </c>
      <c r="C19" s="35" t="s">
        <v>1204</v>
      </c>
    </row>
    <row r="20" spans="1:3" ht="30" customHeight="1" x14ac:dyDescent="0.35">
      <c r="A20" s="25">
        <v>17</v>
      </c>
      <c r="B20" s="18" t="s">
        <v>1205</v>
      </c>
      <c r="C20" s="28" t="s">
        <v>1206</v>
      </c>
    </row>
    <row r="21" spans="1:3" ht="30" customHeight="1" x14ac:dyDescent="0.35">
      <c r="A21" s="29">
        <v>18</v>
      </c>
      <c r="B21" s="34" t="s">
        <v>1207</v>
      </c>
      <c r="C21" s="35" t="s">
        <v>1208</v>
      </c>
    </row>
    <row r="22" spans="1:3" ht="30" customHeight="1" x14ac:dyDescent="0.35">
      <c r="A22" s="25">
        <v>19</v>
      </c>
      <c r="B22" s="18" t="s">
        <v>1209</v>
      </c>
      <c r="C22" s="28" t="s">
        <v>1204</v>
      </c>
    </row>
    <row r="23" spans="1:3" ht="30" customHeight="1" x14ac:dyDescent="0.35">
      <c r="A23" s="29">
        <v>20</v>
      </c>
      <c r="B23" s="34" t="s">
        <v>1210</v>
      </c>
      <c r="C23" s="35" t="s">
        <v>1211</v>
      </c>
    </row>
    <row r="24" spans="1:3" ht="30" customHeight="1" x14ac:dyDescent="0.35">
      <c r="A24" s="25">
        <v>21</v>
      </c>
      <c r="B24" s="18" t="s">
        <v>1212</v>
      </c>
      <c r="C24" s="28" t="s">
        <v>39</v>
      </c>
    </row>
    <row r="25" spans="1:3" ht="30" customHeight="1" x14ac:dyDescent="0.35">
      <c r="A25" s="29">
        <v>22</v>
      </c>
      <c r="B25" s="34" t="s">
        <v>1213</v>
      </c>
      <c r="C25" s="35" t="s">
        <v>1214</v>
      </c>
    </row>
    <row r="26" spans="1:3" ht="30" customHeight="1" x14ac:dyDescent="0.35">
      <c r="A26" s="25">
        <v>23</v>
      </c>
      <c r="B26" s="18" t="s">
        <v>1215</v>
      </c>
      <c r="C26" s="28" t="s">
        <v>1216</v>
      </c>
    </row>
    <row r="27" spans="1:3" ht="30" customHeight="1" x14ac:dyDescent="0.35">
      <c r="A27" s="29">
        <v>24</v>
      </c>
      <c r="B27" s="34" t="s">
        <v>1217</v>
      </c>
      <c r="C27" s="35" t="s">
        <v>1218</v>
      </c>
    </row>
    <row r="28" spans="1:3" ht="30" customHeight="1" x14ac:dyDescent="0.35">
      <c r="A28" s="25">
        <v>25</v>
      </c>
      <c r="B28" s="18" t="s">
        <v>1219</v>
      </c>
      <c r="C28" s="28" t="s">
        <v>1220</v>
      </c>
    </row>
    <row r="29" spans="1:3" ht="30" customHeight="1" x14ac:dyDescent="0.35">
      <c r="A29" s="29">
        <v>26</v>
      </c>
      <c r="B29" s="34" t="s">
        <v>1221</v>
      </c>
      <c r="C29" s="35" t="s">
        <v>1222</v>
      </c>
    </row>
    <row r="30" spans="1:3" ht="30" customHeight="1" x14ac:dyDescent="0.35">
      <c r="A30" s="25">
        <v>27</v>
      </c>
      <c r="B30" s="18" t="s">
        <v>1223</v>
      </c>
      <c r="C30" s="28" t="s">
        <v>1224</v>
      </c>
    </row>
    <row r="31" spans="1:3" ht="30" customHeight="1" x14ac:dyDescent="0.35">
      <c r="A31" s="29">
        <v>28</v>
      </c>
      <c r="B31" s="34" t="s">
        <v>1225</v>
      </c>
      <c r="C31" s="35" t="s">
        <v>1214</v>
      </c>
    </row>
    <row r="32" spans="1:3" ht="30" customHeight="1" x14ac:dyDescent="0.35">
      <c r="A32" s="25">
        <v>29</v>
      </c>
      <c r="B32" s="18" t="s">
        <v>1226</v>
      </c>
      <c r="C32" s="28" t="s">
        <v>1227</v>
      </c>
    </row>
    <row r="33" spans="1:3" ht="30" customHeight="1" x14ac:dyDescent="0.35">
      <c r="A33" s="29">
        <v>30</v>
      </c>
      <c r="B33" s="34" t="s">
        <v>1228</v>
      </c>
      <c r="C33" s="35" t="s">
        <v>1227</v>
      </c>
    </row>
    <row r="34" spans="1:3" ht="30" customHeight="1" x14ac:dyDescent="0.35">
      <c r="A34" s="25">
        <v>31</v>
      </c>
      <c r="B34" s="18" t="s">
        <v>1229</v>
      </c>
      <c r="C34" s="28" t="s">
        <v>1230</v>
      </c>
    </row>
    <row r="36" spans="1:3" ht="18" customHeight="1" x14ac:dyDescent="0.35">
      <c r="A36" s="15" t="s">
        <v>1231</v>
      </c>
      <c r="B36" s="15"/>
      <c r="C36" s="15"/>
    </row>
    <row r="37" spans="1:3" ht="31.5" customHeight="1" x14ac:dyDescent="0.35">
      <c r="A37" s="12" t="s">
        <v>1232</v>
      </c>
      <c r="B37" s="12"/>
      <c r="C37" s="12"/>
    </row>
    <row r="38" spans="1:3" ht="31.5" customHeight="1" x14ac:dyDescent="0.35">
      <c r="A38" s="12" t="s">
        <v>1233</v>
      </c>
      <c r="B38" s="12"/>
      <c r="C38" s="12"/>
    </row>
    <row r="39" spans="1:3" ht="31.5" customHeight="1" x14ac:dyDescent="0.35">
      <c r="A39" s="12" t="s">
        <v>1234</v>
      </c>
      <c r="B39" s="12"/>
      <c r="C39" s="12"/>
    </row>
    <row r="40" spans="1:3" ht="31.5" customHeight="1" x14ac:dyDescent="0.35">
      <c r="A40" s="12" t="s">
        <v>1235</v>
      </c>
      <c r="B40" s="12"/>
      <c r="C40" s="12"/>
    </row>
    <row r="41" spans="1:3" ht="31.5" customHeight="1" x14ac:dyDescent="0.35">
      <c r="A41" s="12" t="s">
        <v>1236</v>
      </c>
      <c r="B41" s="12"/>
      <c r="C41" s="12"/>
    </row>
    <row r="42" spans="1:3" ht="31.5" customHeight="1" x14ac:dyDescent="0.35">
      <c r="A42" s="12" t="s">
        <v>1237</v>
      </c>
      <c r="B42" s="12"/>
      <c r="C42" s="12"/>
    </row>
    <row r="43" spans="1:3" ht="31.5" customHeight="1" x14ac:dyDescent="0.35">
      <c r="A43" s="12" t="s">
        <v>1238</v>
      </c>
      <c r="B43" s="12"/>
      <c r="C43" s="12"/>
    </row>
    <row r="44" spans="1:3" ht="31.5" customHeight="1" x14ac:dyDescent="0.35">
      <c r="A44" s="12" t="s">
        <v>1239</v>
      </c>
      <c r="B44" s="12"/>
      <c r="C44" s="12"/>
    </row>
    <row r="45" spans="1:3" ht="31.5" customHeight="1" x14ac:dyDescent="0.35">
      <c r="A45" s="12" t="s">
        <v>1240</v>
      </c>
      <c r="B45" s="12"/>
      <c r="C45" s="12"/>
    </row>
  </sheetData>
  <autoFilter ref="A3:C34" xr:uid="{00000000-0009-0000-0000-00000A000000}"/>
  <mergeCells count="11">
    <mergeCell ref="A45:C45"/>
    <mergeCell ref="A40:C40"/>
    <mergeCell ref="A41:C41"/>
    <mergeCell ref="A42:C42"/>
    <mergeCell ref="A43:C43"/>
    <mergeCell ref="A44:C44"/>
    <mergeCell ref="A1:C1"/>
    <mergeCell ref="A2:C2"/>
    <mergeCell ref="A37:C37"/>
    <mergeCell ref="A38:C38"/>
    <mergeCell ref="A39:C39"/>
  </mergeCells>
  <hyperlinks>
    <hyperlink ref="C4" r:id="rId1" xr:uid="{00000000-0004-0000-0A00-000000000000}"/>
    <hyperlink ref="C5" r:id="rId2" xr:uid="{00000000-0004-0000-0A00-000001000000}"/>
    <hyperlink ref="C7" r:id="rId3" xr:uid="{00000000-0004-0000-0A00-000002000000}"/>
    <hyperlink ref="C13" r:id="rId4" xr:uid="{00000000-0004-0000-0A00-000003000000}"/>
    <hyperlink ref="C14" r:id="rId5" xr:uid="{00000000-0004-0000-0A00-000004000000}"/>
    <hyperlink ref="C16" r:id="rId6" xr:uid="{00000000-0004-0000-0A00-000005000000}"/>
  </hyperlinks>
  <pageMargins left="0.5" right="0.4" top="0.6" bottom="0.6" header="0.511811023622047" footer="0.3"/>
  <pageSetup paperSize="9" fitToHeight="0" orientation="portrait" horizontalDpi="300" verticalDpi="300"/>
  <headerFooter>
    <oddFooter>&amp;L&amp;8 Betreibermodelle und Verguetungen Photovoltaik - Stand: 25.08.2026&amp;R&amp;8 Seite &amp;P von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16</vt:i4>
      </vt:variant>
    </vt:vector>
  </HeadingPairs>
  <TitlesOfParts>
    <vt:vector size="27" baseType="lpstr">
      <vt:lpstr>Lesehinweis</vt:lpstr>
      <vt:lpstr>Betreibermodelle</vt:lpstr>
      <vt:lpstr>Erlöswege</vt:lpstr>
      <vt:lpstr>Methodik</vt:lpstr>
      <vt:lpstr>Kennzahlen-Herleitung</vt:lpstr>
      <vt:lpstr>Kennzahlen-Bausteine</vt:lpstr>
      <vt:lpstr>Vergütungssätze</vt:lpstr>
      <vt:lpstr>Ausschreibungen+Marktwerte</vt:lpstr>
      <vt:lpstr>Projektvergleich</vt:lpstr>
      <vt:lpstr>Glossar</vt:lpstr>
      <vt:lpstr>Quellen</vt:lpstr>
      <vt:lpstr>'Ausschreibungen+Marktwerte'!Druckbereich</vt:lpstr>
      <vt:lpstr>Betreibermodelle!Druckbereich</vt:lpstr>
      <vt:lpstr>Erlöswege!Druckbereich</vt:lpstr>
      <vt:lpstr>Glossar!Druckbereich</vt:lpstr>
      <vt:lpstr>'Kennzahlen-Bausteine'!Druckbereich</vt:lpstr>
      <vt:lpstr>'Kennzahlen-Herleitung'!Druckbereich</vt:lpstr>
      <vt:lpstr>Lesehinweis!Druckbereich</vt:lpstr>
      <vt:lpstr>Methodik!Druckbereich</vt:lpstr>
      <vt:lpstr>Projektvergleich!Druckbereich</vt:lpstr>
      <vt:lpstr>Quellen!Druckbereich</vt:lpstr>
      <vt:lpstr>Vergütungssätze!Druckbereich</vt:lpstr>
      <vt:lpstr>Betreibermodelle!Drucktitel</vt:lpstr>
      <vt:lpstr>Erlöswege!Drucktitel</vt:lpstr>
      <vt:lpstr>Glossar!Drucktitel</vt:lpstr>
      <vt:lpstr>Methodik!Drucktitel</vt:lpstr>
      <vt:lpstr>Projektvergleich!Drucktitel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Betreibermodelle und Verguetungen Photovoltaik - Uebersicht</dc:title>
  <dc:subject>Analyse auf Basis pv@now manager (DGS Franken) - INEKON</dc:subject>
  <dc:creator>Erstellt mit Claude fuer Philipp Engelmann / INEKON</dc:creator>
  <dc:description>Datenstand 25.08.2026. Alle ct/kWh netto. Keine Steuer- oder Rechtsberatung.</dc:description>
  <cp:lastModifiedBy>info</cp:lastModifiedBy>
  <cp:revision>0</cp:revision>
  <dcterms:created xsi:type="dcterms:W3CDTF">2026-08-25T12:16:08Z</dcterms:created>
  <dcterms:modified xsi:type="dcterms:W3CDTF">2026-08-25T16:14:14Z</dcterms:modified>
  <dc:language>en-US</dc:language>
</cp:coreProperties>
</file>